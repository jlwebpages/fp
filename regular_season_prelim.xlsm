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V16" i="1"/>
  <c r="AU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BC6" i="1" s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5" i="1"/>
  <c r="BG13" i="1"/>
  <c r="BC14" i="1"/>
  <c r="BG6" i="1"/>
  <c r="BG10" i="1"/>
  <c r="BG14" i="1"/>
  <c r="BC7" i="1"/>
  <c r="BC13" i="1"/>
  <c r="AZ15" i="1"/>
  <c r="BC15" i="1"/>
  <c r="AZ16" i="1"/>
  <c r="BA16" i="1" s="1"/>
  <c r="BC16" i="1"/>
  <c r="AZ17" i="1"/>
  <c r="BA17" i="1" s="1"/>
  <c r="BC17" i="1"/>
  <c r="AZ18" i="1"/>
  <c r="BA18" i="1" s="1"/>
  <c r="BC18" i="1"/>
  <c r="BG9" i="1"/>
  <c r="BC5" i="1"/>
  <c r="BG15" i="1"/>
  <c r="BC10" i="1"/>
  <c r="AZ10" i="1" s="1"/>
  <c r="BA10" i="1" s="1"/>
  <c r="BC19" i="1"/>
  <c r="BC12" i="1"/>
  <c r="BG7" i="1"/>
  <c r="BG11" i="1"/>
  <c r="BC8" i="1"/>
  <c r="BG4" i="1"/>
  <c r="BG8" i="1"/>
  <c r="BG12" i="1"/>
  <c r="BC4" i="1"/>
  <c r="BC9" i="1"/>
  <c r="BC11" i="1"/>
  <c r="BI8" i="1"/>
  <c r="AT9" i="1"/>
  <c r="AZ9" i="1" s="1"/>
  <c r="AT13" i="1"/>
  <c r="AZ14" i="1"/>
  <c r="BA14" i="1" s="1"/>
  <c r="BI9" i="1"/>
  <c r="AT5" i="1"/>
  <c r="AZ6" i="1"/>
  <c r="BA6" i="1" s="1"/>
  <c r="AT4" i="1"/>
  <c r="AZ4" i="1" s="1"/>
  <c r="BI7" i="1"/>
  <c r="AT8" i="1"/>
  <c r="AZ8" i="1" s="1"/>
  <c r="BA8" i="1" s="1"/>
  <c r="AT12" i="1"/>
  <c r="AZ12" i="1" s="1"/>
  <c r="AT19" i="1"/>
  <c r="AZ19" i="1" s="1"/>
  <c r="BI13" i="1"/>
  <c r="AT7" i="1"/>
  <c r="AT11" i="1"/>
  <c r="AT15" i="1"/>
  <c r="AZ13" i="1" l="1"/>
  <c r="BA13" i="1" s="1"/>
  <c r="BA9" i="1"/>
  <c r="AZ11" i="1"/>
  <c r="BA11" i="1" s="1"/>
  <c r="AK55" i="1"/>
  <c r="AK52" i="1" s="1"/>
  <c r="AK21" i="1" s="1"/>
  <c r="BE14" i="1" s="1"/>
  <c r="AK54" i="1"/>
  <c r="AK53" i="1"/>
  <c r="AK58" i="1" s="1"/>
  <c r="AH54" i="1"/>
  <c r="AH55" i="1"/>
  <c r="AH53" i="1"/>
  <c r="AH58" i="1" s="1"/>
  <c r="AH52" i="1"/>
  <c r="AH21" i="1" s="1"/>
  <c r="BE13" i="1" s="1"/>
  <c r="BA15" i="1"/>
  <c r="AN55" i="1"/>
  <c r="AN52" i="1" s="1"/>
  <c r="AN21" i="1" s="1"/>
  <c r="BE15" i="1" s="1"/>
  <c r="AN54" i="1"/>
  <c r="AN53" i="1"/>
  <c r="AN58" i="1" s="1"/>
  <c r="Y55" i="1"/>
  <c r="Y52" i="1" s="1"/>
  <c r="Y54" i="1"/>
  <c r="Y53" i="1"/>
  <c r="V53" i="1"/>
  <c r="V58" i="1" s="1"/>
  <c r="V55" i="1"/>
  <c r="V52" i="1" s="1"/>
  <c r="V21" i="1" s="1"/>
  <c r="BE9" i="1" s="1"/>
  <c r="V54" i="1"/>
  <c r="AB55" i="1"/>
  <c r="AB54" i="1"/>
  <c r="AB53" i="1"/>
  <c r="AB58" i="1" s="1"/>
  <c r="AB52" i="1"/>
  <c r="AB21" i="1" s="1"/>
  <c r="BE11" i="1" s="1"/>
  <c r="M55" i="1"/>
  <c r="M52" i="1" s="1"/>
  <c r="M21" i="1" s="1"/>
  <c r="BE6" i="1" s="1"/>
  <c r="M54" i="1"/>
  <c r="M53" i="1"/>
  <c r="M58" i="1" s="1"/>
  <c r="J54" i="1"/>
  <c r="J55" i="1"/>
  <c r="J52" i="1" s="1"/>
  <c r="J53" i="1"/>
  <c r="G55" i="1"/>
  <c r="G52" i="1" s="1"/>
  <c r="G54" i="1"/>
  <c r="G53" i="1"/>
  <c r="AE58" i="1" s="1"/>
  <c r="BA4" i="1"/>
  <c r="S55" i="1"/>
  <c r="S54" i="1"/>
  <c r="S53" i="1"/>
  <c r="S58" i="1" s="1"/>
  <c r="S52" i="1"/>
  <c r="S21" i="1" s="1"/>
  <c r="BE8" i="1" s="1"/>
  <c r="P55" i="1"/>
  <c r="P52" i="1" s="1"/>
  <c r="P54" i="1"/>
  <c r="P53" i="1"/>
  <c r="BA12" i="1"/>
  <c r="AZ7" i="1"/>
  <c r="BA7" i="1" s="1"/>
  <c r="AZ5" i="1"/>
  <c r="BA5" i="1" s="1"/>
  <c r="BA19" i="1"/>
  <c r="AU13" i="1" l="1"/>
  <c r="AV13" i="1" s="1"/>
  <c r="AU15" i="1"/>
  <c r="AV15" i="1" s="1"/>
  <c r="J21" i="1"/>
  <c r="BE5" i="1" s="1"/>
  <c r="J58" i="1"/>
  <c r="P21" i="1"/>
  <c r="BE7" i="1" s="1"/>
  <c r="P58" i="1"/>
  <c r="G21" i="1"/>
  <c r="BE4" i="1" s="1"/>
  <c r="G58" i="1"/>
  <c r="Y21" i="1"/>
  <c r="BE10" i="1" s="1"/>
  <c r="Y58" i="1"/>
  <c r="AU4" i="1"/>
  <c r="AU8" i="1"/>
  <c r="AV8" i="1" s="1"/>
  <c r="AU6" i="1"/>
  <c r="AV6" i="1" s="1"/>
  <c r="AU11" i="1"/>
  <c r="AV11" i="1" s="1"/>
  <c r="AU12" i="1"/>
  <c r="AV12" i="1" s="1"/>
  <c r="AU10" i="1"/>
  <c r="AV10" i="1" s="1"/>
  <c r="AU5" i="1"/>
  <c r="AV5" i="1" s="1"/>
  <c r="AU14" i="1"/>
  <c r="AV14" i="1" s="1"/>
  <c r="AU9" i="1"/>
  <c r="AV9" i="1" s="1"/>
  <c r="AU7" i="1"/>
  <c r="AV7" i="1" s="1"/>
  <c r="AU19" i="1"/>
  <c r="AV19" i="1" s="1"/>
  <c r="AV4" i="1" l="1"/>
  <c r="AV21" i="1" s="1"/>
  <c r="AV34" i="1" s="1"/>
  <c r="AU21" i="1" s="1"/>
  <c r="AU32" i="1"/>
</calcChain>
</file>

<file path=xl/sharedStrings.xml><?xml version="1.0" encoding="utf-8"?>
<sst xmlns="http://schemas.openxmlformats.org/spreadsheetml/2006/main" count="1378" uniqueCount="169">
  <si>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</si>
  <si>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</si>
  <si>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</si>
  <si>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</si>
  <si>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</si>
  <si>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</si>
  <si>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</si>
  <si>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</si>
  <si>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</si>
  <si>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</si>
  <si>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</si>
  <si>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</si>
  <si>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</si>
  <si>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</si>
  <si>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</si>
  <si>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</si>
  <si>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</si>
  <si>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</si>
  <si>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</si>
  <si>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</si>
  <si>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</si>
  <si>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</si>
  <si>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</si>
  <si>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</si>
  <si>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</si>
  <si>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</si>
  <si>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</si>
  <si>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</si>
  <si>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</si>
  <si>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</si>
  <si>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</si>
  <si>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</si>
  <si>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</si>
  <si>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</si>
  <si>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</si>
  <si>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</si>
  <si>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</si>
  <si>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</si>
  <si>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</si>
  <si>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</si>
  <si>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</si>
  <si>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</si>
  <si>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</si>
  <si>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</si>
  <si>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</si>
  <si>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</si>
  <si>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</si>
  <si>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</si>
  <si>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</si>
  <si>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</si>
  <si>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</si>
  <si>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</si>
  <si>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</si>
  <si>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</si>
  <si>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</si>
  <si>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</si>
  <si>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</si>
  <si>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</si>
  <si>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</si>
  <si>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</si>
  <si>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</si>
  <si>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</si>
  <si>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</si>
  <si>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</si>
  <si>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</si>
  <si>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</si>
  <si>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</si>
  <si>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</si>
  <si>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</si>
  <si>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</si>
  <si>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</si>
  <si>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</si>
  <si>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</si>
  <si>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</si>
  <si>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</si>
  <si>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</si>
  <si>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</si>
  <si>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</si>
  <si>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</si>
  <si>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</si>
  <si>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</si>
  <si>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</si>
  <si>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</si>
  <si>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</si>
  <si>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</si>
  <si>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</si>
  <si>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</si>
  <si>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</si>
  <si>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</si>
  <si>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</si>
  <si>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</si>
  <si>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</si>
  <si>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</si>
  <si>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</si>
  <si>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</si>
  <si>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</si>
  <si>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</si>
  <si>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</si>
  <si>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</si>
  <si>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</si>
  <si>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</si>
  <si>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Chiefs</t>
  </si>
  <si>
    <t>Panthers</t>
  </si>
  <si>
    <t>Ravens</t>
  </si>
  <si>
    <t>49ers</t>
  </si>
  <si>
    <t>Colts</t>
  </si>
  <si>
    <t>Raiders</t>
  </si>
  <si>
    <t>Jets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</si>
  <si>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</si>
  <si>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</si>
  <si>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</si>
  <si>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</si>
  <si>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</si>
  <si>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</si>
  <si>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</si>
  <si>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</si>
  <si>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</si>
  <si>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</si>
  <si>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</si>
  <si>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</si>
  <si>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</si>
  <si>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</si>
  <si>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</si>
  <si>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</si>
  <si>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</si>
  <si>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9</t>
  </si>
  <si>
    <t>Week 9 Scores</t>
  </si>
  <si>
    <t>Visitor</t>
  </si>
  <si>
    <t>vs</t>
  </si>
  <si>
    <t>Home</t>
  </si>
  <si>
    <t>Winner</t>
  </si>
  <si>
    <t xml:space="preserve">   var w9_p1_picks         = ["V","H","H","H","H","V","H","H","V","H","H","V","V"];</t>
  </si>
  <si>
    <t xml:space="preserve">   var w9_p2_picks         = ["V","H","H","H","H","H","H","H","V","H","H","H","H"];</t>
  </si>
  <si>
    <t xml:space="preserve">   var w9_p3_picks         = ["V","H","H","H","H","V","H","H","V","H","V","V","V"];</t>
  </si>
  <si>
    <t>Jaguars</t>
  </si>
  <si>
    <t xml:space="preserve">   var w9_p4_picks         = ["V","H","H","H","H","V","H","H","V","H","V","V","H"];</t>
  </si>
  <si>
    <t xml:space="preserve">   var w9_p5_picks         = ["V","H","H","H","H","V","H","H","V","H","V","V","V"];</t>
  </si>
  <si>
    <t>Rams</t>
  </si>
  <si>
    <t>Giants</t>
  </si>
  <si>
    <t xml:space="preserve">   var w9_p6_picks         = ["V","H","H","H","H","V","H","V","H","V","V","V","V"];</t>
  </si>
  <si>
    <t xml:space="preserve">   var w9_p7_picks         = ["H","V","H","H","H","V","H","V","V","H","V","V","V"];</t>
  </si>
  <si>
    <t>Titans</t>
  </si>
  <si>
    <t xml:space="preserve">   var w9_p8_picks         = ["V","V","H","H","H","V","H","H","V","H","H","H","V"];</t>
  </si>
  <si>
    <t>Cardinals</t>
  </si>
  <si>
    <t xml:space="preserve">   var w9_p9_picks         = ["V","H","H","H","H","V","H","V","V","H","H","V","V"];</t>
  </si>
  <si>
    <t xml:space="preserve">   var w9_p11_picks        = ["V","V","H","H","H","V","H","H","H","H","V","V","V"];</t>
  </si>
  <si>
    <t xml:space="preserve">   var w9_p12_picks        = ["V","V","H","H","H","V","H","V","V","H","H","V","V"];</t>
  </si>
  <si>
    <t xml:space="preserve">   var w9_p1_weights       = ["9","5","16","11","13","12","15","10","7","14","4","8","6"];</t>
  </si>
  <si>
    <t xml:space="preserve">   var w9_p2_weights       = ["7","8","10","6","16","15","14","11","9","12","13","5","4"];</t>
  </si>
  <si>
    <t xml:space="preserve">   var w9_p3_weights       = ["9","5","16","11","13","10","15","12","7","14","4","8","6"];</t>
  </si>
  <si>
    <t>Packers</t>
  </si>
  <si>
    <t xml:space="preserve">   var w9_p4_weights       = ["7","5","16","11","13","10","15","12","9","14","6","8","4"];</t>
  </si>
  <si>
    <t xml:space="preserve">   var w9_p5_weights       = ["10","4","14","9","11","12","15","7","16","8","5","6","13"];</t>
  </si>
  <si>
    <t xml:space="preserve">   var w9_p6_weights       = ["11","12","16","13","15","10","14","7","5","4","9","8","6"];</t>
  </si>
  <si>
    <t xml:space="preserve">   var w9_p7_weights       = ["16","7","15","8","9","14","12","6","11","5","13","4","10"];</t>
  </si>
  <si>
    <t xml:space="preserve">   var w9_p8_weights       = ["10","4","15","9","14","13","16","11","8","12","5","6","7"];</t>
  </si>
  <si>
    <t xml:space="preserve">   var w9_p9_weights       = ["12","7","11","10","14","15","16","8","9","13","5","4","6"];</t>
  </si>
  <si>
    <t xml:space="preserve">   var w9_p11_weights      = ["9","4","15","12","13","10","8","11","5","14","16","7","6"];</t>
  </si>
  <si>
    <t xml:space="preserve">   var w9_p12_weights      = ["11","4","10","13","5","12","15","14","16","9","8","6","7"];</t>
  </si>
  <si>
    <t xml:space="preserve">   var w9_winners          = [];</t>
  </si>
  <si>
    <t>Bears, Browns, Chargers, Vikings, Patriots, Steelers</t>
  </si>
  <si>
    <t xml:space="preserve">   var w9_actual_mn_points = 0;</t>
  </si>
  <si>
    <t>Week 8 Final</t>
  </si>
  <si>
    <t>'Week 8'!$B$2</t>
  </si>
  <si>
    <t>'Week 8'!$C$2</t>
  </si>
  <si>
    <t>'Week 8'!$D$2</t>
  </si>
  <si>
    <t xml:space="preserve">   var w9_p10_picks        = ["V","H","H","H","H","V","H","H","V","H","H","V","V"];</t>
  </si>
  <si>
    <t xml:space="preserve">   var w9_p10_weights      = ["9","5","16","11","13","10","15","12","7","14","4","8","6"];</t>
  </si>
  <si>
    <t xml:space="preserve">   var w9_mn_points        = ["41","48","43","42","51","58","38","41","45","43","48","38"];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</si>
</sst>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108</v>
      </c>
      <c r="AP1" s="163"/>
      <c r="AW1" s="163"/>
      <c r="BF1" s="166"/>
      <c r="BH1" s="166"/>
      <c r="BY1" s="167" t="s">
        <v>77</v>
      </c>
    </row>
    <row r="2" spans="1:77" s="7" customFormat="1" ht="21" customHeight="1" thickTop="1" thickBot="1" x14ac:dyDescent="0.25">
      <c r="A2" s="3"/>
      <c r="B2" s="112" t="s">
        <v>1</v>
      </c>
      <c r="C2" s="295" t="s">
        <v>125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-24</v>
      </c>
      <c r="K2" s="117"/>
      <c r="L2" s="115" t="s">
        <v>63</v>
      </c>
      <c r="M2" s="116">
        <v>-24</v>
      </c>
      <c r="N2" s="117"/>
      <c r="O2" s="115" t="s">
        <v>64</v>
      </c>
      <c r="P2" s="116">
        <v>7</v>
      </c>
      <c r="Q2" s="117"/>
      <c r="R2" s="115" t="s">
        <v>65</v>
      </c>
      <c r="S2" s="116">
        <v>-24</v>
      </c>
      <c r="T2" s="117"/>
      <c r="U2" s="115" t="s">
        <v>66</v>
      </c>
      <c r="V2" s="116">
        <v>7</v>
      </c>
      <c r="W2" s="117"/>
      <c r="X2" s="115" t="s">
        <v>67</v>
      </c>
      <c r="Y2" s="116">
        <v>69</v>
      </c>
      <c r="Z2" s="117"/>
      <c r="AA2" s="115" t="s">
        <v>68</v>
      </c>
      <c r="AB2" s="116">
        <v>7</v>
      </c>
      <c r="AC2" s="117"/>
      <c r="AD2" s="115" t="s">
        <v>69</v>
      </c>
      <c r="AE2" s="116">
        <v>7</v>
      </c>
      <c r="AF2" s="117"/>
      <c r="AG2" s="115" t="s">
        <v>70</v>
      </c>
      <c r="AH2" s="116">
        <v>7</v>
      </c>
      <c r="AI2" s="117"/>
      <c r="AJ2" s="115" t="s">
        <v>71</v>
      </c>
      <c r="AK2" s="116">
        <v>-8</v>
      </c>
      <c r="AL2" s="117"/>
      <c r="AM2" s="115" t="s">
        <v>72</v>
      </c>
      <c r="AN2" s="116">
        <v>-24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126</v>
      </c>
      <c r="BF2" s="303"/>
      <c r="BG2" s="304"/>
      <c r="BH2" s="168"/>
      <c r="BI2" s="302" t="s">
        <v>78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6" t="s">
        <v>127</v>
      </c>
      <c r="C3" s="297" t="s">
        <v>128</v>
      </c>
      <c r="D3" s="298" t="s">
        <v>129</v>
      </c>
      <c r="E3" s="299" t="s">
        <v>130</v>
      </c>
      <c r="F3" s="170" t="s">
        <v>111</v>
      </c>
      <c r="G3" s="171" t="s">
        <v>112</v>
      </c>
      <c r="H3" s="172" t="s">
        <v>8</v>
      </c>
      <c r="I3" s="173" t="s">
        <v>111</v>
      </c>
      <c r="J3" s="174" t="s">
        <v>112</v>
      </c>
      <c r="K3" s="172" t="s">
        <v>8</v>
      </c>
      <c r="L3" s="173" t="s">
        <v>111</v>
      </c>
      <c r="M3" s="174" t="s">
        <v>112</v>
      </c>
      <c r="N3" s="172" t="s">
        <v>8</v>
      </c>
      <c r="O3" s="173" t="s">
        <v>111</v>
      </c>
      <c r="P3" s="174" t="s">
        <v>112</v>
      </c>
      <c r="Q3" s="172" t="s">
        <v>8</v>
      </c>
      <c r="R3" s="173" t="s">
        <v>111</v>
      </c>
      <c r="S3" s="174" t="s">
        <v>112</v>
      </c>
      <c r="T3" s="172" t="s">
        <v>8</v>
      </c>
      <c r="U3" s="173" t="s">
        <v>111</v>
      </c>
      <c r="V3" s="174" t="s">
        <v>112</v>
      </c>
      <c r="W3" s="172" t="s">
        <v>8</v>
      </c>
      <c r="X3" s="173" t="s">
        <v>111</v>
      </c>
      <c r="Y3" s="174" t="s">
        <v>112</v>
      </c>
      <c r="Z3" s="172" t="s">
        <v>8</v>
      </c>
      <c r="AA3" s="173" t="s">
        <v>111</v>
      </c>
      <c r="AB3" s="174" t="s">
        <v>112</v>
      </c>
      <c r="AC3" s="172" t="s">
        <v>8</v>
      </c>
      <c r="AD3" s="173" t="s">
        <v>111</v>
      </c>
      <c r="AE3" s="174" t="s">
        <v>112</v>
      </c>
      <c r="AF3" s="172" t="s">
        <v>8</v>
      </c>
      <c r="AG3" s="173" t="s">
        <v>111</v>
      </c>
      <c r="AH3" s="174" t="s">
        <v>112</v>
      </c>
      <c r="AI3" s="172" t="s">
        <v>8</v>
      </c>
      <c r="AJ3" s="173" t="s">
        <v>111</v>
      </c>
      <c r="AK3" s="174" t="s">
        <v>112</v>
      </c>
      <c r="AL3" s="172" t="s">
        <v>8</v>
      </c>
      <c r="AM3" s="173" t="s">
        <v>111</v>
      </c>
      <c r="AN3" s="174" t="s">
        <v>112</v>
      </c>
      <c r="AO3" s="175" t="s">
        <v>8</v>
      </c>
      <c r="AP3" s="3"/>
      <c r="AR3" s="11">
        <v>8</v>
      </c>
      <c r="AS3" s="9" t="s">
        <v>5</v>
      </c>
      <c r="AT3" s="156" t="s">
        <v>111</v>
      </c>
      <c r="AU3" s="174" t="s">
        <v>112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79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80</v>
      </c>
      <c r="BU3" s="308"/>
      <c r="BV3" s="300" t="s">
        <v>81</v>
      </c>
      <c r="BW3" s="301"/>
      <c r="BY3" s="10" t="s">
        <v>11</v>
      </c>
    </row>
    <row r="4" spans="1:77" ht="18" customHeight="1" x14ac:dyDescent="0.2">
      <c r="B4" s="177" t="s">
        <v>119</v>
      </c>
      <c r="C4" s="178" t="s">
        <v>73</v>
      </c>
      <c r="D4" s="178" t="s">
        <v>107</v>
      </c>
      <c r="E4" s="179"/>
      <c r="F4" s="180" t="s">
        <v>22</v>
      </c>
      <c r="G4" s="181">
        <v>9</v>
      </c>
      <c r="H4" s="182" t="str">
        <f>IF(G4&gt;0,IF(ISTEXT($E4),IF($E4&lt;&gt;F4,G4-2*G4,""),""),"")</f>
        <v/>
      </c>
      <c r="I4" s="183" t="s">
        <v>22</v>
      </c>
      <c r="J4" s="181">
        <v>7</v>
      </c>
      <c r="K4" s="182" t="str">
        <f t="shared" ref="K4:K19" si="0">IF(J4&gt;0,IF(ISTEXT($E4),IF($E4&lt;&gt;I4,J4-2*J4,""),""),"")</f>
        <v/>
      </c>
      <c r="L4" s="183" t="s">
        <v>22</v>
      </c>
      <c r="M4" s="181">
        <v>9</v>
      </c>
      <c r="N4" s="182" t="str">
        <f t="shared" ref="N4:N19" si="1">IF(M4&gt;0,IF(ISTEXT($E4),IF($E4&lt;&gt;L4,M4-2*M4,""),""),"")</f>
        <v/>
      </c>
      <c r="O4" s="183" t="s">
        <v>22</v>
      </c>
      <c r="P4" s="181">
        <v>7</v>
      </c>
      <c r="Q4" s="182" t="str">
        <f t="shared" ref="Q4:Q19" si="2">IF(P4&gt;0,IF(ISTEXT($E4),IF($E4&lt;&gt;O4,P4-2*P4,""),""),"")</f>
        <v/>
      </c>
      <c r="R4" s="183" t="s">
        <v>22</v>
      </c>
      <c r="S4" s="181">
        <v>10</v>
      </c>
      <c r="T4" s="182" t="str">
        <f t="shared" ref="T4:T19" si="3">IF(S4&gt;0,IF(ISTEXT($E4),IF($E4&lt;&gt;R4,S4-2*S4,""),""),"")</f>
        <v/>
      </c>
      <c r="U4" s="183" t="s">
        <v>22</v>
      </c>
      <c r="V4" s="181">
        <v>11</v>
      </c>
      <c r="W4" s="182" t="str">
        <f t="shared" ref="W4:W19" si="4">IF(V4&gt;0,IF(ISTEXT($E4),IF($E4&lt;&gt;U4,V4-2*V4,""),""),"")</f>
        <v/>
      </c>
      <c r="X4" s="183" t="s">
        <v>12</v>
      </c>
      <c r="Y4" s="181">
        <v>16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10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12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9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9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11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9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-88</v>
      </c>
      <c r="AY4" s="4">
        <f>ABS(AX4)+IF($B4="",-0.1,0)</f>
        <v>88</v>
      </c>
      <c r="AZ4" s="4">
        <f t="shared" ref="AZ4:AZ19" si="15">AY4+IF(AT4="H",IF(BC4&gt;1,0.1*BC4-0.1,0),0)</f>
        <v>88</v>
      </c>
      <c r="BA4" s="4">
        <f t="shared" ref="BA4:BA19" ca="1" si="16">AZ4+IF(AT4="V",IF(BC4&gt;1,0.1*BC4-0.1,0),0)</f>
        <v>88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130</v>
      </c>
      <c r="BH4" s="186"/>
      <c r="BI4" s="63">
        <f>RANK(BK4,BK$4:BK$15,0)</f>
        <v>1</v>
      </c>
      <c r="BJ4" s="64" t="str">
        <f>$F$2</f>
        <v>BM</v>
      </c>
      <c r="BK4" s="65">
        <f>$H$22</f>
        <v>96.285714285714292</v>
      </c>
      <c r="BL4" s="66">
        <f>$H$23</f>
        <v>674</v>
      </c>
      <c r="BM4" s="169"/>
      <c r="BN4" s="67">
        <v>1</v>
      </c>
      <c r="BO4" s="68" t="s">
        <v>67</v>
      </c>
      <c r="BP4" s="69">
        <v>69</v>
      </c>
      <c r="BQ4" s="70">
        <v>-24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131</v>
      </c>
    </row>
    <row r="5" spans="1:77" ht="18" customHeight="1" x14ac:dyDescent="0.2">
      <c r="B5" s="187" t="s">
        <v>115</v>
      </c>
      <c r="C5" s="188" t="s">
        <v>73</v>
      </c>
      <c r="D5" s="188" t="s">
        <v>102</v>
      </c>
      <c r="E5" s="189"/>
      <c r="F5" s="190" t="s">
        <v>12</v>
      </c>
      <c r="G5" s="191">
        <v>5</v>
      </c>
      <c r="H5" s="192" t="str">
        <f>IF(G5&gt;0,IF(ISTEXT($E5),IF($E5&lt;&gt;F5,G5-2*G5,""),""),"")</f>
        <v/>
      </c>
      <c r="I5" s="193" t="s">
        <v>12</v>
      </c>
      <c r="J5" s="191">
        <v>8</v>
      </c>
      <c r="K5" s="192" t="str">
        <f>IF(J5&gt;0,IF(ISTEXT($E5),IF($E5&lt;&gt;I5,J5-2*J5,""),""),"")</f>
        <v/>
      </c>
      <c r="L5" s="193" t="s">
        <v>12</v>
      </c>
      <c r="M5" s="191">
        <v>5</v>
      </c>
      <c r="N5" s="192" t="str">
        <f>IF(M5&gt;0,IF(ISTEXT($E5),IF($E5&lt;&gt;L5,M5-2*M5,""),""),"")</f>
        <v/>
      </c>
      <c r="O5" s="193" t="s">
        <v>12</v>
      </c>
      <c r="P5" s="191">
        <v>5</v>
      </c>
      <c r="Q5" s="192" t="str">
        <f>IF(P5&gt;0,IF(ISTEXT($E5),IF($E5&lt;&gt;O5,P5-2*P5,""),""),"")</f>
        <v/>
      </c>
      <c r="R5" s="193" t="s">
        <v>12</v>
      </c>
      <c r="S5" s="191">
        <v>4</v>
      </c>
      <c r="T5" s="192" t="str">
        <f>IF(S5&gt;0,IF(ISTEXT($E5),IF($E5&lt;&gt;R5,S5-2*S5,""),""),"")</f>
        <v/>
      </c>
      <c r="U5" s="193" t="s">
        <v>12</v>
      </c>
      <c r="V5" s="191">
        <v>12</v>
      </c>
      <c r="W5" s="192" t="str">
        <f>IF(V5&gt;0,IF(ISTEXT($E5),IF($E5&lt;&gt;U5,V5-2*V5,""),""),"")</f>
        <v/>
      </c>
      <c r="X5" s="193" t="s">
        <v>22</v>
      </c>
      <c r="Y5" s="191">
        <v>7</v>
      </c>
      <c r="Z5" s="192" t="str">
        <f>IF(Y5&gt;0,IF(ISTEXT($E5),IF($E5&lt;&gt;X5,Y5-2*Y5,""),""),"")</f>
        <v/>
      </c>
      <c r="AA5" s="193" t="s">
        <v>22</v>
      </c>
      <c r="AB5" s="191">
        <v>4</v>
      </c>
      <c r="AC5" s="192" t="str">
        <f>IF(AB5&gt;0,IF(ISTEXT($E5),IF($E5&lt;&gt;AA5,AB5-2*AB5,""),""),"")</f>
        <v/>
      </c>
      <c r="AD5" s="193" t="s">
        <v>12</v>
      </c>
      <c r="AE5" s="191">
        <v>7</v>
      </c>
      <c r="AF5" s="192" t="str">
        <f>IF(AE5&gt;0,IF(ISTEXT($E5),IF($E5&lt;&gt;AD5,AE5-2*AE5,""),""),"")</f>
        <v/>
      </c>
      <c r="AG5" s="193" t="s">
        <v>12</v>
      </c>
      <c r="AH5" s="191">
        <v>5</v>
      </c>
      <c r="AI5" s="192" t="str">
        <f>IF(AH5&gt;0,IF(ISTEXT($E5),IF($E5&lt;&gt;AG5,AH5-2*AH5,""),""),"")</f>
        <v/>
      </c>
      <c r="AJ5" s="193" t="s">
        <v>22</v>
      </c>
      <c r="AK5" s="191">
        <v>4</v>
      </c>
      <c r="AL5" s="192" t="str">
        <f>IF(AK5&gt;0,IF(ISTEXT($E5),IF($E5&lt;&gt;AJ5,AK5-2*AK5,""),""),"")</f>
        <v/>
      </c>
      <c r="AM5" s="193" t="s">
        <v>22</v>
      </c>
      <c r="AN5" s="191">
        <v>4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5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32</v>
      </c>
      <c r="AY5" s="4">
        <f t="shared" ref="AY5:AY19" si="17">ABS(AX5)+IF($B5="",-0.1,0)</f>
        <v>32</v>
      </c>
      <c r="AZ5" s="4">
        <f ca="1">AY5+IF(AT5="H",IF(BC5&gt;1,0.1*BC5-0.1,0),0)</f>
        <v>32</v>
      </c>
      <c r="BA5" s="4">
        <f ca="1">AZ5+IF(AT5="V",IF(BC5&gt;1,0.1*BC5-0.1,0),0)</f>
        <v>32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130</v>
      </c>
      <c r="BH5" s="186"/>
      <c r="BI5" s="80">
        <f>RANK(BK5,BK$4:BK$15,0)</f>
        <v>2</v>
      </c>
      <c r="BJ5" s="81" t="str">
        <f>$AJ$2</f>
        <v>KK</v>
      </c>
      <c r="BK5" s="82">
        <f>$AL$22</f>
        <v>95.714285714285708</v>
      </c>
      <c r="BL5" s="83">
        <f>$AL$23</f>
        <v>670</v>
      </c>
      <c r="BM5" s="169"/>
      <c r="BN5" s="80">
        <v>2</v>
      </c>
      <c r="BO5" s="81" t="s">
        <v>64</v>
      </c>
      <c r="BP5" s="84">
        <v>7</v>
      </c>
      <c r="BQ5" s="85">
        <v>-24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132</v>
      </c>
    </row>
    <row r="6" spans="1:77" ht="18" customHeight="1" x14ac:dyDescent="0.2">
      <c r="B6" s="187" t="s">
        <v>105</v>
      </c>
      <c r="C6" s="188" t="s">
        <v>73</v>
      </c>
      <c r="D6" s="188" t="s">
        <v>123</v>
      </c>
      <c r="E6" s="189"/>
      <c r="F6" s="190" t="s">
        <v>12</v>
      </c>
      <c r="G6" s="191">
        <v>16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10</v>
      </c>
      <c r="K6" s="192" t="str">
        <f t="shared" si="0"/>
        <v/>
      </c>
      <c r="L6" s="193" t="s">
        <v>12</v>
      </c>
      <c r="M6" s="191">
        <v>16</v>
      </c>
      <c r="N6" s="192" t="str">
        <f t="shared" si="1"/>
        <v/>
      </c>
      <c r="O6" s="193" t="s">
        <v>12</v>
      </c>
      <c r="P6" s="191">
        <v>16</v>
      </c>
      <c r="Q6" s="192" t="str">
        <f t="shared" si="2"/>
        <v/>
      </c>
      <c r="R6" s="193" t="s">
        <v>12</v>
      </c>
      <c r="S6" s="191">
        <v>14</v>
      </c>
      <c r="T6" s="192" t="str">
        <f t="shared" si="3"/>
        <v/>
      </c>
      <c r="U6" s="193" t="s">
        <v>12</v>
      </c>
      <c r="V6" s="191">
        <v>16</v>
      </c>
      <c r="W6" s="192" t="str">
        <f t="shared" si="4"/>
        <v/>
      </c>
      <c r="X6" s="193" t="s">
        <v>12</v>
      </c>
      <c r="Y6" s="191">
        <v>15</v>
      </c>
      <c r="Z6" s="192" t="str">
        <f t="shared" si="5"/>
        <v/>
      </c>
      <c r="AA6" s="193" t="s">
        <v>12</v>
      </c>
      <c r="AB6" s="191">
        <v>15</v>
      </c>
      <c r="AC6" s="192" t="str">
        <f t="shared" si="6"/>
        <v/>
      </c>
      <c r="AD6" s="193" t="s">
        <v>12</v>
      </c>
      <c r="AE6" s="191">
        <v>11</v>
      </c>
      <c r="AF6" s="192" t="str">
        <f t="shared" si="7"/>
        <v/>
      </c>
      <c r="AG6" s="193" t="s">
        <v>12</v>
      </c>
      <c r="AH6" s="191">
        <v>16</v>
      </c>
      <c r="AI6" s="192" t="str">
        <f t="shared" si="8"/>
        <v/>
      </c>
      <c r="AJ6" s="193" t="s">
        <v>12</v>
      </c>
      <c r="AK6" s="191">
        <v>15</v>
      </c>
      <c r="AL6" s="192" t="str">
        <f t="shared" si="9"/>
        <v/>
      </c>
      <c r="AM6" s="193" t="s">
        <v>12</v>
      </c>
      <c r="AN6" s="191">
        <v>10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15</v>
      </c>
      <c r="AV6" s="194" t="str">
        <f t="shared" ca="1" si="13"/>
        <v/>
      </c>
      <c r="AX6" s="4">
        <f t="shared" si="14"/>
        <v>170</v>
      </c>
      <c r="AY6" s="4">
        <f t="shared" si="17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130</v>
      </c>
      <c r="BH6" s="186"/>
      <c r="BI6" s="80">
        <f>RANK(BK6,BK$4:BK$15,0)</f>
        <v>3</v>
      </c>
      <c r="BJ6" s="81" t="str">
        <f>$O$2</f>
        <v>DC</v>
      </c>
      <c r="BK6" s="82">
        <f>$Q$22</f>
        <v>94.571428571428569</v>
      </c>
      <c r="BL6" s="83">
        <f>$Q$23</f>
        <v>662</v>
      </c>
      <c r="BM6" s="169"/>
      <c r="BN6" s="80">
        <v>2</v>
      </c>
      <c r="BO6" s="81" t="s">
        <v>66</v>
      </c>
      <c r="BP6" s="84">
        <v>7</v>
      </c>
      <c r="BQ6" s="85">
        <v>-24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133</v>
      </c>
    </row>
    <row r="7" spans="1:77" ht="18" customHeight="1" x14ac:dyDescent="0.2">
      <c r="B7" s="187" t="s">
        <v>120</v>
      </c>
      <c r="C7" s="188" t="s">
        <v>73</v>
      </c>
      <c r="D7" s="188" t="s">
        <v>134</v>
      </c>
      <c r="E7" s="189"/>
      <c r="F7" s="190" t="s">
        <v>12</v>
      </c>
      <c r="G7" s="191">
        <v>11</v>
      </c>
      <c r="H7" s="192" t="str">
        <f t="shared" si="18"/>
        <v/>
      </c>
      <c r="I7" s="193" t="s">
        <v>12</v>
      </c>
      <c r="J7" s="191">
        <v>6</v>
      </c>
      <c r="K7" s="192" t="str">
        <f t="shared" si="0"/>
        <v/>
      </c>
      <c r="L7" s="193" t="s">
        <v>12</v>
      </c>
      <c r="M7" s="191">
        <v>11</v>
      </c>
      <c r="N7" s="192" t="str">
        <f t="shared" si="1"/>
        <v/>
      </c>
      <c r="O7" s="193" t="s">
        <v>12</v>
      </c>
      <c r="P7" s="191">
        <v>11</v>
      </c>
      <c r="Q7" s="192" t="str">
        <f t="shared" si="2"/>
        <v/>
      </c>
      <c r="R7" s="193" t="s">
        <v>12</v>
      </c>
      <c r="S7" s="191">
        <v>9</v>
      </c>
      <c r="T7" s="192" t="str">
        <f t="shared" si="3"/>
        <v/>
      </c>
      <c r="U7" s="193" t="s">
        <v>12</v>
      </c>
      <c r="V7" s="191">
        <v>13</v>
      </c>
      <c r="W7" s="192" t="str">
        <f t="shared" si="4"/>
        <v/>
      </c>
      <c r="X7" s="193" t="s">
        <v>12</v>
      </c>
      <c r="Y7" s="191">
        <v>8</v>
      </c>
      <c r="Z7" s="192" t="str">
        <f t="shared" si="5"/>
        <v/>
      </c>
      <c r="AA7" s="193" t="s">
        <v>12</v>
      </c>
      <c r="AB7" s="191">
        <v>9</v>
      </c>
      <c r="AC7" s="192" t="str">
        <f t="shared" si="6"/>
        <v/>
      </c>
      <c r="AD7" s="193" t="s">
        <v>12</v>
      </c>
      <c r="AE7" s="191">
        <v>10</v>
      </c>
      <c r="AF7" s="192" t="str">
        <f t="shared" si="7"/>
        <v/>
      </c>
      <c r="AG7" s="193" t="s">
        <v>12</v>
      </c>
      <c r="AH7" s="191">
        <v>11</v>
      </c>
      <c r="AI7" s="192" t="str">
        <f t="shared" si="8"/>
        <v/>
      </c>
      <c r="AJ7" s="193" t="s">
        <v>12</v>
      </c>
      <c r="AK7" s="191">
        <v>12</v>
      </c>
      <c r="AL7" s="192" t="str">
        <f t="shared" si="9"/>
        <v/>
      </c>
      <c r="AM7" s="193" t="s">
        <v>12</v>
      </c>
      <c r="AN7" s="191">
        <v>13</v>
      </c>
      <c r="AO7" s="194" t="str">
        <f t="shared" si="10"/>
        <v/>
      </c>
      <c r="AT7" s="195" t="str">
        <f t="shared" si="11"/>
        <v>H</v>
      </c>
      <c r="AU7" s="191">
        <f t="shared" ca="1" si="12"/>
        <v>12</v>
      </c>
      <c r="AV7" s="194" t="str">
        <f t="shared" ca="1" si="13"/>
        <v/>
      </c>
      <c r="AX7" s="4">
        <f t="shared" si="14"/>
        <v>124</v>
      </c>
      <c r="AY7" s="4">
        <f t="shared" si="17"/>
        <v>124</v>
      </c>
      <c r="AZ7" s="4">
        <f t="shared" ca="1" si="15"/>
        <v>124</v>
      </c>
      <c r="BA7" s="4">
        <f t="shared" ca="1" si="16"/>
        <v>124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130</v>
      </c>
      <c r="BH7" s="186"/>
      <c r="BI7" s="80">
        <f>RANK(BK7,BK$4:BK$15,0)</f>
        <v>4</v>
      </c>
      <c r="BJ7" s="81" t="str">
        <f>$X$2</f>
        <v>JG</v>
      </c>
      <c r="BK7" s="82">
        <f>$Z$22</f>
        <v>94.142857142857139</v>
      </c>
      <c r="BL7" s="83">
        <f>$Z$23</f>
        <v>659</v>
      </c>
      <c r="BM7" s="169"/>
      <c r="BN7" s="80">
        <v>2</v>
      </c>
      <c r="BO7" s="81" t="s">
        <v>68</v>
      </c>
      <c r="BP7" s="84">
        <v>7</v>
      </c>
      <c r="BQ7" s="85">
        <v>-24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135</v>
      </c>
    </row>
    <row r="8" spans="1:77" ht="18" customHeight="1" x14ac:dyDescent="0.2">
      <c r="B8" s="187" t="s">
        <v>113</v>
      </c>
      <c r="C8" s="188" t="s">
        <v>73</v>
      </c>
      <c r="D8" s="188" t="s">
        <v>116</v>
      </c>
      <c r="E8" s="189"/>
      <c r="F8" s="190" t="s">
        <v>12</v>
      </c>
      <c r="G8" s="191">
        <v>13</v>
      </c>
      <c r="H8" s="192" t="str">
        <f t="shared" si="18"/>
        <v/>
      </c>
      <c r="I8" s="193" t="s">
        <v>12</v>
      </c>
      <c r="J8" s="191">
        <v>16</v>
      </c>
      <c r="K8" s="192" t="str">
        <f t="shared" si="0"/>
        <v/>
      </c>
      <c r="L8" s="193" t="s">
        <v>12</v>
      </c>
      <c r="M8" s="191">
        <v>13</v>
      </c>
      <c r="N8" s="192" t="str">
        <f t="shared" si="1"/>
        <v/>
      </c>
      <c r="O8" s="193" t="s">
        <v>12</v>
      </c>
      <c r="P8" s="191">
        <v>13</v>
      </c>
      <c r="Q8" s="192" t="str">
        <f t="shared" si="2"/>
        <v/>
      </c>
      <c r="R8" s="193" t="s">
        <v>12</v>
      </c>
      <c r="S8" s="191">
        <v>11</v>
      </c>
      <c r="T8" s="192" t="str">
        <f t="shared" si="3"/>
        <v/>
      </c>
      <c r="U8" s="193" t="s">
        <v>12</v>
      </c>
      <c r="V8" s="191">
        <v>15</v>
      </c>
      <c r="W8" s="192" t="str">
        <f t="shared" si="4"/>
        <v/>
      </c>
      <c r="X8" s="193" t="s">
        <v>12</v>
      </c>
      <c r="Y8" s="191">
        <v>9</v>
      </c>
      <c r="Z8" s="192" t="str">
        <f t="shared" si="5"/>
        <v/>
      </c>
      <c r="AA8" s="193" t="s">
        <v>12</v>
      </c>
      <c r="AB8" s="191">
        <v>14</v>
      </c>
      <c r="AC8" s="192" t="str">
        <f t="shared" si="6"/>
        <v/>
      </c>
      <c r="AD8" s="193" t="s">
        <v>12</v>
      </c>
      <c r="AE8" s="191">
        <v>14</v>
      </c>
      <c r="AF8" s="192" t="str">
        <f t="shared" si="7"/>
        <v/>
      </c>
      <c r="AG8" s="193" t="s">
        <v>12</v>
      </c>
      <c r="AH8" s="191">
        <v>13</v>
      </c>
      <c r="AI8" s="192" t="str">
        <f t="shared" si="8"/>
        <v/>
      </c>
      <c r="AJ8" s="193" t="s">
        <v>12</v>
      </c>
      <c r="AK8" s="191">
        <v>13</v>
      </c>
      <c r="AL8" s="192" t="str">
        <f t="shared" si="9"/>
        <v/>
      </c>
      <c r="AM8" s="193" t="s">
        <v>12</v>
      </c>
      <c r="AN8" s="191">
        <v>5</v>
      </c>
      <c r="AO8" s="194" t="str">
        <f t="shared" si="10"/>
        <v/>
      </c>
      <c r="AT8" s="195" t="str">
        <f t="shared" si="11"/>
        <v>H</v>
      </c>
      <c r="AU8" s="191">
        <f t="shared" ca="1" si="12"/>
        <v>14</v>
      </c>
      <c r="AV8" s="194" t="str">
        <f t="shared" ca="1" si="13"/>
        <v/>
      </c>
      <c r="AX8" s="4">
        <f t="shared" si="14"/>
        <v>149</v>
      </c>
      <c r="AY8" s="4">
        <f t="shared" si="17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130</v>
      </c>
      <c r="BH8" s="186"/>
      <c r="BI8" s="80">
        <f>RANK(BK8,BK$4:BK$15,0)</f>
        <v>5</v>
      </c>
      <c r="BJ8" s="81" t="str">
        <f>$L$2</f>
        <v>CP</v>
      </c>
      <c r="BK8" s="82">
        <f>$N$22</f>
        <v>93.857142857142861</v>
      </c>
      <c r="BL8" s="83">
        <f>$N$23</f>
        <v>657</v>
      </c>
      <c r="BM8" s="169"/>
      <c r="BN8" s="80">
        <v>2</v>
      </c>
      <c r="BO8" s="81" t="s">
        <v>69</v>
      </c>
      <c r="BP8" s="84">
        <v>7</v>
      </c>
      <c r="BQ8" s="85">
        <v>-24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136</v>
      </c>
    </row>
    <row r="9" spans="1:77" ht="18" customHeight="1" x14ac:dyDescent="0.2">
      <c r="B9" s="187" t="s">
        <v>137</v>
      </c>
      <c r="C9" s="188" t="s">
        <v>73</v>
      </c>
      <c r="D9" s="188" t="s">
        <v>138</v>
      </c>
      <c r="E9" s="189"/>
      <c r="F9" s="190" t="s">
        <v>22</v>
      </c>
      <c r="G9" s="191">
        <v>12</v>
      </c>
      <c r="H9" s="192" t="str">
        <f t="shared" si="18"/>
        <v/>
      </c>
      <c r="I9" s="193" t="s">
        <v>12</v>
      </c>
      <c r="J9" s="191">
        <v>15</v>
      </c>
      <c r="K9" s="192" t="str">
        <f t="shared" si="0"/>
        <v/>
      </c>
      <c r="L9" s="193" t="s">
        <v>22</v>
      </c>
      <c r="M9" s="191">
        <v>10</v>
      </c>
      <c r="N9" s="192" t="str">
        <f t="shared" si="1"/>
        <v/>
      </c>
      <c r="O9" s="193" t="s">
        <v>22</v>
      </c>
      <c r="P9" s="191">
        <v>10</v>
      </c>
      <c r="Q9" s="192" t="str">
        <f t="shared" si="2"/>
        <v/>
      </c>
      <c r="R9" s="193" t="s">
        <v>22</v>
      </c>
      <c r="S9" s="191">
        <v>12</v>
      </c>
      <c r="T9" s="192" t="str">
        <f t="shared" si="3"/>
        <v/>
      </c>
      <c r="U9" s="193" t="s">
        <v>22</v>
      </c>
      <c r="V9" s="191">
        <v>10</v>
      </c>
      <c r="W9" s="192" t="str">
        <f t="shared" si="4"/>
        <v/>
      </c>
      <c r="X9" s="193" t="s">
        <v>22</v>
      </c>
      <c r="Y9" s="191">
        <v>14</v>
      </c>
      <c r="Z9" s="192" t="str">
        <f t="shared" si="5"/>
        <v/>
      </c>
      <c r="AA9" s="193" t="s">
        <v>22</v>
      </c>
      <c r="AB9" s="191">
        <v>13</v>
      </c>
      <c r="AC9" s="192" t="str">
        <f t="shared" si="6"/>
        <v/>
      </c>
      <c r="AD9" s="193" t="s">
        <v>22</v>
      </c>
      <c r="AE9" s="191">
        <v>15</v>
      </c>
      <c r="AF9" s="192" t="str">
        <f t="shared" si="7"/>
        <v/>
      </c>
      <c r="AG9" s="193" t="s">
        <v>22</v>
      </c>
      <c r="AH9" s="191">
        <v>10</v>
      </c>
      <c r="AI9" s="192" t="str">
        <f t="shared" si="8"/>
        <v/>
      </c>
      <c r="AJ9" s="193" t="s">
        <v>22</v>
      </c>
      <c r="AK9" s="191">
        <v>10</v>
      </c>
      <c r="AL9" s="192" t="str">
        <f t="shared" si="9"/>
        <v/>
      </c>
      <c r="AM9" s="193" t="s">
        <v>22</v>
      </c>
      <c r="AN9" s="191">
        <v>12</v>
      </c>
      <c r="AO9" s="194" t="str">
        <f t="shared" si="10"/>
        <v/>
      </c>
      <c r="AT9" s="195" t="str">
        <f t="shared" si="11"/>
        <v>V</v>
      </c>
      <c r="AU9" s="191">
        <f t="shared" ca="1" si="12"/>
        <v>11</v>
      </c>
      <c r="AV9" s="194" t="str">
        <f t="shared" ca="1" si="13"/>
        <v/>
      </c>
      <c r="AX9" s="4">
        <f t="shared" si="14"/>
        <v>-113</v>
      </c>
      <c r="AY9" s="4">
        <f t="shared" si="17"/>
        <v>113</v>
      </c>
      <c r="AZ9" s="4">
        <f t="shared" si="15"/>
        <v>113</v>
      </c>
      <c r="BA9" s="4">
        <f t="shared" ca="1" si="16"/>
        <v>113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130</v>
      </c>
      <c r="BH9" s="186"/>
      <c r="BI9" s="80">
        <f>RANK(BK9,BK$4:BK$15,0)</f>
        <v>5</v>
      </c>
      <c r="BJ9" s="81" t="str">
        <f>$AG$2</f>
        <v>KC</v>
      </c>
      <c r="BK9" s="82">
        <f>$AI$22</f>
        <v>93.857142857142861</v>
      </c>
      <c r="BL9" s="83">
        <f>$AI$23</f>
        <v>657</v>
      </c>
      <c r="BM9" s="169"/>
      <c r="BN9" s="80">
        <v>2</v>
      </c>
      <c r="BO9" s="81" t="s">
        <v>70</v>
      </c>
      <c r="BP9" s="84">
        <v>7</v>
      </c>
      <c r="BQ9" s="85">
        <v>-24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139</v>
      </c>
    </row>
    <row r="10" spans="1:77" ht="18" customHeight="1" x14ac:dyDescent="0.2">
      <c r="B10" s="187" t="s">
        <v>118</v>
      </c>
      <c r="C10" s="188" t="s">
        <v>73</v>
      </c>
      <c r="D10" s="188" t="s">
        <v>76</v>
      </c>
      <c r="E10" s="189"/>
      <c r="F10" s="190" t="s">
        <v>12</v>
      </c>
      <c r="G10" s="191">
        <v>15</v>
      </c>
      <c r="H10" s="192" t="str">
        <f t="shared" si="18"/>
        <v/>
      </c>
      <c r="I10" s="193" t="s">
        <v>12</v>
      </c>
      <c r="J10" s="191">
        <v>14</v>
      </c>
      <c r="K10" s="192" t="str">
        <f t="shared" si="0"/>
        <v/>
      </c>
      <c r="L10" s="193" t="s">
        <v>12</v>
      </c>
      <c r="M10" s="191">
        <v>15</v>
      </c>
      <c r="N10" s="192" t="str">
        <f t="shared" si="1"/>
        <v/>
      </c>
      <c r="O10" s="193" t="s">
        <v>12</v>
      </c>
      <c r="P10" s="191">
        <v>15</v>
      </c>
      <c r="Q10" s="192" t="str">
        <f t="shared" si="2"/>
        <v/>
      </c>
      <c r="R10" s="193" t="s">
        <v>12</v>
      </c>
      <c r="S10" s="191">
        <v>15</v>
      </c>
      <c r="T10" s="192" t="str">
        <f t="shared" si="3"/>
        <v/>
      </c>
      <c r="U10" s="193" t="s">
        <v>12</v>
      </c>
      <c r="V10" s="191">
        <v>14</v>
      </c>
      <c r="W10" s="192" t="str">
        <f t="shared" si="4"/>
        <v/>
      </c>
      <c r="X10" s="193" t="s">
        <v>12</v>
      </c>
      <c r="Y10" s="191">
        <v>12</v>
      </c>
      <c r="Z10" s="192" t="str">
        <f t="shared" si="5"/>
        <v/>
      </c>
      <c r="AA10" s="193" t="s">
        <v>12</v>
      </c>
      <c r="AB10" s="191">
        <v>16</v>
      </c>
      <c r="AC10" s="192" t="str">
        <f t="shared" si="6"/>
        <v/>
      </c>
      <c r="AD10" s="193" t="s">
        <v>12</v>
      </c>
      <c r="AE10" s="191">
        <v>16</v>
      </c>
      <c r="AF10" s="192" t="str">
        <f t="shared" si="7"/>
        <v/>
      </c>
      <c r="AG10" s="193" t="s">
        <v>12</v>
      </c>
      <c r="AH10" s="191">
        <v>15</v>
      </c>
      <c r="AI10" s="192" t="str">
        <f t="shared" si="8"/>
        <v/>
      </c>
      <c r="AJ10" s="193" t="s">
        <v>12</v>
      </c>
      <c r="AK10" s="191">
        <v>8</v>
      </c>
      <c r="AL10" s="192" t="str">
        <f t="shared" si="9"/>
        <v/>
      </c>
      <c r="AM10" s="193" t="s">
        <v>12</v>
      </c>
      <c r="AN10" s="191">
        <v>15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16</v>
      </c>
      <c r="AV10" s="194" t="str">
        <f t="shared" ca="1" si="13"/>
        <v/>
      </c>
      <c r="AX10" s="4">
        <f t="shared" si="14"/>
        <v>170</v>
      </c>
      <c r="AY10" s="4">
        <f t="shared" si="17"/>
        <v>170</v>
      </c>
      <c r="AZ10" s="4">
        <f t="shared" ca="1" si="15"/>
        <v>170.1</v>
      </c>
      <c r="BA10" s="4">
        <f t="shared" ca="1" si="16"/>
        <v>170.1</v>
      </c>
      <c r="BB10" s="4">
        <v>7</v>
      </c>
      <c r="BC10" s="4">
        <f ca="1">COUNTIF($AY$4:OFFSET($AY$4,0,0,BB10,1),AY10)</f>
        <v>2</v>
      </c>
      <c r="BE10" s="77">
        <f>$Y$21</f>
        <v>1</v>
      </c>
      <c r="BF10" s="78" t="str">
        <f>$X$2</f>
        <v>JG</v>
      </c>
      <c r="BG10" s="79">
        <f>$Z$21</f>
        <v>130</v>
      </c>
      <c r="BH10" s="186"/>
      <c r="BI10" s="80">
        <f>RANK(BK10,BK$4:BK$15,0)</f>
        <v>7</v>
      </c>
      <c r="BJ10" s="81" t="str">
        <f>$AA$2</f>
        <v>JH</v>
      </c>
      <c r="BK10" s="82">
        <f>$AC$22</f>
        <v>93</v>
      </c>
      <c r="BL10" s="83">
        <f>$AC$23</f>
        <v>651</v>
      </c>
      <c r="BM10" s="169"/>
      <c r="BN10" s="80">
        <v>7</v>
      </c>
      <c r="BO10" s="81" t="s">
        <v>61</v>
      </c>
      <c r="BP10" s="84">
        <v>0</v>
      </c>
      <c r="BQ10" s="85">
        <v>-24</v>
      </c>
      <c r="BR10" s="86" t="s">
        <v>0</v>
      </c>
      <c r="BS10" s="87" t="s">
        <v>0</v>
      </c>
      <c r="BT10" s="88" t="s">
        <v>57</v>
      </c>
      <c r="BU10" s="87">
        <v>24</v>
      </c>
      <c r="BV10" s="88" t="s">
        <v>0</v>
      </c>
      <c r="BW10" s="89" t="s">
        <v>0</v>
      </c>
      <c r="BY10" s="12" t="s">
        <v>140</v>
      </c>
    </row>
    <row r="11" spans="1:77" ht="18" customHeight="1" x14ac:dyDescent="0.2">
      <c r="B11" s="187" t="s">
        <v>103</v>
      </c>
      <c r="C11" s="188" t="s">
        <v>73</v>
      </c>
      <c r="D11" s="188" t="s">
        <v>141</v>
      </c>
      <c r="E11" s="189"/>
      <c r="F11" s="190" t="s">
        <v>12</v>
      </c>
      <c r="G11" s="191">
        <v>10</v>
      </c>
      <c r="H11" s="192" t="str">
        <f t="shared" si="18"/>
        <v/>
      </c>
      <c r="I11" s="193" t="s">
        <v>12</v>
      </c>
      <c r="J11" s="191">
        <v>11</v>
      </c>
      <c r="K11" s="192" t="str">
        <f t="shared" si="0"/>
        <v/>
      </c>
      <c r="L11" s="193" t="s">
        <v>12</v>
      </c>
      <c r="M11" s="191">
        <v>12</v>
      </c>
      <c r="N11" s="192" t="str">
        <f t="shared" si="1"/>
        <v/>
      </c>
      <c r="O11" s="193" t="s">
        <v>12</v>
      </c>
      <c r="P11" s="191">
        <v>12</v>
      </c>
      <c r="Q11" s="192" t="str">
        <f t="shared" si="2"/>
        <v/>
      </c>
      <c r="R11" s="193" t="s">
        <v>12</v>
      </c>
      <c r="S11" s="191">
        <v>7</v>
      </c>
      <c r="T11" s="192" t="str">
        <f t="shared" si="3"/>
        <v/>
      </c>
      <c r="U11" s="193" t="s">
        <v>22</v>
      </c>
      <c r="V11" s="191">
        <v>7</v>
      </c>
      <c r="W11" s="192" t="str">
        <f t="shared" si="4"/>
        <v/>
      </c>
      <c r="X11" s="193" t="s">
        <v>22</v>
      </c>
      <c r="Y11" s="191">
        <v>6</v>
      </c>
      <c r="Z11" s="192" t="str">
        <f t="shared" si="5"/>
        <v/>
      </c>
      <c r="AA11" s="193" t="s">
        <v>12</v>
      </c>
      <c r="AB11" s="191">
        <v>11</v>
      </c>
      <c r="AC11" s="192" t="str">
        <f t="shared" si="6"/>
        <v/>
      </c>
      <c r="AD11" s="193" t="s">
        <v>22</v>
      </c>
      <c r="AE11" s="191">
        <v>8</v>
      </c>
      <c r="AF11" s="192" t="str">
        <f t="shared" si="7"/>
        <v/>
      </c>
      <c r="AG11" s="193" t="s">
        <v>12</v>
      </c>
      <c r="AH11" s="191">
        <v>12</v>
      </c>
      <c r="AI11" s="192" t="str">
        <f t="shared" si="8"/>
        <v/>
      </c>
      <c r="AJ11" s="193" t="s">
        <v>12</v>
      </c>
      <c r="AK11" s="191">
        <v>11</v>
      </c>
      <c r="AL11" s="192" t="str">
        <f t="shared" si="9"/>
        <v/>
      </c>
      <c r="AM11" s="193" t="s">
        <v>22</v>
      </c>
      <c r="AN11" s="191">
        <v>14</v>
      </c>
      <c r="AO11" s="194" t="str">
        <f t="shared" si="10"/>
        <v/>
      </c>
      <c r="AT11" s="195" t="str">
        <f t="shared" si="11"/>
        <v>H</v>
      </c>
      <c r="AU11" s="191">
        <f t="shared" ca="1" si="12"/>
        <v>6</v>
      </c>
      <c r="AV11" s="194" t="str">
        <f t="shared" ca="1" si="13"/>
        <v/>
      </c>
      <c r="AX11" s="4">
        <f t="shared" si="14"/>
        <v>51</v>
      </c>
      <c r="AY11" s="4">
        <f t="shared" si="17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130</v>
      </c>
      <c r="BH11" s="186"/>
      <c r="BI11" s="80">
        <f>RANK(BK11,BK$4:BK$15,0)</f>
        <v>8</v>
      </c>
      <c r="BJ11" s="81" t="str">
        <f>$AD$2</f>
        <v>JL</v>
      </c>
      <c r="BK11" s="82">
        <f>$AF$22</f>
        <v>92.142857142857139</v>
      </c>
      <c r="BL11" s="83">
        <f>$AF$23</f>
        <v>645</v>
      </c>
      <c r="BM11" s="169"/>
      <c r="BN11" s="80">
        <v>8</v>
      </c>
      <c r="BO11" s="81" t="s">
        <v>71</v>
      </c>
      <c r="BP11" s="84">
        <v>-8</v>
      </c>
      <c r="BQ11" s="85">
        <v>-24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57</v>
      </c>
      <c r="BW11" s="89">
        <v>16</v>
      </c>
      <c r="BY11" s="12" t="s">
        <v>142</v>
      </c>
    </row>
    <row r="12" spans="1:77" ht="18" customHeight="1" x14ac:dyDescent="0.2">
      <c r="B12" s="187" t="s">
        <v>143</v>
      </c>
      <c r="C12" s="188" t="s">
        <v>73</v>
      </c>
      <c r="D12" s="188" t="s">
        <v>104</v>
      </c>
      <c r="E12" s="189"/>
      <c r="F12" s="190" t="s">
        <v>22</v>
      </c>
      <c r="G12" s="191">
        <v>7</v>
      </c>
      <c r="H12" s="192" t="str">
        <f t="shared" si="18"/>
        <v/>
      </c>
      <c r="I12" s="193" t="s">
        <v>22</v>
      </c>
      <c r="J12" s="191">
        <v>9</v>
      </c>
      <c r="K12" s="192" t="str">
        <f t="shared" si="0"/>
        <v/>
      </c>
      <c r="L12" s="193" t="s">
        <v>22</v>
      </c>
      <c r="M12" s="191">
        <v>7</v>
      </c>
      <c r="N12" s="192" t="str">
        <f t="shared" si="1"/>
        <v/>
      </c>
      <c r="O12" s="193" t="s">
        <v>22</v>
      </c>
      <c r="P12" s="191">
        <v>9</v>
      </c>
      <c r="Q12" s="192" t="str">
        <f t="shared" si="2"/>
        <v/>
      </c>
      <c r="R12" s="193" t="s">
        <v>22</v>
      </c>
      <c r="S12" s="191">
        <v>16</v>
      </c>
      <c r="T12" s="192" t="str">
        <f t="shared" si="3"/>
        <v/>
      </c>
      <c r="U12" s="193" t="s">
        <v>12</v>
      </c>
      <c r="V12" s="191">
        <v>5</v>
      </c>
      <c r="W12" s="192" t="str">
        <f t="shared" si="4"/>
        <v/>
      </c>
      <c r="X12" s="193" t="s">
        <v>22</v>
      </c>
      <c r="Y12" s="191">
        <v>11</v>
      </c>
      <c r="Z12" s="192" t="str">
        <f t="shared" si="5"/>
        <v/>
      </c>
      <c r="AA12" s="193" t="s">
        <v>22</v>
      </c>
      <c r="AB12" s="191">
        <v>8</v>
      </c>
      <c r="AC12" s="192" t="str">
        <f t="shared" si="6"/>
        <v/>
      </c>
      <c r="AD12" s="193" t="s">
        <v>22</v>
      </c>
      <c r="AE12" s="191">
        <v>9</v>
      </c>
      <c r="AF12" s="192" t="str">
        <f t="shared" si="7"/>
        <v/>
      </c>
      <c r="AG12" s="193" t="s">
        <v>22</v>
      </c>
      <c r="AH12" s="191">
        <v>7</v>
      </c>
      <c r="AI12" s="192" t="str">
        <f t="shared" si="8"/>
        <v/>
      </c>
      <c r="AJ12" s="193" t="s">
        <v>12</v>
      </c>
      <c r="AK12" s="191">
        <v>5</v>
      </c>
      <c r="AL12" s="192" t="str">
        <f t="shared" si="9"/>
        <v/>
      </c>
      <c r="AM12" s="193" t="s">
        <v>22</v>
      </c>
      <c r="AN12" s="191">
        <v>16</v>
      </c>
      <c r="AO12" s="194" t="str">
        <f t="shared" si="10"/>
        <v/>
      </c>
      <c r="AT12" s="195" t="str">
        <f t="shared" si="11"/>
        <v>V</v>
      </c>
      <c r="AU12" s="191">
        <f t="shared" ca="1" si="12"/>
        <v>10</v>
      </c>
      <c r="AV12" s="194" t="str">
        <f t="shared" ca="1" si="13"/>
        <v/>
      </c>
      <c r="AX12" s="4">
        <f t="shared" si="14"/>
        <v>-89</v>
      </c>
      <c r="AY12" s="4">
        <f t="shared" si="17"/>
        <v>89</v>
      </c>
      <c r="AZ12" s="4">
        <f t="shared" si="15"/>
        <v>89</v>
      </c>
      <c r="BA12" s="4">
        <f t="shared" ca="1" si="16"/>
        <v>89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130</v>
      </c>
      <c r="BH12" s="186"/>
      <c r="BI12" s="80">
        <f>RANK(BK12,BK$4:BK$15,0)</f>
        <v>9</v>
      </c>
      <c r="BJ12" s="81" t="str">
        <f>$U$2</f>
        <v>GP</v>
      </c>
      <c r="BK12" s="82">
        <f>$W$22</f>
        <v>91.857142857142861</v>
      </c>
      <c r="BL12" s="83">
        <f>$W$23</f>
        <v>643</v>
      </c>
      <c r="BM12" s="169"/>
      <c r="BN12" s="80">
        <v>9</v>
      </c>
      <c r="BO12" s="81" t="s">
        <v>62</v>
      </c>
      <c r="BP12" s="84">
        <v>-24</v>
      </c>
      <c r="BQ12" s="85">
        <v>-24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144</v>
      </c>
    </row>
    <row r="13" spans="1:77" ht="18" customHeight="1" x14ac:dyDescent="0.2">
      <c r="B13" s="187" t="s">
        <v>117</v>
      </c>
      <c r="C13" s="188" t="s">
        <v>73</v>
      </c>
      <c r="D13" s="188" t="s">
        <v>122</v>
      </c>
      <c r="E13" s="189"/>
      <c r="F13" s="190" t="s">
        <v>12</v>
      </c>
      <c r="G13" s="191">
        <v>14</v>
      </c>
      <c r="H13" s="192" t="str">
        <f t="shared" si="18"/>
        <v/>
      </c>
      <c r="I13" s="193" t="s">
        <v>12</v>
      </c>
      <c r="J13" s="191">
        <v>12</v>
      </c>
      <c r="K13" s="192" t="str">
        <f t="shared" si="0"/>
        <v/>
      </c>
      <c r="L13" s="193" t="s">
        <v>12</v>
      </c>
      <c r="M13" s="191">
        <v>14</v>
      </c>
      <c r="N13" s="192" t="str">
        <f t="shared" si="1"/>
        <v/>
      </c>
      <c r="O13" s="193" t="s">
        <v>12</v>
      </c>
      <c r="P13" s="191">
        <v>14</v>
      </c>
      <c r="Q13" s="192" t="str">
        <f t="shared" si="2"/>
        <v/>
      </c>
      <c r="R13" s="193" t="s">
        <v>12</v>
      </c>
      <c r="S13" s="191">
        <v>8</v>
      </c>
      <c r="T13" s="192" t="str">
        <f t="shared" si="3"/>
        <v/>
      </c>
      <c r="U13" s="193" t="s">
        <v>22</v>
      </c>
      <c r="V13" s="191">
        <v>4</v>
      </c>
      <c r="W13" s="192" t="str">
        <f t="shared" si="4"/>
        <v/>
      </c>
      <c r="X13" s="193" t="s">
        <v>12</v>
      </c>
      <c r="Y13" s="191">
        <v>5</v>
      </c>
      <c r="Z13" s="192" t="str">
        <f t="shared" si="5"/>
        <v/>
      </c>
      <c r="AA13" s="193" t="s">
        <v>12</v>
      </c>
      <c r="AB13" s="191">
        <v>12</v>
      </c>
      <c r="AC13" s="192" t="str">
        <f t="shared" si="6"/>
        <v/>
      </c>
      <c r="AD13" s="193" t="s">
        <v>12</v>
      </c>
      <c r="AE13" s="191">
        <v>13</v>
      </c>
      <c r="AF13" s="192" t="str">
        <f t="shared" si="7"/>
        <v/>
      </c>
      <c r="AG13" s="193" t="s">
        <v>12</v>
      </c>
      <c r="AH13" s="191">
        <v>14</v>
      </c>
      <c r="AI13" s="192" t="str">
        <f t="shared" si="8"/>
        <v/>
      </c>
      <c r="AJ13" s="193" t="s">
        <v>12</v>
      </c>
      <c r="AK13" s="191">
        <v>14</v>
      </c>
      <c r="AL13" s="192" t="str">
        <f t="shared" si="9"/>
        <v/>
      </c>
      <c r="AM13" s="193" t="s">
        <v>12</v>
      </c>
      <c r="AN13" s="191">
        <v>9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13</v>
      </c>
      <c r="AV13" s="194" t="str">
        <f t="shared" ca="1" si="13"/>
        <v/>
      </c>
      <c r="AX13" s="4">
        <f t="shared" si="14"/>
        <v>125</v>
      </c>
      <c r="AY13" s="4">
        <f t="shared" si="17"/>
        <v>125</v>
      </c>
      <c r="AZ13" s="4">
        <f t="shared" ca="1" si="15"/>
        <v>125</v>
      </c>
      <c r="BA13" s="4">
        <f t="shared" ca="1" si="16"/>
        <v>125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130</v>
      </c>
      <c r="BH13" s="186"/>
      <c r="BI13" s="80">
        <f>RANK(BK13,BK$4:BK$15,0)</f>
        <v>10</v>
      </c>
      <c r="BJ13" s="81" t="str">
        <f>$AM$2</f>
        <v>RR</v>
      </c>
      <c r="BK13" s="82">
        <f>$AO$22</f>
        <v>88.714285714285708</v>
      </c>
      <c r="BL13" s="83">
        <f>$AO$23</f>
        <v>621</v>
      </c>
      <c r="BM13" s="169"/>
      <c r="BN13" s="80">
        <v>9</v>
      </c>
      <c r="BO13" s="81" t="s">
        <v>63</v>
      </c>
      <c r="BP13" s="84">
        <v>-24</v>
      </c>
      <c r="BQ13" s="85">
        <v>-24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166</v>
      </c>
    </row>
    <row r="14" spans="1:77" ht="18" customHeight="1" x14ac:dyDescent="0.2">
      <c r="B14" s="187" t="s">
        <v>101</v>
      </c>
      <c r="C14" s="188" t="s">
        <v>73</v>
      </c>
      <c r="D14" s="188" t="s">
        <v>121</v>
      </c>
      <c r="E14" s="189"/>
      <c r="F14" s="190" t="s">
        <v>12</v>
      </c>
      <c r="G14" s="191">
        <v>4</v>
      </c>
      <c r="H14" s="192" t="str">
        <f t="shared" si="18"/>
        <v/>
      </c>
      <c r="I14" s="193" t="s">
        <v>12</v>
      </c>
      <c r="J14" s="191">
        <v>13</v>
      </c>
      <c r="K14" s="192" t="str">
        <f t="shared" si="0"/>
        <v/>
      </c>
      <c r="L14" s="193" t="s">
        <v>22</v>
      </c>
      <c r="M14" s="191">
        <v>4</v>
      </c>
      <c r="N14" s="192" t="str">
        <f t="shared" si="1"/>
        <v/>
      </c>
      <c r="O14" s="193" t="s">
        <v>22</v>
      </c>
      <c r="P14" s="191">
        <v>6</v>
      </c>
      <c r="Q14" s="192" t="str">
        <f t="shared" si="2"/>
        <v/>
      </c>
      <c r="R14" s="193" t="s">
        <v>22</v>
      </c>
      <c r="S14" s="191">
        <v>5</v>
      </c>
      <c r="T14" s="192" t="str">
        <f t="shared" si="3"/>
        <v/>
      </c>
      <c r="U14" s="193" t="s">
        <v>22</v>
      </c>
      <c r="V14" s="191">
        <v>9</v>
      </c>
      <c r="W14" s="192" t="str">
        <f t="shared" si="4"/>
        <v/>
      </c>
      <c r="X14" s="193" t="s">
        <v>22</v>
      </c>
      <c r="Y14" s="191">
        <v>13</v>
      </c>
      <c r="Z14" s="192" t="str">
        <f t="shared" si="5"/>
        <v/>
      </c>
      <c r="AA14" s="193" t="s">
        <v>12</v>
      </c>
      <c r="AB14" s="191">
        <v>5</v>
      </c>
      <c r="AC14" s="192" t="str">
        <f t="shared" si="6"/>
        <v/>
      </c>
      <c r="AD14" s="193" t="s">
        <v>12</v>
      </c>
      <c r="AE14" s="191">
        <v>5</v>
      </c>
      <c r="AF14" s="192" t="str">
        <f t="shared" si="7"/>
        <v/>
      </c>
      <c r="AG14" s="193" t="s">
        <v>12</v>
      </c>
      <c r="AH14" s="191">
        <v>4</v>
      </c>
      <c r="AI14" s="192" t="str">
        <f t="shared" si="8"/>
        <v/>
      </c>
      <c r="AJ14" s="193" t="s">
        <v>22</v>
      </c>
      <c r="AK14" s="191">
        <v>16</v>
      </c>
      <c r="AL14" s="192" t="str">
        <f t="shared" si="9"/>
        <v/>
      </c>
      <c r="AM14" s="193" t="s">
        <v>12</v>
      </c>
      <c r="AN14" s="191">
        <v>8</v>
      </c>
      <c r="AO14" s="194" t="str">
        <f t="shared" si="10"/>
        <v/>
      </c>
      <c r="AT14" s="195" t="str">
        <f t="shared" si="11"/>
        <v>V</v>
      </c>
      <c r="AU14" s="191">
        <f t="shared" ca="1" si="12"/>
        <v>4</v>
      </c>
      <c r="AV14" s="194" t="str">
        <f t="shared" ca="1" si="13"/>
        <v/>
      </c>
      <c r="AX14" s="4">
        <f t="shared" si="14"/>
        <v>-14</v>
      </c>
      <c r="AY14" s="4">
        <f t="shared" si="17"/>
        <v>14</v>
      </c>
      <c r="AZ14" s="4">
        <f t="shared" si="15"/>
        <v>14</v>
      </c>
      <c r="BA14" s="4">
        <f t="shared" ca="1" si="16"/>
        <v>14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130</v>
      </c>
      <c r="BH14" s="186"/>
      <c r="BI14" s="80">
        <f>RANK(BK14,BK$4:BK$15,0)</f>
        <v>11</v>
      </c>
      <c r="BJ14" s="81" t="str">
        <f>$R$2</f>
        <v>DH</v>
      </c>
      <c r="BK14" s="82">
        <f>$T$22</f>
        <v>85.142857142857139</v>
      </c>
      <c r="BL14" s="83">
        <f>$T$23</f>
        <v>596</v>
      </c>
      <c r="BM14" s="169"/>
      <c r="BN14" s="80">
        <v>9</v>
      </c>
      <c r="BO14" s="81" t="s">
        <v>65</v>
      </c>
      <c r="BP14" s="84">
        <v>-24</v>
      </c>
      <c r="BQ14" s="85">
        <v>-24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145</v>
      </c>
    </row>
    <row r="15" spans="1:77" ht="18" customHeight="1" thickBot="1" x14ac:dyDescent="0.25">
      <c r="B15" s="187" t="s">
        <v>106</v>
      </c>
      <c r="C15" s="188" t="s">
        <v>73</v>
      </c>
      <c r="D15" s="188" t="s">
        <v>114</v>
      </c>
      <c r="E15" s="189"/>
      <c r="F15" s="190" t="s">
        <v>22</v>
      </c>
      <c r="G15" s="191">
        <v>8</v>
      </c>
      <c r="H15" s="192" t="str">
        <f t="shared" si="18"/>
        <v/>
      </c>
      <c r="I15" s="193" t="s">
        <v>12</v>
      </c>
      <c r="J15" s="191">
        <v>5</v>
      </c>
      <c r="K15" s="192" t="str">
        <f t="shared" si="0"/>
        <v/>
      </c>
      <c r="L15" s="193" t="s">
        <v>22</v>
      </c>
      <c r="M15" s="191">
        <v>8</v>
      </c>
      <c r="N15" s="192" t="str">
        <f t="shared" si="1"/>
        <v/>
      </c>
      <c r="O15" s="193" t="s">
        <v>22</v>
      </c>
      <c r="P15" s="191">
        <v>8</v>
      </c>
      <c r="Q15" s="192" t="str">
        <f t="shared" si="2"/>
        <v/>
      </c>
      <c r="R15" s="193" t="s">
        <v>22</v>
      </c>
      <c r="S15" s="191">
        <v>6</v>
      </c>
      <c r="T15" s="192" t="str">
        <f t="shared" si="3"/>
        <v/>
      </c>
      <c r="U15" s="193" t="s">
        <v>22</v>
      </c>
      <c r="V15" s="191">
        <v>8</v>
      </c>
      <c r="W15" s="192" t="str">
        <f t="shared" si="4"/>
        <v/>
      </c>
      <c r="X15" s="193" t="s">
        <v>22</v>
      </c>
      <c r="Y15" s="191">
        <v>4</v>
      </c>
      <c r="Z15" s="192" t="str">
        <f t="shared" si="5"/>
        <v/>
      </c>
      <c r="AA15" s="193" t="s">
        <v>12</v>
      </c>
      <c r="AB15" s="191">
        <v>6</v>
      </c>
      <c r="AC15" s="192" t="str">
        <f t="shared" si="6"/>
        <v/>
      </c>
      <c r="AD15" s="193" t="s">
        <v>22</v>
      </c>
      <c r="AE15" s="191">
        <v>4</v>
      </c>
      <c r="AF15" s="192" t="str">
        <f t="shared" si="7"/>
        <v/>
      </c>
      <c r="AG15" s="193" t="s">
        <v>22</v>
      </c>
      <c r="AH15" s="191">
        <v>8</v>
      </c>
      <c r="AI15" s="192" t="str">
        <f t="shared" si="8"/>
        <v/>
      </c>
      <c r="AJ15" s="193" t="s">
        <v>22</v>
      </c>
      <c r="AK15" s="191">
        <v>7</v>
      </c>
      <c r="AL15" s="192" t="str">
        <f t="shared" si="9"/>
        <v/>
      </c>
      <c r="AM15" s="193" t="s">
        <v>22</v>
      </c>
      <c r="AN15" s="191">
        <v>6</v>
      </c>
      <c r="AO15" s="194" t="str">
        <f t="shared" si="10"/>
        <v/>
      </c>
      <c r="AT15" s="195" t="str">
        <f t="shared" si="11"/>
        <v>V</v>
      </c>
      <c r="AU15" s="191">
        <f t="shared" ca="1" si="12"/>
        <v>7</v>
      </c>
      <c r="AV15" s="194" t="str">
        <f t="shared" ca="1" si="13"/>
        <v/>
      </c>
      <c r="AX15" s="4">
        <f t="shared" si="14"/>
        <v>-56</v>
      </c>
      <c r="AY15" s="4">
        <f t="shared" si="17"/>
        <v>56</v>
      </c>
      <c r="AZ15" s="4">
        <f t="shared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130</v>
      </c>
      <c r="BH15" s="186"/>
      <c r="BI15" s="93">
        <f>RANK(BK15,BK$4:BK$15,0)</f>
        <v>12</v>
      </c>
      <c r="BJ15" s="94" t="str">
        <f>$I$2</f>
        <v>CK</v>
      </c>
      <c r="BK15" s="95">
        <f>$K$22</f>
        <v>81.428571428571431</v>
      </c>
      <c r="BL15" s="96">
        <f>$K$23</f>
        <v>570</v>
      </c>
      <c r="BM15" s="169"/>
      <c r="BN15" s="93">
        <v>9</v>
      </c>
      <c r="BO15" s="94" t="s">
        <v>72</v>
      </c>
      <c r="BP15" s="97">
        <v>-24</v>
      </c>
      <c r="BQ15" s="98">
        <v>-24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146</v>
      </c>
    </row>
    <row r="16" spans="1:77" ht="18" customHeight="1" thickTop="1" x14ac:dyDescent="0.2">
      <c r="B16" s="187" t="s">
        <v>0</v>
      </c>
      <c r="C16" s="188" t="s">
        <v>0</v>
      </c>
      <c r="D16" s="188" t="s">
        <v>0</v>
      </c>
      <c r="E16" s="189"/>
      <c r="F16" s="190"/>
      <c r="G16" s="191"/>
      <c r="H16" s="192" t="str">
        <f t="shared" si="18"/>
        <v/>
      </c>
      <c r="I16" s="193"/>
      <c r="J16" s="191"/>
      <c r="K16" s="192" t="str">
        <f t="shared" si="0"/>
        <v/>
      </c>
      <c r="L16" s="193"/>
      <c r="M16" s="191"/>
      <c r="N16" s="192" t="str">
        <f t="shared" si="1"/>
        <v/>
      </c>
      <c r="O16" s="193"/>
      <c r="P16" s="191"/>
      <c r="Q16" s="192" t="str">
        <f t="shared" si="2"/>
        <v/>
      </c>
      <c r="R16" s="193"/>
      <c r="S16" s="191"/>
      <c r="T16" s="192" t="str">
        <f t="shared" si="3"/>
        <v/>
      </c>
      <c r="U16" s="193"/>
      <c r="V16" s="191"/>
      <c r="W16" s="192" t="str">
        <f t="shared" si="4"/>
        <v/>
      </c>
      <c r="X16" s="193"/>
      <c r="Y16" s="191"/>
      <c r="Z16" s="192" t="str">
        <f t="shared" si="5"/>
        <v/>
      </c>
      <c r="AA16" s="193"/>
      <c r="AB16" s="191"/>
      <c r="AC16" s="192" t="str">
        <f t="shared" si="6"/>
        <v/>
      </c>
      <c r="AD16" s="193"/>
      <c r="AE16" s="191"/>
      <c r="AF16" s="192" t="str">
        <f t="shared" si="7"/>
        <v/>
      </c>
      <c r="AG16" s="193"/>
      <c r="AH16" s="191"/>
      <c r="AI16" s="192" t="str">
        <f t="shared" si="8"/>
        <v/>
      </c>
      <c r="AJ16" s="193"/>
      <c r="AK16" s="191"/>
      <c r="AL16" s="192" t="str">
        <f t="shared" si="9"/>
        <v/>
      </c>
      <c r="AM16" s="193"/>
      <c r="AN16" s="191"/>
      <c r="AO16" s="194" t="str">
        <f t="shared" si="10"/>
        <v/>
      </c>
      <c r="AT16" s="195" t="str">
        <f t="shared" si="11"/>
        <v/>
      </c>
      <c r="AU16" s="191" t="str">
        <f t="shared" si="12"/>
        <v/>
      </c>
      <c r="AV16" s="194" t="str">
        <f t="shared" si="13"/>
        <v/>
      </c>
      <c r="AX16" s="4">
        <f t="shared" si="14"/>
        <v>0</v>
      </c>
      <c r="AY16" s="4">
        <f t="shared" si="17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">
        <v>147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">
        <v>148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">
        <v>149</v>
      </c>
    </row>
    <row r="19" spans="1:77" ht="18" customHeight="1" x14ac:dyDescent="0.2">
      <c r="B19" s="187" t="s">
        <v>124</v>
      </c>
      <c r="C19" s="188" t="s">
        <v>73</v>
      </c>
      <c r="D19" s="188" t="s">
        <v>150</v>
      </c>
      <c r="E19" s="189"/>
      <c r="F19" s="190" t="s">
        <v>22</v>
      </c>
      <c r="G19" s="191">
        <v>6</v>
      </c>
      <c r="H19" s="192" t="str">
        <f t="shared" si="18"/>
        <v/>
      </c>
      <c r="I19" s="193" t="s">
        <v>12</v>
      </c>
      <c r="J19" s="191">
        <v>4</v>
      </c>
      <c r="K19" s="192" t="str">
        <f t="shared" si="0"/>
        <v/>
      </c>
      <c r="L19" s="193" t="s">
        <v>22</v>
      </c>
      <c r="M19" s="191">
        <v>6</v>
      </c>
      <c r="N19" s="192" t="str">
        <f t="shared" si="1"/>
        <v/>
      </c>
      <c r="O19" s="193" t="s">
        <v>12</v>
      </c>
      <c r="P19" s="191">
        <v>4</v>
      </c>
      <c r="Q19" s="192" t="str">
        <f t="shared" si="2"/>
        <v/>
      </c>
      <c r="R19" s="193" t="s">
        <v>22</v>
      </c>
      <c r="S19" s="191">
        <v>13</v>
      </c>
      <c r="T19" s="192" t="str">
        <f t="shared" si="3"/>
        <v/>
      </c>
      <c r="U19" s="193" t="s">
        <v>22</v>
      </c>
      <c r="V19" s="191">
        <v>6</v>
      </c>
      <c r="W19" s="192" t="str">
        <f t="shared" si="4"/>
        <v/>
      </c>
      <c r="X19" s="193" t="s">
        <v>22</v>
      </c>
      <c r="Y19" s="191">
        <v>10</v>
      </c>
      <c r="Z19" s="192" t="str">
        <f t="shared" si="5"/>
        <v/>
      </c>
      <c r="AA19" s="193" t="s">
        <v>22</v>
      </c>
      <c r="AB19" s="191">
        <v>7</v>
      </c>
      <c r="AC19" s="192" t="str">
        <f t="shared" si="6"/>
        <v/>
      </c>
      <c r="AD19" s="193" t="s">
        <v>22</v>
      </c>
      <c r="AE19" s="191">
        <v>6</v>
      </c>
      <c r="AF19" s="192" t="str">
        <f t="shared" si="7"/>
        <v/>
      </c>
      <c r="AG19" s="193" t="s">
        <v>22</v>
      </c>
      <c r="AH19" s="191">
        <v>6</v>
      </c>
      <c r="AI19" s="192" t="str">
        <f t="shared" si="8"/>
        <v/>
      </c>
      <c r="AJ19" s="193" t="s">
        <v>22</v>
      </c>
      <c r="AK19" s="191">
        <v>6</v>
      </c>
      <c r="AL19" s="192" t="str">
        <f t="shared" si="9"/>
        <v/>
      </c>
      <c r="AM19" s="193" t="s">
        <v>22</v>
      </c>
      <c r="AN19" s="191">
        <v>7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8</v>
      </c>
      <c r="AV19" s="194" t="str">
        <f t="shared" ca="1" si="13"/>
        <v/>
      </c>
      <c r="AX19" s="4">
        <f t="shared" si="14"/>
        <v>-65</v>
      </c>
      <c r="AY19" s="4">
        <f t="shared" si="17"/>
        <v>65</v>
      </c>
      <c r="AZ19" s="4">
        <f t="shared" si="15"/>
        <v>65</v>
      </c>
      <c r="BA19" s="4">
        <f t="shared" ca="1" si="16"/>
        <v>65</v>
      </c>
      <c r="BB19" s="4">
        <v>16</v>
      </c>
      <c r="BC19" s="4">
        <f ca="1">COUNTIF($AY$4:OFFSET($AY$4,0,0,BB19,1),AY19)</f>
        <v>1</v>
      </c>
      <c r="BY19" s="12" t="s">
        <v>151</v>
      </c>
    </row>
    <row r="20" spans="1:77" ht="15" customHeight="1" x14ac:dyDescent="0.2">
      <c r="B20" s="103"/>
      <c r="C20" s="104"/>
      <c r="D20" s="104"/>
      <c r="E20" s="196" t="s">
        <v>82</v>
      </c>
      <c r="F20" s="105" t="s">
        <v>74</v>
      </c>
      <c r="G20" s="106">
        <v>41</v>
      </c>
      <c r="H20" s="119"/>
      <c r="I20" s="107" t="s">
        <v>74</v>
      </c>
      <c r="J20" s="106">
        <v>48</v>
      </c>
      <c r="K20" s="119"/>
      <c r="L20" s="107" t="s">
        <v>74</v>
      </c>
      <c r="M20" s="106">
        <v>43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51</v>
      </c>
      <c r="T20" s="119"/>
      <c r="U20" s="107" t="s">
        <v>74</v>
      </c>
      <c r="V20" s="106">
        <v>58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41</v>
      </c>
      <c r="AC20" s="119"/>
      <c r="AD20" s="107" t="s">
        <v>74</v>
      </c>
      <c r="AE20" s="106">
        <v>45</v>
      </c>
      <c r="AF20" s="119"/>
      <c r="AG20" s="107" t="s">
        <v>74</v>
      </c>
      <c r="AH20" s="106">
        <v>43</v>
      </c>
      <c r="AI20" s="119"/>
      <c r="AJ20" s="107" t="s">
        <v>74</v>
      </c>
      <c r="AK20" s="106">
        <v>48</v>
      </c>
      <c r="AL20" s="119"/>
      <c r="AM20" s="107" t="s">
        <v>74</v>
      </c>
      <c r="AN20" s="106">
        <v>38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152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130</v>
      </c>
      <c r="I21" s="203"/>
      <c r="J21" s="201">
        <f>RANK(K21,$H34:$AO34,0)+J52</f>
        <v>1</v>
      </c>
      <c r="K21" s="202">
        <f>IF(SUM(J4:J19)&gt;0,SUM(K4:K19)+$F$31,0)</f>
        <v>130</v>
      </c>
      <c r="L21" s="203"/>
      <c r="M21" s="201">
        <f>RANK(N21,$H34:$AO34,0)+M52</f>
        <v>1</v>
      </c>
      <c r="N21" s="202">
        <f>IF(SUM(M4:M19)&gt;0,SUM(N4:N19)+$F$31,0)</f>
        <v>130</v>
      </c>
      <c r="O21" s="203"/>
      <c r="P21" s="201">
        <f>RANK(Q21,$H34:$AO34,0)+P52</f>
        <v>1</v>
      </c>
      <c r="Q21" s="202">
        <f>IF(SUM(P4:P19)&gt;0,SUM(Q4:Q19)+$F$31,0)</f>
        <v>130</v>
      </c>
      <c r="R21" s="203"/>
      <c r="S21" s="201">
        <f>RANK(T21,$H34:$AO34,0)+S52</f>
        <v>1</v>
      </c>
      <c r="T21" s="202">
        <f>IF(SUM(S4:S19)&gt;0,SUM(T4:T19)+$F$31,0)</f>
        <v>130</v>
      </c>
      <c r="U21" s="203"/>
      <c r="V21" s="201">
        <f>RANK(W21,$H34:$AO34,0)+V52</f>
        <v>1</v>
      </c>
      <c r="W21" s="202">
        <f>IF(SUM(V4:V19)&gt;0,SUM(W4:W19)+$F$31,0)</f>
        <v>130</v>
      </c>
      <c r="X21" s="203"/>
      <c r="Y21" s="201">
        <f>RANK(Z21,$H34:$AO34,0)+Y52</f>
        <v>1</v>
      </c>
      <c r="Z21" s="202">
        <f>IF(SUM(Y4:Y19)&gt;0,SUM(Z4:Z19)+$F$31,0)</f>
        <v>130</v>
      </c>
      <c r="AA21" s="203"/>
      <c r="AB21" s="201">
        <f>RANK(AC21,$H34:$AO34,0)+AB52</f>
        <v>1</v>
      </c>
      <c r="AC21" s="202">
        <f>IF(SUM(AB4:AB19)&gt;0,SUM(AC4:AC19)+$F$31,0)</f>
        <v>130</v>
      </c>
      <c r="AD21" s="203"/>
      <c r="AE21" s="201">
        <f>RANK(AF21,$H34:$AO34,0)+AE52</f>
        <v>1</v>
      </c>
      <c r="AF21" s="202">
        <f>IF(SUM(AE4:AE19)&gt;0,SUM(AF4:AF19)+$F$31,0)</f>
        <v>130</v>
      </c>
      <c r="AG21" s="203"/>
      <c r="AH21" s="201">
        <f>RANK(AI21,$H34:$AO34,0)+AH52</f>
        <v>1</v>
      </c>
      <c r="AI21" s="202">
        <f>IF(SUM(AH4:AH19)&gt;0,SUM(AI4:AI19)+$F$31,0)</f>
        <v>130</v>
      </c>
      <c r="AJ21" s="203"/>
      <c r="AK21" s="201">
        <f>RANK(AL21,$H34:$AO34,0)+AK52</f>
        <v>1</v>
      </c>
      <c r="AL21" s="202">
        <f>IF(SUM(AK4:AK19)&gt;0,SUM(AL4:AL19)+$F$31,0)</f>
        <v>130</v>
      </c>
      <c r="AM21" s="203"/>
      <c r="AN21" s="201">
        <f>RANK(AO21,$H34:$AO34,0)+AN52</f>
        <v>1</v>
      </c>
      <c r="AO21" s="204">
        <f>IF(SUM(AN4:AN19)&gt;0,SUM(AO4:AO19)+$F$31,0)</f>
        <v>130</v>
      </c>
      <c r="AP21" s="3"/>
      <c r="AT21" s="205"/>
      <c r="AU21" s="206">
        <f ca="1">RANK(AV34,$H34:$AV34,0)</f>
        <v>1</v>
      </c>
      <c r="AV21" s="207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153</v>
      </c>
    </row>
    <row r="22" spans="1:77" s="15" customFormat="1" ht="18" customHeight="1" x14ac:dyDescent="0.2">
      <c r="A22" s="3"/>
      <c r="B22" s="121"/>
      <c r="C22" s="122"/>
      <c r="D22" s="122"/>
      <c r="E22" s="123" t="s">
        <v>83</v>
      </c>
      <c r="F22" s="124"/>
      <c r="G22" s="125">
        <v>1</v>
      </c>
      <c r="H22" s="126">
        <v>96.285714285714292</v>
      </c>
      <c r="I22" s="127"/>
      <c r="J22" s="125">
        <v>12</v>
      </c>
      <c r="K22" s="126">
        <v>81.428571428571431</v>
      </c>
      <c r="L22" s="127"/>
      <c r="M22" s="125">
        <v>5</v>
      </c>
      <c r="N22" s="126">
        <v>93.857142857142861</v>
      </c>
      <c r="O22" s="127"/>
      <c r="P22" s="125">
        <v>3</v>
      </c>
      <c r="Q22" s="126">
        <v>94.571428571428569</v>
      </c>
      <c r="R22" s="127"/>
      <c r="S22" s="125">
        <v>11</v>
      </c>
      <c r="T22" s="126">
        <v>85.142857142857139</v>
      </c>
      <c r="U22" s="127"/>
      <c r="V22" s="125">
        <v>9</v>
      </c>
      <c r="W22" s="126">
        <v>91.857142857142861</v>
      </c>
      <c r="X22" s="127"/>
      <c r="Y22" s="125">
        <v>4</v>
      </c>
      <c r="Z22" s="126">
        <v>94.142857142857139</v>
      </c>
      <c r="AA22" s="127"/>
      <c r="AB22" s="125">
        <v>7</v>
      </c>
      <c r="AC22" s="126">
        <v>93</v>
      </c>
      <c r="AD22" s="127"/>
      <c r="AE22" s="125">
        <v>8</v>
      </c>
      <c r="AF22" s="126">
        <v>92.142857142857139</v>
      </c>
      <c r="AG22" s="127"/>
      <c r="AH22" s="125">
        <v>5</v>
      </c>
      <c r="AI22" s="126">
        <v>93.857142857142861</v>
      </c>
      <c r="AJ22" s="127"/>
      <c r="AK22" s="125">
        <v>2</v>
      </c>
      <c r="AL22" s="126">
        <v>95.714285714285708</v>
      </c>
      <c r="AM22" s="127"/>
      <c r="AN22" s="125">
        <v>10</v>
      </c>
      <c r="AO22" s="128">
        <v>88.714285714285708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154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674</v>
      </c>
      <c r="I23" s="135"/>
      <c r="J23" s="133"/>
      <c r="K23" s="134">
        <v>570</v>
      </c>
      <c r="L23" s="135"/>
      <c r="M23" s="133"/>
      <c r="N23" s="134">
        <v>657</v>
      </c>
      <c r="O23" s="135"/>
      <c r="P23" s="133"/>
      <c r="Q23" s="134">
        <v>662</v>
      </c>
      <c r="R23" s="135"/>
      <c r="S23" s="133"/>
      <c r="T23" s="134">
        <v>596</v>
      </c>
      <c r="U23" s="135"/>
      <c r="V23" s="133"/>
      <c r="W23" s="134">
        <v>643</v>
      </c>
      <c r="X23" s="135"/>
      <c r="Y23" s="133"/>
      <c r="Z23" s="134">
        <v>659</v>
      </c>
      <c r="AA23" s="135"/>
      <c r="AB23" s="133"/>
      <c r="AC23" s="134">
        <v>651</v>
      </c>
      <c r="AD23" s="135"/>
      <c r="AE23" s="133"/>
      <c r="AF23" s="134">
        <v>645</v>
      </c>
      <c r="AG23" s="135"/>
      <c r="AH23" s="133"/>
      <c r="AI23" s="134">
        <v>657</v>
      </c>
      <c r="AJ23" s="135"/>
      <c r="AK23" s="133"/>
      <c r="AL23" s="134">
        <v>670</v>
      </c>
      <c r="AM23" s="135"/>
      <c r="AN23" s="133"/>
      <c r="AO23" s="136">
        <v>621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155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156</v>
      </c>
    </row>
    <row r="25" spans="1:77" s="13" customFormat="1" ht="18" customHeight="1" x14ac:dyDescent="0.2">
      <c r="A25" s="3"/>
      <c r="B25" s="129"/>
      <c r="C25" s="130"/>
      <c r="D25" s="130"/>
      <c r="E25" s="131" t="s">
        <v>84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167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85</v>
      </c>
      <c r="F26" s="141"/>
      <c r="G26" s="142">
        <v>0.65546218487394958</v>
      </c>
      <c r="H26" s="143">
        <v>78</v>
      </c>
      <c r="I26" s="144"/>
      <c r="J26" s="142">
        <v>0.48739495798319327</v>
      </c>
      <c r="K26" s="143">
        <v>58</v>
      </c>
      <c r="L26" s="144"/>
      <c r="M26" s="142">
        <v>0.57983193277310929</v>
      </c>
      <c r="N26" s="143">
        <v>69</v>
      </c>
      <c r="O26" s="144"/>
      <c r="P26" s="142">
        <v>0.6470588235294118</v>
      </c>
      <c r="Q26" s="143">
        <v>77</v>
      </c>
      <c r="R26" s="144"/>
      <c r="S26" s="142">
        <v>0.5714285714285714</v>
      </c>
      <c r="T26" s="143">
        <v>68</v>
      </c>
      <c r="U26" s="144"/>
      <c r="V26" s="142">
        <v>0.60504201680672265</v>
      </c>
      <c r="W26" s="143">
        <v>72</v>
      </c>
      <c r="X26" s="144"/>
      <c r="Y26" s="142">
        <v>0.6470588235294118</v>
      </c>
      <c r="Z26" s="143">
        <v>77</v>
      </c>
      <c r="AA26" s="144"/>
      <c r="AB26" s="142">
        <v>0.6386554621848739</v>
      </c>
      <c r="AC26" s="143">
        <v>76</v>
      </c>
      <c r="AD26" s="144"/>
      <c r="AE26" s="142">
        <v>0.60504201680672265</v>
      </c>
      <c r="AF26" s="143">
        <v>72</v>
      </c>
      <c r="AG26" s="144"/>
      <c r="AH26" s="142">
        <v>0.62184873949579833</v>
      </c>
      <c r="AI26" s="143">
        <v>74</v>
      </c>
      <c r="AJ26" s="144"/>
      <c r="AK26" s="142">
        <v>0.63025210084033612</v>
      </c>
      <c r="AL26" s="143">
        <v>75</v>
      </c>
      <c r="AM26" s="144"/>
      <c r="AN26" s="142">
        <v>0.5714285714285714</v>
      </c>
      <c r="AO26" s="145">
        <v>68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157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119</v>
      </c>
      <c r="Q27" s="147"/>
      <c r="R27" s="147"/>
      <c r="S27" s="147"/>
      <c r="T27" s="147"/>
      <c r="U27" s="147"/>
      <c r="V27" s="147"/>
      <c r="W27" s="147"/>
      <c r="X27" s="149" t="s">
        <v>86</v>
      </c>
      <c r="Y27" s="151">
        <v>24</v>
      </c>
      <c r="Z27" s="147"/>
      <c r="AA27" s="149"/>
      <c r="AB27" s="150"/>
      <c r="AC27" s="147"/>
      <c r="AD27" s="149"/>
      <c r="AE27" s="150"/>
      <c r="AF27" s="147"/>
      <c r="AG27" s="149" t="s">
        <v>87</v>
      </c>
      <c r="AH27" s="151">
        <v>16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158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159</v>
      </c>
    </row>
    <row r="29" spans="1:77" s="7" customFormat="1" ht="21" customHeight="1" x14ac:dyDescent="0.2">
      <c r="A29" s="3"/>
      <c r="B29" s="22" t="s">
        <v>17</v>
      </c>
      <c r="C29" s="16" t="s">
        <v>160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168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161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88</v>
      </c>
      <c r="F31" s="23"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89</v>
      </c>
      <c r="F32" s="3"/>
      <c r="G32" s="25">
        <f>SUM(G4:G19)</f>
        <v>130</v>
      </c>
      <c r="H32" s="26"/>
      <c r="I32" s="26"/>
      <c r="J32" s="25">
        <f>SUM(J4:J19)</f>
        <v>130</v>
      </c>
      <c r="K32" s="26"/>
      <c r="L32" s="26"/>
      <c r="M32" s="25">
        <f>SUM(M4:M19)</f>
        <v>130</v>
      </c>
      <c r="P32" s="25">
        <f>SUM(P4:P19)</f>
        <v>130</v>
      </c>
      <c r="S32" s="25">
        <f>SUM(S4:S19)</f>
        <v>130</v>
      </c>
      <c r="V32" s="25">
        <f>SUM(V4:V19)</f>
        <v>130</v>
      </c>
      <c r="Y32" s="25">
        <f>SUM(Y4:Y19)</f>
        <v>130</v>
      </c>
      <c r="AB32" s="25">
        <f>SUM(AB4:AB19)</f>
        <v>130</v>
      </c>
      <c r="AE32" s="25">
        <f>SUM(AE4:AE19)</f>
        <v>130</v>
      </c>
      <c r="AH32" s="25">
        <f>SUM(AH4:AH19)</f>
        <v>130</v>
      </c>
      <c r="AK32" s="25">
        <f>SUM(AK4:AK19)</f>
        <v>130</v>
      </c>
      <c r="AN32" s="25">
        <f>SUM(AN4:AN19)</f>
        <v>130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130</v>
      </c>
      <c r="I34" s="26"/>
      <c r="J34" s="26"/>
      <c r="K34" s="26">
        <f t="shared" ref="K34:K39" si="20">K21</f>
        <v>130</v>
      </c>
      <c r="L34" s="26"/>
      <c r="M34" s="26"/>
      <c r="N34" s="26">
        <f t="shared" ref="N34:N39" si="21">N21</f>
        <v>130</v>
      </c>
      <c r="Q34" s="26">
        <f t="shared" ref="Q34:Q39" si="22">Q21</f>
        <v>130</v>
      </c>
      <c r="T34" s="26">
        <f t="shared" ref="T34:T39" si="23">T21</f>
        <v>130</v>
      </c>
      <c r="W34" s="26">
        <f t="shared" ref="W34:W39" si="24">W21</f>
        <v>130</v>
      </c>
      <c r="Z34" s="26">
        <f t="shared" ref="Z34:Z39" si="25">Z21</f>
        <v>130</v>
      </c>
      <c r="AC34" s="26">
        <f t="shared" ref="AC34:AC39" si="26">AC21</f>
        <v>130</v>
      </c>
      <c r="AF34" s="26">
        <f t="shared" ref="AF34:AF39" si="27">AF21</f>
        <v>130</v>
      </c>
      <c r="AI34" s="26">
        <f t="shared" ref="AI34:AI39" si="28">AI21</f>
        <v>130</v>
      </c>
      <c r="AL34" s="26">
        <f t="shared" ref="AL34:AL39" si="29">AL21</f>
        <v>130</v>
      </c>
      <c r="AO34" s="26">
        <f t="shared" ref="AO34:AO39" si="30">AO21</f>
        <v>130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96.285714285714292</v>
      </c>
      <c r="I35" s="3"/>
      <c r="J35" s="3"/>
      <c r="K35" s="28">
        <f t="shared" si="20"/>
        <v>81.428571428571431</v>
      </c>
      <c r="L35" s="3"/>
      <c r="M35" s="3"/>
      <c r="N35" s="28">
        <f t="shared" si="21"/>
        <v>93.857142857142861</v>
      </c>
      <c r="Q35" s="28">
        <f t="shared" si="22"/>
        <v>94.571428571428569</v>
      </c>
      <c r="T35" s="28">
        <f t="shared" si="23"/>
        <v>85.142857142857139</v>
      </c>
      <c r="W35" s="28">
        <f t="shared" si="24"/>
        <v>91.857142857142861</v>
      </c>
      <c r="Z35" s="28">
        <f t="shared" si="25"/>
        <v>94.142857142857139</v>
      </c>
      <c r="AC35" s="28">
        <f t="shared" si="26"/>
        <v>93</v>
      </c>
      <c r="AF35" s="28">
        <f t="shared" si="27"/>
        <v>92.142857142857139</v>
      </c>
      <c r="AI35" s="28">
        <f t="shared" si="28"/>
        <v>93.857142857142861</v>
      </c>
      <c r="AL35" s="28">
        <f t="shared" si="29"/>
        <v>95.714285714285708</v>
      </c>
      <c r="AO35" s="28">
        <f t="shared" si="30"/>
        <v>88.714285714285708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674</v>
      </c>
      <c r="I36" s="3"/>
      <c r="J36" s="3"/>
      <c r="K36" s="28">
        <f t="shared" si="20"/>
        <v>570</v>
      </c>
      <c r="L36" s="3"/>
      <c r="M36" s="3"/>
      <c r="N36" s="28">
        <f t="shared" si="21"/>
        <v>657</v>
      </c>
      <c r="Q36" s="28">
        <f t="shared" si="22"/>
        <v>662</v>
      </c>
      <c r="T36" s="28">
        <f t="shared" si="23"/>
        <v>596</v>
      </c>
      <c r="W36" s="28">
        <f t="shared" si="24"/>
        <v>643</v>
      </c>
      <c r="Z36" s="28">
        <f t="shared" si="25"/>
        <v>659</v>
      </c>
      <c r="AC36" s="28">
        <f t="shared" si="26"/>
        <v>651</v>
      </c>
      <c r="AF36" s="28">
        <f t="shared" si="27"/>
        <v>645</v>
      </c>
      <c r="AI36" s="28">
        <f t="shared" si="28"/>
        <v>657</v>
      </c>
      <c r="AL36" s="28">
        <f t="shared" si="29"/>
        <v>670</v>
      </c>
      <c r="AO36" s="28">
        <f t="shared" si="30"/>
        <v>621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78</v>
      </c>
      <c r="I39" s="3"/>
      <c r="J39" s="3"/>
      <c r="K39" s="28">
        <f t="shared" si="20"/>
        <v>58</v>
      </c>
      <c r="L39" s="3"/>
      <c r="M39" s="3"/>
      <c r="N39" s="28">
        <f t="shared" si="21"/>
        <v>69</v>
      </c>
      <c r="Q39" s="28">
        <f t="shared" si="22"/>
        <v>77</v>
      </c>
      <c r="T39" s="28">
        <f t="shared" si="23"/>
        <v>68</v>
      </c>
      <c r="W39" s="28">
        <f t="shared" si="24"/>
        <v>72</v>
      </c>
      <c r="Z39" s="28">
        <f t="shared" si="25"/>
        <v>77</v>
      </c>
      <c r="AC39" s="28">
        <f t="shared" si="26"/>
        <v>76</v>
      </c>
      <c r="AF39" s="28">
        <f t="shared" si="27"/>
        <v>72</v>
      </c>
      <c r="AI39" s="28">
        <f t="shared" si="28"/>
        <v>74</v>
      </c>
      <c r="AL39" s="28">
        <f t="shared" si="29"/>
        <v>75</v>
      </c>
      <c r="AO39" s="28">
        <f t="shared" si="30"/>
        <v>68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5</v>
      </c>
      <c r="N40" s="28"/>
      <c r="P40" s="27">
        <f>P22</f>
        <v>3</v>
      </c>
      <c r="Q40" s="28"/>
      <c r="S40" s="27">
        <f>S22</f>
        <v>11</v>
      </c>
      <c r="T40" s="28"/>
      <c r="V40" s="27">
        <f>V22</f>
        <v>9</v>
      </c>
      <c r="W40" s="28"/>
      <c r="Y40" s="27">
        <f>Y22</f>
        <v>4</v>
      </c>
      <c r="Z40" s="28"/>
      <c r="AB40" s="27">
        <f>AB22</f>
        <v>7</v>
      </c>
      <c r="AC40" s="28"/>
      <c r="AE40" s="27">
        <f>AE22</f>
        <v>8</v>
      </c>
      <c r="AF40" s="28"/>
      <c r="AH40" s="27">
        <f>AH22</f>
        <v>5</v>
      </c>
      <c r="AI40" s="28"/>
      <c r="AK40" s="27">
        <f>AK22</f>
        <v>2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90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91</v>
      </c>
      <c r="BY41" s="12"/>
    </row>
    <row r="42" spans="4:77" ht="12.95" hidden="1" customHeight="1" x14ac:dyDescent="0.2">
      <c r="D42" s="3"/>
      <c r="E42" s="3"/>
      <c r="F42" s="3"/>
      <c r="G42" s="27">
        <f>G26</f>
        <v>0.65546218487394958</v>
      </c>
      <c r="H42" s="3"/>
      <c r="I42" s="3"/>
      <c r="J42" s="27">
        <f>J26</f>
        <v>0.48739495798319327</v>
      </c>
      <c r="K42" s="3"/>
      <c r="L42" s="3"/>
      <c r="M42" s="27">
        <f>M26</f>
        <v>0.57983193277310929</v>
      </c>
      <c r="P42" s="27">
        <f>P26</f>
        <v>0.6470588235294118</v>
      </c>
      <c r="S42" s="27">
        <f>S26</f>
        <v>0.5714285714285714</v>
      </c>
      <c r="V42" s="27">
        <f>V26</f>
        <v>0.60504201680672265</v>
      </c>
      <c r="Y42" s="27">
        <f>Y26</f>
        <v>0.6470588235294118</v>
      </c>
      <c r="AB42" s="27">
        <f>AB26</f>
        <v>0.6386554621848739</v>
      </c>
      <c r="AE42" s="27">
        <f>AE26</f>
        <v>0.60504201680672265</v>
      </c>
      <c r="AH42" s="27">
        <f>AH26</f>
        <v>0.62184873949579833</v>
      </c>
      <c r="AK42" s="27">
        <f>AK26</f>
        <v>0.63025210084033612</v>
      </c>
      <c r="AN42" s="27">
        <f>AN26</f>
        <v>0.5714285714285714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162</v>
      </c>
      <c r="C2" s="310" t="s">
        <v>162</v>
      </c>
      <c r="D2" s="311"/>
      <c r="E2" s="153" t="s">
        <v>61</v>
      </c>
      <c r="F2" s="116">
        <v>0</v>
      </c>
      <c r="G2" s="154"/>
      <c r="H2" s="153" t="s">
        <v>62</v>
      </c>
      <c r="I2" s="116">
        <v>-24</v>
      </c>
      <c r="J2" s="154"/>
      <c r="K2" s="153" t="s">
        <v>63</v>
      </c>
      <c r="L2" s="116">
        <v>-24</v>
      </c>
      <c r="M2" s="154"/>
      <c r="N2" s="153" t="s">
        <v>64</v>
      </c>
      <c r="O2" s="116">
        <v>7</v>
      </c>
      <c r="P2" s="154"/>
      <c r="Q2" s="153" t="s">
        <v>65</v>
      </c>
      <c r="R2" s="116">
        <v>-24</v>
      </c>
      <c r="S2" s="154"/>
      <c r="T2" s="153" t="s">
        <v>66</v>
      </c>
      <c r="U2" s="116">
        <v>7</v>
      </c>
      <c r="V2" s="154"/>
      <c r="W2" s="153" t="s">
        <v>67</v>
      </c>
      <c r="X2" s="116">
        <v>69</v>
      </c>
      <c r="Y2" s="154"/>
      <c r="Z2" s="153" t="s">
        <v>68</v>
      </c>
      <c r="AA2" s="116">
        <v>7</v>
      </c>
      <c r="AB2" s="154"/>
      <c r="AC2" s="153" t="s">
        <v>69</v>
      </c>
      <c r="AD2" s="116">
        <v>7</v>
      </c>
      <c r="AE2" s="154"/>
      <c r="AF2" s="153" t="s">
        <v>70</v>
      </c>
      <c r="AG2" s="116">
        <v>7</v>
      </c>
      <c r="AH2" s="154"/>
      <c r="AI2" s="153" t="s">
        <v>71</v>
      </c>
      <c r="AJ2" s="116">
        <v>-8</v>
      </c>
      <c r="AK2" s="154"/>
      <c r="AL2" s="153" t="s">
        <v>72</v>
      </c>
      <c r="AM2" s="116">
        <v>-24</v>
      </c>
      <c r="AN2" s="155"/>
      <c r="AO2" s="208">
        <v>12</v>
      </c>
      <c r="AP2" s="209" t="s">
        <v>24</v>
      </c>
      <c r="AQ2" s="40">
        <v>8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9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108</v>
      </c>
      <c r="AQ9" s="46"/>
      <c r="AR9" s="48" t="s">
        <v>163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109</v>
      </c>
      <c r="AQ10" s="46"/>
      <c r="AR10" s="48" t="s">
        <v>164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165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162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14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16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119</v>
      </c>
      <c r="E21" s="235">
        <v>1</v>
      </c>
      <c r="F21" s="236">
        <v>78</v>
      </c>
      <c r="G21" s="237">
        <v>674</v>
      </c>
      <c r="H21" s="238">
        <v>12</v>
      </c>
      <c r="I21" s="236">
        <v>58</v>
      </c>
      <c r="J21" s="237">
        <v>570</v>
      </c>
      <c r="K21" s="238">
        <v>5</v>
      </c>
      <c r="L21" s="236">
        <v>69</v>
      </c>
      <c r="M21" s="237">
        <v>657</v>
      </c>
      <c r="N21" s="238">
        <v>3</v>
      </c>
      <c r="O21" s="236">
        <v>77</v>
      </c>
      <c r="P21" s="237">
        <v>662</v>
      </c>
      <c r="Q21" s="238">
        <v>11</v>
      </c>
      <c r="R21" s="236">
        <v>68</v>
      </c>
      <c r="S21" s="237">
        <v>596</v>
      </c>
      <c r="T21" s="238">
        <v>9</v>
      </c>
      <c r="U21" s="236">
        <v>72</v>
      </c>
      <c r="V21" s="237">
        <v>643</v>
      </c>
      <c r="W21" s="238">
        <v>4</v>
      </c>
      <c r="X21" s="236">
        <v>77</v>
      </c>
      <c r="Y21" s="237">
        <v>659</v>
      </c>
      <c r="Z21" s="238">
        <v>7</v>
      </c>
      <c r="AA21" s="236">
        <v>76</v>
      </c>
      <c r="AB21" s="237">
        <v>651</v>
      </c>
      <c r="AC21" s="238">
        <v>8</v>
      </c>
      <c r="AD21" s="236">
        <v>72</v>
      </c>
      <c r="AE21" s="237">
        <v>645</v>
      </c>
      <c r="AF21" s="238">
        <v>5</v>
      </c>
      <c r="AG21" s="236">
        <v>74</v>
      </c>
      <c r="AH21" s="237">
        <v>657</v>
      </c>
      <c r="AI21" s="238">
        <v>2</v>
      </c>
      <c r="AJ21" s="236">
        <v>75</v>
      </c>
      <c r="AK21" s="237">
        <v>670</v>
      </c>
      <c r="AL21" s="238">
        <v>10</v>
      </c>
      <c r="AM21" s="236">
        <v>68</v>
      </c>
      <c r="AN21" s="239">
        <v>621</v>
      </c>
      <c r="AO21" s="49"/>
      <c r="AP21" s="50"/>
      <c r="AQ21" s="49"/>
      <c r="AR21" s="50"/>
      <c r="AS21" s="13"/>
      <c r="BJ21" s="4"/>
      <c r="BK21" s="4"/>
      <c r="BL21" s="4"/>
      <c r="BM21" s="4">
        <v>674</v>
      </c>
      <c r="BN21" s="4"/>
      <c r="BO21" s="4"/>
      <c r="BP21" s="4">
        <v>570</v>
      </c>
      <c r="BQ21" s="4"/>
      <c r="BR21" s="4"/>
      <c r="BS21" s="4">
        <v>657</v>
      </c>
      <c r="BT21" s="4"/>
      <c r="BU21" s="4"/>
      <c r="BV21" s="4">
        <v>662</v>
      </c>
      <c r="BW21" s="4"/>
      <c r="BX21" s="4"/>
      <c r="BY21" s="4">
        <v>596</v>
      </c>
      <c r="BZ21" s="4"/>
      <c r="CA21" s="4"/>
      <c r="CB21" s="4">
        <v>643</v>
      </c>
      <c r="CC21" s="4"/>
      <c r="CD21" s="4"/>
      <c r="CE21" s="4">
        <v>659</v>
      </c>
      <c r="CF21" s="4"/>
      <c r="CG21" s="4"/>
      <c r="CH21" s="4">
        <v>651</v>
      </c>
      <c r="CI21" s="4"/>
      <c r="CJ21" s="4"/>
      <c r="CK21" s="4">
        <v>645</v>
      </c>
      <c r="CL21" s="4"/>
      <c r="CM21" s="4"/>
      <c r="CN21" s="4">
        <v>657</v>
      </c>
      <c r="CO21" s="4"/>
      <c r="CP21" s="4"/>
      <c r="CQ21" s="4">
        <v>670</v>
      </c>
      <c r="CR21" s="4"/>
      <c r="CS21" s="4"/>
      <c r="CT21" s="4">
        <v>621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4.5</v>
      </c>
      <c r="F22" s="244">
        <v>9.75</v>
      </c>
      <c r="G22" s="245">
        <v>96.285714285714292</v>
      </c>
      <c r="H22" s="246">
        <v>9</v>
      </c>
      <c r="I22" s="244">
        <v>7.25</v>
      </c>
      <c r="J22" s="245">
        <v>81.428571428571431</v>
      </c>
      <c r="K22" s="246">
        <v>3.7142857142857144</v>
      </c>
      <c r="L22" s="244">
        <v>8.625</v>
      </c>
      <c r="M22" s="245">
        <v>93.857142857142861</v>
      </c>
      <c r="N22" s="246">
        <v>5.25</v>
      </c>
      <c r="O22" s="244">
        <v>9.625</v>
      </c>
      <c r="P22" s="245">
        <v>94.571428571428569</v>
      </c>
      <c r="Q22" s="246">
        <v>9.375</v>
      </c>
      <c r="R22" s="244">
        <v>8.5</v>
      </c>
      <c r="S22" s="245">
        <v>85.142857142857139</v>
      </c>
      <c r="T22" s="246">
        <v>5.5</v>
      </c>
      <c r="U22" s="244">
        <v>9</v>
      </c>
      <c r="V22" s="245">
        <v>91.857142857142861</v>
      </c>
      <c r="W22" s="246">
        <v>7.125</v>
      </c>
      <c r="X22" s="244">
        <v>9.625</v>
      </c>
      <c r="Y22" s="245">
        <v>94.142857142857139</v>
      </c>
      <c r="Z22" s="246">
        <v>6.25</v>
      </c>
      <c r="AA22" s="244">
        <v>9.5</v>
      </c>
      <c r="AB22" s="245">
        <v>93</v>
      </c>
      <c r="AC22" s="246">
        <v>5.5</v>
      </c>
      <c r="AD22" s="244">
        <v>9</v>
      </c>
      <c r="AE22" s="245">
        <v>92.142857142857139</v>
      </c>
      <c r="AF22" s="246">
        <v>5.25</v>
      </c>
      <c r="AG22" s="244">
        <v>9.25</v>
      </c>
      <c r="AH22" s="245">
        <v>93.857142857142861</v>
      </c>
      <c r="AI22" s="246">
        <v>5.375</v>
      </c>
      <c r="AJ22" s="244">
        <v>9.375</v>
      </c>
      <c r="AK22" s="245">
        <v>95.714285714285708</v>
      </c>
      <c r="AL22" s="246">
        <v>8</v>
      </c>
      <c r="AM22" s="244">
        <v>8.5</v>
      </c>
      <c r="AN22" s="247">
        <v>88.714285714285708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 t="s">
        <v>0</v>
      </c>
      <c r="R23" s="252"/>
      <c r="S23" s="253"/>
      <c r="T23" s="254">
        <v>1</v>
      </c>
      <c r="U23" s="252"/>
      <c r="V23" s="253"/>
      <c r="W23" s="254">
        <v>3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3</v>
      </c>
      <c r="F24" s="109"/>
      <c r="G24" s="110"/>
      <c r="H24" s="76" t="s">
        <v>0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3</v>
      </c>
      <c r="R26" s="109"/>
      <c r="S26" s="110"/>
      <c r="T26" s="76" t="s">
        <v>0</v>
      </c>
      <c r="U26" s="109"/>
      <c r="V26" s="110"/>
      <c r="W26" s="76">
        <v>2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110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4" t="s">
        <v>7</v>
      </c>
      <c r="AU30" s="317" t="s">
        <v>58</v>
      </c>
      <c r="AV30" s="320" t="s">
        <v>59</v>
      </c>
      <c r="AW30" s="321"/>
      <c r="AX30" s="321"/>
      <c r="AY30" s="321"/>
      <c r="AZ30" s="321"/>
      <c r="BA30" s="321"/>
      <c r="BB30" s="322"/>
      <c r="BC30" s="321" t="s">
        <v>60</v>
      </c>
      <c r="BD30" s="321"/>
      <c r="BE30" s="321"/>
      <c r="BF30" s="321"/>
      <c r="BG30" s="321"/>
      <c r="BH30" s="321"/>
      <c r="BI30" s="322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5"/>
      <c r="AU31" s="318"/>
      <c r="AV31" s="323" t="s">
        <v>47</v>
      </c>
      <c r="AW31" s="325" t="s">
        <v>48</v>
      </c>
      <c r="AX31" s="325" t="s">
        <v>47</v>
      </c>
      <c r="AY31" s="325" t="s">
        <v>49</v>
      </c>
      <c r="AZ31" s="325"/>
      <c r="BA31" s="325" t="s">
        <v>50</v>
      </c>
      <c r="BB31" s="327"/>
      <c r="BC31" s="329" t="s">
        <v>51</v>
      </c>
      <c r="BD31" s="325" t="s">
        <v>48</v>
      </c>
      <c r="BE31" s="325"/>
      <c r="BF31" s="325" t="s">
        <v>52</v>
      </c>
      <c r="BG31" s="325"/>
      <c r="BH31" s="325" t="s">
        <v>53</v>
      </c>
      <c r="BI31" s="327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67</v>
      </c>
      <c r="AU33" s="269">
        <v>69</v>
      </c>
      <c r="AV33" s="270">
        <v>-24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64</v>
      </c>
      <c r="AU34" s="277">
        <v>7</v>
      </c>
      <c r="AV34" s="278">
        <v>-24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66</v>
      </c>
      <c r="AU35" s="277">
        <v>7</v>
      </c>
      <c r="AV35" s="278">
        <v>-24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68</v>
      </c>
      <c r="AU36" s="277">
        <v>7</v>
      </c>
      <c r="AV36" s="278">
        <v>-24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69</v>
      </c>
      <c r="AU37" s="277">
        <v>7</v>
      </c>
      <c r="AV37" s="278">
        <v>-24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70</v>
      </c>
      <c r="AU38" s="277">
        <v>7</v>
      </c>
      <c r="AV38" s="278">
        <v>-24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61</v>
      </c>
      <c r="AU39" s="277">
        <v>0</v>
      </c>
      <c r="AV39" s="278">
        <v>-24</v>
      </c>
      <c r="AW39" s="279" t="s">
        <v>0</v>
      </c>
      <c r="AX39" s="280" t="s">
        <v>0</v>
      </c>
      <c r="AY39" s="281" t="s">
        <v>57</v>
      </c>
      <c r="AZ39" s="280">
        <v>24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93" t="s">
        <v>71</v>
      </c>
      <c r="AU40" s="277">
        <v>-8</v>
      </c>
      <c r="AV40" s="278">
        <v>-24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57</v>
      </c>
      <c r="BB40" s="283">
        <v>16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-24</v>
      </c>
      <c r="AV41" s="278">
        <v>-24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78</v>
      </c>
      <c r="BM41" s="4"/>
      <c r="BN41" s="4"/>
      <c r="BO41" s="4">
        <v>58</v>
      </c>
      <c r="BP41" s="4"/>
      <c r="BQ41" s="4"/>
      <c r="BR41" s="4">
        <v>69</v>
      </c>
      <c r="BS41" s="4"/>
      <c r="BT41" s="4"/>
      <c r="BU41" s="4">
        <v>77</v>
      </c>
      <c r="BV41" s="4"/>
      <c r="BW41" s="4"/>
      <c r="BX41" s="4">
        <v>68</v>
      </c>
      <c r="BY41" s="4"/>
      <c r="BZ41" s="4"/>
      <c r="CA41" s="4">
        <v>72</v>
      </c>
      <c r="CB41" s="4"/>
      <c r="CC41" s="4"/>
      <c r="CD41" s="4">
        <v>77</v>
      </c>
      <c r="CE41" s="4"/>
      <c r="CF41" s="4"/>
      <c r="CG41" s="4">
        <v>76</v>
      </c>
      <c r="CH41" s="4"/>
      <c r="CI41" s="4"/>
      <c r="CJ41" s="4">
        <v>72</v>
      </c>
      <c r="CK41" s="4"/>
      <c r="CL41" s="4"/>
      <c r="CM41" s="4">
        <v>74</v>
      </c>
      <c r="CN41" s="4"/>
      <c r="CO41" s="4"/>
      <c r="CP41" s="4">
        <v>75</v>
      </c>
      <c r="CQ41" s="4"/>
      <c r="CR41" s="4"/>
      <c r="CS41" s="4">
        <v>68</v>
      </c>
      <c r="CT41" s="4"/>
      <c r="CU41" s="4"/>
    </row>
    <row r="42" spans="46:99" ht="15" customHeight="1" x14ac:dyDescent="0.2">
      <c r="AT42" s="268" t="s">
        <v>63</v>
      </c>
      <c r="AU42" s="277">
        <v>-24</v>
      </c>
      <c r="AV42" s="278">
        <v>-24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4.5</v>
      </c>
      <c r="BL42" s="51"/>
      <c r="BM42" s="51"/>
      <c r="BN42" s="51">
        <v>9</v>
      </c>
      <c r="BO42" s="51"/>
      <c r="BP42" s="51"/>
      <c r="BQ42" s="51">
        <v>3.7142857142857144</v>
      </c>
      <c r="BR42" s="51"/>
      <c r="BS42" s="51"/>
      <c r="BT42" s="51">
        <v>5.25</v>
      </c>
      <c r="BU42" s="51"/>
      <c r="BV42" s="51"/>
      <c r="BW42" s="51">
        <v>9.375</v>
      </c>
      <c r="BX42" s="51"/>
      <c r="BY42" s="51"/>
      <c r="BZ42" s="51">
        <v>5.5</v>
      </c>
      <c r="CA42" s="51"/>
      <c r="CB42" s="51"/>
      <c r="CC42" s="51">
        <v>7.125</v>
      </c>
      <c r="CD42" s="51"/>
      <c r="CE42" s="51"/>
      <c r="CF42" s="51">
        <v>6.25</v>
      </c>
      <c r="CG42" s="51"/>
      <c r="CH42" s="51"/>
      <c r="CI42" s="51">
        <v>5.5</v>
      </c>
      <c r="CJ42" s="51"/>
      <c r="CK42" s="51"/>
      <c r="CL42" s="51">
        <v>5.25</v>
      </c>
      <c r="CM42" s="51"/>
      <c r="CN42" s="51"/>
      <c r="CO42" s="51">
        <v>5.375</v>
      </c>
      <c r="CP42" s="51"/>
      <c r="CQ42" s="51"/>
      <c r="CR42" s="51">
        <v>8</v>
      </c>
      <c r="CS42" s="51"/>
      <c r="CT42" s="51"/>
      <c r="CU42" s="51"/>
    </row>
    <row r="43" spans="46:99" ht="15" customHeight="1" x14ac:dyDescent="0.2">
      <c r="AT43" s="268" t="s">
        <v>65</v>
      </c>
      <c r="AU43" s="277">
        <v>-24</v>
      </c>
      <c r="AV43" s="278">
        <v>-24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-24</v>
      </c>
      <c r="AV44" s="286">
        <v>-24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2017-11-02T05:31:57Z</dcterms:modified>
</cp:coreProperties>
</file>