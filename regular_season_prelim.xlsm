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3B0BCE47-C4DD-4C35-A8DD-4D59BFD20FB9}" xr6:coauthVersionLast="47" xr6:coauthVersionMax="47" xr10:uidLastSave="{00000000-0000-0000-0000-000000000000}"/>
  <bookViews>
    <workbookView xWindow="-108" yWindow="-108" windowWidth="23256" windowHeight="12456" tabRatio="742" firstSheet="16" activeTab="1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4"/>
  <c r="C29" i="20"/>
  <c r="C29" i="1"/>
  <c r="C29" i="27"/>
  <c r="C29" i="32"/>
  <c r="C29" i="36"/>
  <c r="C29" i="34"/>
  <c r="C29" i="38"/>
  <c r="C29" i="33"/>
  <c r="C29" i="21"/>
  <c r="C29" i="28"/>
  <c r="C29" i="25"/>
  <c r="C29" i="31"/>
  <c r="C29" i="30"/>
  <c r="C29" i="23"/>
  <c r="C29" i="35"/>
  <c r="C29" i="29"/>
  <c r="C29" i="2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3" i="16"/>
  <c r="AT42" i="16"/>
  <c r="AT41" i="16"/>
  <c r="AT40" i="16"/>
  <c r="AT44" i="16"/>
  <c r="AT39" i="16"/>
  <c r="AT33" i="16"/>
  <c r="AT37" i="16"/>
  <c r="AT35" i="16"/>
  <c r="AT36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5" i="36" s="1"/>
  <c r="AJ2" i="36"/>
  <c r="BO14" i="36" s="1"/>
  <c r="AG2" i="36"/>
  <c r="BJ10" i="36" s="1"/>
  <c r="AD2" i="36"/>
  <c r="BF15" i="36" s="1"/>
  <c r="AA2" i="36"/>
  <c r="BJ12" i="36" s="1"/>
  <c r="X2" i="36"/>
  <c r="BO15" i="36" s="1"/>
  <c r="U2" i="36"/>
  <c r="BO10" i="36" s="1"/>
  <c r="R2" i="36"/>
  <c r="BF7" i="36" s="1"/>
  <c r="O2" i="36"/>
  <c r="BF6" i="36" s="1"/>
  <c r="L2" i="36"/>
  <c r="BJ4" i="36" s="1"/>
  <c r="I2" i="36"/>
  <c r="BF14" i="36" s="1"/>
  <c r="AM2" i="35"/>
  <c r="BO5" i="35" s="1"/>
  <c r="AJ2" i="35"/>
  <c r="BJ6" i="35" s="1"/>
  <c r="AG2" i="35"/>
  <c r="BF12" i="35" s="1"/>
  <c r="AD2" i="35"/>
  <c r="BO12" i="35" s="1"/>
  <c r="AA2" i="35"/>
  <c r="BO11" i="35" s="1"/>
  <c r="X2" i="35"/>
  <c r="BJ8" i="35" s="1"/>
  <c r="U2" i="35"/>
  <c r="BO10" i="35" s="1"/>
  <c r="R2" i="35"/>
  <c r="BJ11" i="35" s="1"/>
  <c r="O2" i="35"/>
  <c r="BJ7" i="35" s="1"/>
  <c r="L2" i="35"/>
  <c r="BF9" i="35" s="1"/>
  <c r="I2" i="35"/>
  <c r="BO7" i="35" s="1"/>
  <c r="AM2" i="34"/>
  <c r="BJ9" i="34" s="1"/>
  <c r="AJ2" i="34"/>
  <c r="BF7" i="34" s="1"/>
  <c r="AG2" i="34"/>
  <c r="AD2" i="34"/>
  <c r="BJ12" i="34" s="1"/>
  <c r="AA2" i="34"/>
  <c r="X2" i="34"/>
  <c r="BJ8" i="34" s="1"/>
  <c r="U2" i="34"/>
  <c r="BF14" i="34" s="1"/>
  <c r="R2" i="34"/>
  <c r="BJ11" i="34" s="1"/>
  <c r="O2" i="34"/>
  <c r="BJ6" i="34" s="1"/>
  <c r="L2" i="34"/>
  <c r="BJ4" i="34" s="1"/>
  <c r="I2" i="34"/>
  <c r="BF13" i="34" s="1"/>
  <c r="AM2" i="33"/>
  <c r="BO8" i="33" s="1"/>
  <c r="AJ2" i="33"/>
  <c r="BO12" i="33" s="1"/>
  <c r="AG2" i="33"/>
  <c r="BF10" i="33" s="1"/>
  <c r="AD2" i="33"/>
  <c r="AA2" i="33"/>
  <c r="BJ13" i="33" s="1"/>
  <c r="X2" i="33"/>
  <c r="BO14" i="33" s="1"/>
  <c r="U2" i="33"/>
  <c r="BF13" i="33" s="1"/>
  <c r="R2" i="33"/>
  <c r="O2" i="33"/>
  <c r="BJ6" i="33" s="1"/>
  <c r="L2" i="33"/>
  <c r="BO5" i="33" s="1"/>
  <c r="I2" i="33"/>
  <c r="BO6" i="33" s="1"/>
  <c r="AM2" i="32"/>
  <c r="AJ2" i="32"/>
  <c r="BO12" i="32" s="1"/>
  <c r="AG2" i="32"/>
  <c r="AD2" i="32"/>
  <c r="BO10" i="32" s="1"/>
  <c r="AA2" i="32"/>
  <c r="BJ13" i="32" s="1"/>
  <c r="X2" i="32"/>
  <c r="BF12" i="32" s="1"/>
  <c r="U2" i="32"/>
  <c r="R2" i="32"/>
  <c r="BF14" i="32" s="1"/>
  <c r="O2" i="32"/>
  <c r="L2" i="32"/>
  <c r="BF5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F25" i="36"/>
  <c r="AF38" i="36" s="1"/>
  <c r="K25" i="36"/>
  <c r="K38" i="36" s="1"/>
  <c r="K25" i="35"/>
  <c r="K38" i="35" s="1"/>
  <c r="K25" i="33"/>
  <c r="K38" i="33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F21" i="36"/>
  <c r="AE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Z25" i="36" s="1"/>
  <c r="Z38" i="36" s="1"/>
  <c r="W5" i="36"/>
  <c r="T5" i="36"/>
  <c r="Q5" i="36"/>
  <c r="N5" i="36"/>
  <c r="K5" i="36"/>
  <c r="H5" i="36"/>
  <c r="AO4" i="36"/>
  <c r="AO25" i="36" s="1"/>
  <c r="AO38" i="36" s="1"/>
  <c r="AL4" i="36"/>
  <c r="AI4" i="36"/>
  <c r="AF4" i="36"/>
  <c r="AC4" i="36"/>
  <c r="Z4" i="36"/>
  <c r="W4" i="36"/>
  <c r="T4" i="36"/>
  <c r="Q4" i="36"/>
  <c r="N4" i="36"/>
  <c r="K4" i="36"/>
  <c r="H4" i="36"/>
  <c r="U1" i="36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5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5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O25" i="34" s="1"/>
  <c r="AO38" i="34" s="1"/>
  <c r="AL4" i="34"/>
  <c r="AI4" i="34"/>
  <c r="AF4" i="34"/>
  <c r="AC4" i="34"/>
  <c r="Z4" i="34"/>
  <c r="W4" i="34"/>
  <c r="T4" i="34"/>
  <c r="Q4" i="34"/>
  <c r="N4" i="34"/>
  <c r="K4" i="34"/>
  <c r="H4" i="34"/>
  <c r="U1" i="34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7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K25" i="32" s="1"/>
  <c r="K38" i="32" s="1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9" i="36"/>
  <c r="T25" i="36" l="1"/>
  <c r="T38" i="36" s="1"/>
  <c r="W25" i="36"/>
  <c r="W38" i="36" s="1"/>
  <c r="H25" i="36"/>
  <c r="H38" i="36" s="1"/>
  <c r="N25" i="36"/>
  <c r="N38" i="36" s="1"/>
  <c r="Q25" i="36"/>
  <c r="Q38" i="36" s="1"/>
  <c r="AL25" i="36"/>
  <c r="AL38" i="36" s="1"/>
  <c r="AC25" i="36"/>
  <c r="AC38" i="36" s="1"/>
  <c r="AI25" i="36"/>
  <c r="AI38" i="36" s="1"/>
  <c r="AO25" i="35"/>
  <c r="AO38" i="35" s="1"/>
  <c r="N25" i="35"/>
  <c r="N38" i="35" s="1"/>
  <c r="AL25" i="35"/>
  <c r="AL38" i="35" s="1"/>
  <c r="W25" i="35"/>
  <c r="W38" i="35" s="1"/>
  <c r="AF25" i="35"/>
  <c r="AF38" i="35" s="1"/>
  <c r="AI25" i="35"/>
  <c r="AI38" i="35" s="1"/>
  <c r="H25" i="35"/>
  <c r="H38" i="35" s="1"/>
  <c r="AC25" i="35"/>
  <c r="AC38" i="35" s="1"/>
  <c r="Q25" i="35"/>
  <c r="Q38" i="35" s="1"/>
  <c r="T25" i="35"/>
  <c r="T38" i="35" s="1"/>
  <c r="Z25" i="35"/>
  <c r="Z38" i="35" s="1"/>
  <c r="AI25" i="34"/>
  <c r="AI38" i="34" s="1"/>
  <c r="Z25" i="34"/>
  <c r="Z38" i="34" s="1"/>
  <c r="Q25" i="34"/>
  <c r="Q38" i="34" s="1"/>
  <c r="AL25" i="34"/>
  <c r="AL38" i="34" s="1"/>
  <c r="W25" i="34"/>
  <c r="W38" i="34" s="1"/>
  <c r="T25" i="34"/>
  <c r="T38" i="34" s="1"/>
  <c r="H25" i="34"/>
  <c r="H38" i="34" s="1"/>
  <c r="K25" i="34"/>
  <c r="K38" i="34" s="1"/>
  <c r="N25" i="34"/>
  <c r="N38" i="34" s="1"/>
  <c r="AC25" i="34"/>
  <c r="AC38" i="34" s="1"/>
  <c r="AF25" i="34"/>
  <c r="AF38" i="34" s="1"/>
  <c r="N25" i="33"/>
  <c r="N38" i="33" s="1"/>
  <c r="AL25" i="33"/>
  <c r="AL38" i="33" s="1"/>
  <c r="AC25" i="33"/>
  <c r="AC38" i="33" s="1"/>
  <c r="W25" i="33"/>
  <c r="W38" i="33" s="1"/>
  <c r="T25" i="33"/>
  <c r="T38" i="33" s="1"/>
  <c r="H25" i="33"/>
  <c r="H38" i="33" s="1"/>
  <c r="Q25" i="33"/>
  <c r="Q38" i="33" s="1"/>
  <c r="AO25" i="33"/>
  <c r="AO38" i="33" s="1"/>
  <c r="Z25" i="33"/>
  <c r="Z38" i="33" s="1"/>
  <c r="AF25" i="33"/>
  <c r="AF38" i="33" s="1"/>
  <c r="AI25" i="33"/>
  <c r="AI38" i="33" s="1"/>
  <c r="AO25" i="32"/>
  <c r="AO38" i="32" s="1"/>
  <c r="Q25" i="32"/>
  <c r="Q38" i="32" s="1"/>
  <c r="AC25" i="32"/>
  <c r="AC38" i="32" s="1"/>
  <c r="W25" i="32"/>
  <c r="W38" i="32" s="1"/>
  <c r="T25" i="32"/>
  <c r="T38" i="32" s="1"/>
  <c r="H25" i="32"/>
  <c r="H38" i="32" s="1"/>
  <c r="N25" i="32"/>
  <c r="N38" i="32" s="1"/>
  <c r="AL25" i="32"/>
  <c r="AL38" i="32" s="1"/>
  <c r="AF25" i="32"/>
  <c r="AF38" i="32" s="1"/>
  <c r="Z25" i="32"/>
  <c r="Z38" i="32" s="1"/>
  <c r="AI25" i="32"/>
  <c r="AI38" i="32" s="1"/>
  <c r="W25" i="3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AB54" i="20"/>
  <c r="AB53" i="20"/>
  <c r="V54" i="24"/>
  <c r="V53" i="24"/>
  <c r="AE54" i="20"/>
  <c r="AE53" i="20"/>
  <c r="J54" i="33"/>
  <c r="J53" i="33"/>
  <c r="J54" i="35"/>
  <c r="J53" i="35"/>
  <c r="AE54" i="36"/>
  <c r="AE53" i="36"/>
  <c r="J53" i="23"/>
  <c r="J54" i="23"/>
  <c r="J54" i="36"/>
  <c r="J53" i="36"/>
  <c r="J54" i="26"/>
  <c r="J53" i="26"/>
  <c r="AB54" i="27"/>
  <c r="AB53" i="27"/>
  <c r="J55" i="26"/>
  <c r="J52" i="26" s="1"/>
  <c r="J55" i="33"/>
  <c r="J52" i="33" s="1"/>
  <c r="J55" i="35"/>
  <c r="J52" i="35" s="1"/>
  <c r="AE55" i="36"/>
  <c r="AE52" i="36" s="1"/>
  <c r="AB55" i="20"/>
  <c r="AB52" i="20" s="1"/>
  <c r="V55" i="24"/>
  <c r="V52" i="24" s="1"/>
  <c r="AE55" i="20"/>
  <c r="AE52" i="20" s="1"/>
  <c r="J55" i="23"/>
  <c r="J52" i="23" s="1"/>
  <c r="J55" i="36"/>
  <c r="J52" i="36" s="1"/>
  <c r="AB55" i="27"/>
  <c r="AB52" i="27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AB21" i="38"/>
  <c r="BE11" i="38" s="1"/>
  <c r="BG15" i="24"/>
  <c r="W34" i="24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15" i="33"/>
  <c r="K34" i="33"/>
  <c r="K34" i="35"/>
  <c r="BY28" i="36"/>
  <c r="CV480" i="16" s="1"/>
  <c r="CV482" i="16"/>
  <c r="BY29" i="36"/>
  <c r="CV481" i="16" s="1"/>
  <c r="BG15" i="36"/>
  <c r="AF34" i="36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K34" i="36"/>
  <c r="BY20" i="34"/>
  <c r="CV416" i="16" s="1"/>
  <c r="BG1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3" i="32"/>
  <c r="BO13" i="33"/>
  <c r="BJ5" i="26"/>
  <c r="BF9" i="33"/>
  <c r="BG14" i="36"/>
  <c r="BF5" i="30"/>
  <c r="BO9" i="35"/>
  <c r="BF6" i="35"/>
  <c r="BO6" i="21"/>
  <c r="BF11" i="23"/>
  <c r="BO10" i="26"/>
  <c r="BJ15" i="35"/>
  <c r="BF13" i="24"/>
  <c r="BO8" i="20"/>
  <c r="BF7" i="20"/>
  <c r="BJ5" i="36"/>
  <c r="BF10" i="34"/>
  <c r="BJ5" i="20"/>
  <c r="BO12" i="30"/>
  <c r="BJ7" i="1"/>
  <c r="BJ6" i="23"/>
  <c r="BF9" i="36"/>
  <c r="BF13" i="35"/>
  <c r="BF15" i="21"/>
  <c r="BO7" i="25"/>
  <c r="BO9" i="26"/>
  <c r="BJ11" i="29"/>
  <c r="BO4" i="32"/>
  <c r="BF5" i="26"/>
  <c r="BF14" i="33"/>
  <c r="BJ10" i="26"/>
  <c r="BO4" i="34"/>
  <c r="BO14" i="31"/>
  <c r="BJ15" i="25"/>
  <c r="BJ7" i="32"/>
  <c r="BF11" i="30"/>
  <c r="BO6" i="30"/>
  <c r="BF4" i="20"/>
  <c r="BO9" i="23"/>
  <c r="BJ4" i="28"/>
  <c r="BO9" i="33"/>
  <c r="BF15" i="33"/>
  <c r="BO12" i="29"/>
  <c r="BF14" i="25"/>
  <c r="BO15" i="24"/>
  <c r="BJ9" i="33"/>
  <c r="BJ12" i="30"/>
  <c r="BF9" i="20"/>
  <c r="BJ15" i="33"/>
  <c r="BO11" i="34"/>
  <c r="BO15" i="28"/>
  <c r="BF12" i="36"/>
  <c r="BO10" i="29"/>
  <c r="BO14" i="32"/>
  <c r="BF8" i="28"/>
  <c r="BO4" i="27"/>
  <c r="BO14" i="25"/>
  <c r="BO6" i="20"/>
  <c r="BF9" i="31"/>
  <c r="BJ6" i="36"/>
  <c r="BF4" i="32"/>
  <c r="BO11" i="24"/>
  <c r="BJ13" i="29"/>
  <c r="BF6" i="28"/>
  <c r="BO10" i="20"/>
  <c r="BJ15" i="27"/>
  <c r="BJ7" i="23"/>
  <c r="BF10" i="35"/>
  <c r="BF13" i="20"/>
  <c r="BJ13" i="25"/>
  <c r="BJ5" i="24"/>
  <c r="BF15" i="25"/>
  <c r="BO6" i="36"/>
  <c r="BF11" i="34"/>
  <c r="BO6" i="29"/>
  <c r="BJ12" i="35"/>
  <c r="BF11" i="28"/>
  <c r="BJ5" i="27"/>
  <c r="BF12" i="34"/>
  <c r="BF10" i="20"/>
  <c r="BJ8" i="36"/>
  <c r="BJ9" i="24"/>
  <c r="BJ6" i="24"/>
  <c r="BO8" i="29"/>
  <c r="BO13" i="28"/>
  <c r="BF14" i="30"/>
  <c r="BJ8" i="32"/>
  <c r="BO12" i="23"/>
  <c r="BJ4" i="32"/>
  <c r="BO5" i="24"/>
  <c r="BJ15" i="29"/>
  <c r="BO13" i="21"/>
  <c r="BF6" i="29"/>
  <c r="BF5" i="36"/>
  <c r="BO8" i="35"/>
  <c r="BO4" i="20"/>
  <c r="BF5" i="23"/>
  <c r="BO14" i="20"/>
  <c r="BJ4" i="25"/>
  <c r="BO7" i="26"/>
  <c r="BJ12" i="21"/>
  <c r="BJ10" i="33"/>
  <c r="BO13" i="27"/>
  <c r="BJ14" i="33"/>
  <c r="BF10" i="25"/>
  <c r="BJ15" i="21"/>
  <c r="BO11" i="33"/>
  <c r="BJ6" i="30"/>
  <c r="BO14" i="34"/>
  <c r="BF15" i="29"/>
  <c r="BO8" i="25"/>
  <c r="BO6" i="27"/>
  <c r="BO5" i="29"/>
  <c r="BJ11" i="26"/>
  <c r="BJ10" i="28"/>
  <c r="BJ12" i="29"/>
  <c r="BO14" i="35"/>
  <c r="BO10" i="28"/>
  <c r="BJ6" i="26"/>
  <c r="BJ10" i="29"/>
  <c r="BF11" i="36"/>
  <c r="BJ14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7" i="36"/>
  <c r="BO11" i="25"/>
  <c r="BO12" i="27"/>
  <c r="BO7" i="24"/>
  <c r="BO12" i="28"/>
  <c r="BJ8" i="27"/>
  <c r="BJ14" i="20"/>
  <c r="BJ14" i="1"/>
  <c r="BO11" i="31"/>
  <c r="BF10" i="30"/>
  <c r="BO14" i="29"/>
  <c r="BJ5" i="23"/>
  <c r="BO15" i="33"/>
  <c r="BF4" i="35"/>
  <c r="BF14" i="23"/>
  <c r="BJ10" i="31"/>
  <c r="BO12" i="20"/>
  <c r="BF8" i="34"/>
  <c r="BO8" i="31"/>
  <c r="BF8" i="23"/>
  <c r="BF7" i="33"/>
  <c r="BJ8" i="21"/>
  <c r="BO4" i="36"/>
  <c r="BO15" i="34"/>
  <c r="BJ9" i="31"/>
  <c r="BO4" i="30"/>
  <c r="BF10" i="29"/>
  <c r="BO6" i="23"/>
  <c r="BF15" i="35"/>
  <c r="BJ5" i="29"/>
  <c r="BJ13" i="31"/>
  <c r="BF10" i="21"/>
  <c r="BJ10" i="35"/>
  <c r="BJ5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4" i="35"/>
  <c r="BF13" i="21"/>
  <c r="BO14" i="21"/>
  <c r="BJ8" i="24"/>
  <c r="BO6" i="24"/>
  <c r="BF11" i="25"/>
  <c r="BJ8" i="25"/>
  <c r="BJ14" i="28"/>
  <c r="BF5" i="28"/>
  <c r="BF10" i="31"/>
  <c r="BO10" i="31"/>
  <c r="BJ6" i="32"/>
  <c r="BO6" i="32"/>
  <c r="BJ4" i="33"/>
  <c r="BF5" i="33"/>
  <c r="BF15" i="34"/>
  <c r="BO12" i="34"/>
  <c r="BO5" i="21"/>
  <c r="BF7" i="21"/>
  <c r="BJ10" i="21"/>
  <c r="BO13" i="30"/>
  <c r="BJ7" i="30"/>
  <c r="BJ11" i="36"/>
  <c r="BF5" i="34"/>
  <c r="BO7" i="32"/>
  <c r="BF15" i="31"/>
  <c r="BO10" i="24"/>
  <c r="BO14" i="23"/>
  <c r="BF15" i="23"/>
  <c r="BJ7" i="34"/>
  <c r="BJ15" i="31"/>
  <c r="BJ13" i="36"/>
  <c r="BO7" i="33"/>
  <c r="BO7" i="34"/>
  <c r="BF12" i="21"/>
  <c r="BF6" i="21"/>
  <c r="BO5" i="31"/>
  <c r="BJ7" i="21"/>
  <c r="BF6" i="34"/>
  <c r="BF14" i="1"/>
  <c r="BJ9" i="35"/>
  <c r="BJ10" i="34"/>
  <c r="BJ8" i="33"/>
  <c r="BJ11" i="32"/>
  <c r="BO14" i="30"/>
  <c r="BJ9" i="28"/>
  <c r="BF14" i="28"/>
  <c r="BF7" i="23"/>
  <c r="BO8" i="23"/>
  <c r="BO13" i="34"/>
  <c r="BF6" i="31"/>
  <c r="BO12" i="36"/>
  <c r="BF5" i="29"/>
  <c r="BF6" i="33"/>
  <c r="BJ6" i="28"/>
  <c r="BO9" i="1"/>
  <c r="BF9" i="27"/>
  <c r="BO15" i="30"/>
  <c r="BF4" i="25"/>
  <c r="BF8" i="25"/>
  <c r="BO11" i="20"/>
  <c r="BO6" i="34"/>
  <c r="BF11" i="35"/>
  <c r="BO15" i="21"/>
  <c r="BF15" i="24"/>
  <c r="BO15" i="20"/>
  <c r="BF5" i="27"/>
  <c r="BJ11" i="24"/>
  <c r="BF8" i="30"/>
  <c r="BG15" i="27"/>
  <c r="BF15" i="1"/>
  <c r="BF7" i="29"/>
  <c r="BJ6" i="29"/>
  <c r="BJ12" i="1"/>
  <c r="BJ8" i="1"/>
  <c r="BO12" i="31"/>
  <c r="BO7" i="1"/>
  <c r="BO8" i="34"/>
  <c r="BF12" i="33"/>
  <c r="BJ11" i="31"/>
  <c r="BO12" i="24"/>
  <c r="BO15" i="32"/>
  <c r="BO11" i="26"/>
  <c r="BO15" i="25"/>
  <c r="BJ15" i="34"/>
  <c r="BO9" i="27"/>
  <c r="BF10" i="27"/>
  <c r="BJ13" i="21"/>
  <c r="BJ11" i="21"/>
  <c r="BF11" i="32"/>
  <c r="BO4" i="21"/>
  <c r="BO14" i="28"/>
  <c r="BF12" i="26"/>
  <c r="BJ5" i="25"/>
  <c r="BO14" i="26"/>
  <c r="BO7" i="20"/>
  <c r="BO9" i="34"/>
  <c r="BJ12" i="31"/>
  <c r="BF11" i="20"/>
  <c r="BJ14" i="34"/>
  <c r="BF6" i="32"/>
  <c r="BO4" i="28"/>
  <c r="BJ15" i="26"/>
  <c r="BJ11" i="27"/>
  <c r="BF4" i="21"/>
  <c r="BF14" i="21"/>
  <c r="BF14" i="26"/>
  <c r="BO12" i="25"/>
  <c r="BJ8" i="20"/>
  <c r="BJ7" i="33"/>
  <c r="BJ14" i="23"/>
  <c r="BF8" i="1"/>
  <c r="BO11" i="1"/>
  <c r="BJ8" i="26"/>
  <c r="BF8" i="33"/>
  <c r="BF5" i="35"/>
  <c r="BF4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8" i="35"/>
  <c r="BF13" i="1"/>
  <c r="BF13" i="36"/>
  <c r="BO13" i="36"/>
  <c r="BO15" i="35"/>
  <c r="BF8" i="36"/>
  <c r="BJ15" i="36"/>
  <c r="BJ9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14" i="32"/>
  <c r="BF8" i="32"/>
  <c r="BO4" i="33"/>
  <c r="BF4" i="33"/>
  <c r="BJ11" i="33"/>
  <c r="BJ13" i="34"/>
  <c r="BF4" i="34"/>
  <c r="BO10" i="34"/>
  <c r="BO8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1" i="32"/>
  <c r="BJ10" i="32"/>
  <c r="BF9" i="32"/>
  <c r="BJ12" i="33"/>
  <c r="BF11" i="33"/>
  <c r="BO10" i="33"/>
  <c r="BO6" i="35"/>
  <c r="BJ4" i="35"/>
  <c r="BF14" i="35"/>
  <c r="BJ13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15" i="32"/>
  <c r="BF15" i="32"/>
  <c r="BO5" i="32"/>
  <c r="BO8" i="32"/>
  <c r="BJ9" i="32"/>
  <c r="BF9" i="34"/>
  <c r="BO5" i="34"/>
  <c r="BF7" i="35"/>
  <c r="BJ14" i="35"/>
  <c r="BF10" i="36"/>
  <c r="BO11" i="36"/>
  <c r="BY10" i="36"/>
  <c r="CV462" i="16" s="1"/>
  <c r="BY24" i="36"/>
  <c r="CV476" i="16" s="1"/>
  <c r="BF12" i="27"/>
  <c r="BF10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F6" i="1"/>
  <c r="BG15" i="20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3" i="32"/>
  <c r="BJ12" i="32"/>
  <c r="AN21" i="38" l="1"/>
  <c r="BE15" i="38" s="1"/>
  <c r="C2" i="16"/>
  <c r="B15" i="33" l="1"/>
  <c r="D16" i="25"/>
  <c r="B18" i="36"/>
  <c r="D11" i="25"/>
  <c r="C13" i="28"/>
  <c r="B8" i="34"/>
  <c r="B5" i="25"/>
  <c r="B11" i="30"/>
  <c r="B10" i="24"/>
  <c r="D15" i="25"/>
  <c r="B10" i="20"/>
  <c r="B9" i="38"/>
  <c r="D7" i="21"/>
  <c r="D17" i="27"/>
  <c r="C16" i="34"/>
  <c r="B10" i="28"/>
  <c r="D12" i="27"/>
  <c r="C9" i="35"/>
  <c r="D5" i="26"/>
  <c r="B17" i="21"/>
  <c r="D8" i="30"/>
  <c r="C11" i="28"/>
  <c r="B9" i="32"/>
  <c r="C15" i="23"/>
  <c r="D6" i="20"/>
  <c r="C6" i="35"/>
  <c r="C9" i="24"/>
  <c r="D18" i="30"/>
  <c r="D16" i="33"/>
  <c r="C5" i="26"/>
  <c r="B13" i="30"/>
  <c r="C17" i="32"/>
  <c r="C16" i="1"/>
  <c r="B6" i="28"/>
  <c r="D8" i="38"/>
  <c r="B9" i="33"/>
  <c r="C4" i="21"/>
  <c r="D12" i="35"/>
  <c r="D6" i="38"/>
  <c r="C7" i="38"/>
  <c r="D17" i="23"/>
  <c r="B11" i="20"/>
  <c r="B19" i="31"/>
  <c r="B18" i="35"/>
  <c r="B11" i="27"/>
  <c r="B19" i="21"/>
  <c r="B15" i="30"/>
  <c r="D18" i="33"/>
  <c r="B16" i="25"/>
  <c r="D11" i="1"/>
  <c r="D13" i="38"/>
  <c r="B16" i="26"/>
  <c r="C11" i="31"/>
  <c r="C8" i="33"/>
  <c r="C12" i="27"/>
  <c r="B12" i="33"/>
  <c r="D6" i="36"/>
  <c r="C19" i="23"/>
  <c r="D9" i="20"/>
  <c r="D10" i="32"/>
  <c r="B18" i="28"/>
  <c r="B19" i="1"/>
  <c r="C19" i="29"/>
  <c r="B13" i="28"/>
  <c r="C13" i="21"/>
  <c r="B12" i="1"/>
  <c r="D17" i="38"/>
  <c r="C10" i="1"/>
  <c r="B5" i="28"/>
  <c r="B6" i="1"/>
  <c r="D18" i="28"/>
  <c r="D11" i="28"/>
  <c r="C8" i="23"/>
  <c r="B6" i="31"/>
  <c r="B12" i="35"/>
  <c r="B16" i="33"/>
  <c r="D19" i="21"/>
  <c r="B4" i="34"/>
  <c r="B14" i="36"/>
  <c r="D14" i="30"/>
  <c r="B7" i="21"/>
  <c r="B8" i="33"/>
  <c r="B11" i="35"/>
  <c r="C12" i="34"/>
  <c r="B4" i="1"/>
  <c r="D16" i="35"/>
  <c r="D10" i="38"/>
  <c r="C12" i="28"/>
  <c r="C11" i="36"/>
  <c r="D14" i="36"/>
  <c r="C15" i="20"/>
  <c r="B8" i="1"/>
  <c r="C13" i="25"/>
  <c r="D8" i="36"/>
  <c r="D10" i="28"/>
  <c r="B4" i="33"/>
  <c r="C7" i="31"/>
  <c r="B12" i="20"/>
  <c r="B18" i="20"/>
  <c r="B4" i="38"/>
  <c r="C13" i="1"/>
  <c r="C8" i="20"/>
  <c r="D5" i="35"/>
  <c r="B12" i="34"/>
  <c r="B8" i="21"/>
  <c r="B6" i="27"/>
  <c r="C12" i="1"/>
  <c r="D14" i="35"/>
  <c r="B5" i="35"/>
  <c r="D13" i="34"/>
  <c r="D15" i="21"/>
  <c r="D11" i="31"/>
  <c r="D16" i="24"/>
  <c r="D15" i="29"/>
  <c r="D15" i="33"/>
  <c r="B16" i="1"/>
  <c r="B7" i="36"/>
  <c r="C5" i="28"/>
  <c r="B16" i="27"/>
  <c r="C12" i="20"/>
  <c r="C10" i="36"/>
  <c r="D8" i="27"/>
  <c r="D9" i="1"/>
  <c r="D14" i="33"/>
  <c r="B11" i="31"/>
  <c r="C15" i="29"/>
  <c r="B13" i="25"/>
  <c r="B11" i="34"/>
  <c r="B10" i="31"/>
  <c r="D7" i="1"/>
  <c r="D8" i="28"/>
  <c r="C19" i="33"/>
  <c r="B14" i="30"/>
  <c r="D19" i="27"/>
  <c r="C18" i="31"/>
  <c r="C5" i="34"/>
  <c r="B14" i="1"/>
  <c r="B18" i="31"/>
  <c r="D14" i="23"/>
  <c r="B17" i="23"/>
  <c r="B6" i="30"/>
  <c r="C16" i="23"/>
  <c r="D5" i="38"/>
  <c r="B14" i="28"/>
  <c r="C11" i="25"/>
  <c r="D8" i="33"/>
  <c r="B14" i="23"/>
  <c r="C12" i="32"/>
  <c r="D6" i="28"/>
  <c r="D16" i="38"/>
  <c r="D11" i="35"/>
  <c r="D9" i="24"/>
  <c r="B12" i="28"/>
  <c r="D15" i="31"/>
  <c r="D11" i="29"/>
  <c r="C11" i="21"/>
  <c r="C17" i="33"/>
  <c r="B17" i="30"/>
  <c r="B4" i="26"/>
  <c r="C9" i="20"/>
  <c r="B15" i="1"/>
  <c r="D7" i="33"/>
  <c r="B9" i="34"/>
  <c r="C13" i="31"/>
  <c r="B11" i="24"/>
  <c r="C8" i="25"/>
  <c r="B7" i="23"/>
  <c r="D18" i="20"/>
  <c r="C18" i="33"/>
  <c r="B17" i="35"/>
  <c r="C13" i="36"/>
  <c r="B7" i="29"/>
  <c r="D7" i="34"/>
  <c r="C13" i="20"/>
  <c r="C9" i="28"/>
  <c r="D12" i="38"/>
  <c r="C8" i="36"/>
  <c r="B19" i="36"/>
  <c r="B12" i="23"/>
  <c r="D13" i="31"/>
  <c r="C12" i="23"/>
  <c r="C13" i="38"/>
  <c r="C17" i="20"/>
  <c r="B13" i="23"/>
  <c r="D13" i="24"/>
  <c r="C4" i="24"/>
  <c r="D10" i="23"/>
  <c r="C9" i="23"/>
  <c r="D5" i="32"/>
  <c r="C14" i="25"/>
  <c r="C10" i="38"/>
  <c r="D16" i="31"/>
  <c r="B15" i="25"/>
  <c r="D17" i="20"/>
  <c r="B8" i="35"/>
  <c r="C19" i="35"/>
  <c r="B12" i="24"/>
  <c r="B19" i="20"/>
  <c r="C19" i="27"/>
  <c r="B5" i="24"/>
  <c r="B17" i="1"/>
  <c r="C9" i="38"/>
  <c r="D12" i="23"/>
  <c r="B5" i="32"/>
  <c r="B14" i="33"/>
  <c r="D13" i="26"/>
  <c r="D13" i="28"/>
  <c r="C16" i="32"/>
  <c r="D5" i="24"/>
  <c r="B6" i="26"/>
  <c r="C10" i="34"/>
  <c r="B11" i="26"/>
  <c r="B9" i="28"/>
  <c r="C4" i="23"/>
  <c r="D18" i="31"/>
  <c r="D16" i="20"/>
  <c r="C8" i="35"/>
  <c r="C18" i="30"/>
  <c r="B19" i="33"/>
  <c r="B18" i="25"/>
  <c r="B14" i="34"/>
  <c r="D10" i="36"/>
  <c r="C16" i="35"/>
  <c r="B16" i="34"/>
  <c r="B4" i="24"/>
  <c r="C15" i="32"/>
  <c r="B17" i="27"/>
  <c r="B14" i="32"/>
  <c r="C16" i="30"/>
  <c r="D7" i="36"/>
  <c r="C17" i="29"/>
  <c r="B18" i="32"/>
  <c r="C15" i="34"/>
  <c r="C12" i="24"/>
  <c r="D18" i="1"/>
  <c r="D11" i="21"/>
  <c r="C18" i="38"/>
  <c r="C14" i="34"/>
  <c r="D15" i="34"/>
  <c r="C17" i="24"/>
  <c r="B15" i="26"/>
  <c r="D6" i="1"/>
  <c r="C5" i="25"/>
  <c r="C9" i="27"/>
  <c r="C19" i="31"/>
  <c r="C5" i="20"/>
  <c r="D14" i="26"/>
  <c r="B5" i="33"/>
  <c r="C7" i="30"/>
  <c r="C16" i="25"/>
  <c r="B7" i="27"/>
  <c r="B18" i="30"/>
  <c r="B11" i="36"/>
  <c r="D16" i="36"/>
  <c r="C11" i="29"/>
  <c r="B15" i="32"/>
  <c r="B15" i="20"/>
  <c r="D5" i="20"/>
  <c r="C6" i="36"/>
  <c r="B7" i="34"/>
  <c r="B5" i="21"/>
  <c r="C6" i="1"/>
  <c r="D15" i="32"/>
  <c r="C14" i="35"/>
  <c r="B12" i="31"/>
  <c r="C8" i="38"/>
  <c r="B7" i="32"/>
  <c r="D18" i="24"/>
  <c r="B12" i="36"/>
  <c r="C11" i="35"/>
  <c r="C15" i="38"/>
  <c r="C11" i="32"/>
  <c r="B10" i="30"/>
  <c r="D4" i="30"/>
  <c r="B17" i="28"/>
  <c r="C19" i="32"/>
  <c r="B10" i="34"/>
  <c r="B9" i="27"/>
  <c r="D4" i="32"/>
  <c r="D19" i="1"/>
  <c r="C10" i="20"/>
  <c r="D13" i="32"/>
  <c r="B5" i="36"/>
  <c r="C15" i="1"/>
  <c r="C15" i="24"/>
  <c r="B14" i="27"/>
  <c r="C16" i="36"/>
  <c r="B6" i="25"/>
  <c r="D19" i="32"/>
  <c r="D16" i="29"/>
  <c r="C15" i="33"/>
  <c r="C19" i="25"/>
  <c r="D14" i="29"/>
  <c r="D11" i="23"/>
  <c r="C8" i="30"/>
  <c r="C4" i="28"/>
  <c r="B12" i="26"/>
  <c r="C7" i="32"/>
  <c r="C14" i="38"/>
  <c r="D4" i="1"/>
  <c r="C12" i="35"/>
  <c r="D8" i="35"/>
  <c r="B13" i="31"/>
  <c r="D18" i="29"/>
  <c r="D16" i="26"/>
  <c r="C10" i="32"/>
  <c r="D6" i="25"/>
  <c r="D9" i="36"/>
  <c r="C8" i="34"/>
  <c r="C10" i="27"/>
  <c r="D14" i="25"/>
  <c r="B16" i="36"/>
  <c r="D6" i="21"/>
  <c r="D6" i="27"/>
  <c r="B6" i="24"/>
  <c r="B7" i="28"/>
  <c r="B9" i="21"/>
  <c r="C4" i="27"/>
  <c r="D4" i="27"/>
  <c r="D10" i="27"/>
  <c r="B19" i="34"/>
  <c r="D11" i="34"/>
  <c r="C18" i="35"/>
  <c r="B18" i="24"/>
  <c r="C5" i="30"/>
  <c r="B10" i="32"/>
  <c r="B7" i="26"/>
  <c r="C18" i="21"/>
  <c r="C18" i="23"/>
  <c r="C18" i="36"/>
  <c r="B10" i="1"/>
  <c r="D7" i="29"/>
  <c r="B12" i="21"/>
  <c r="B6" i="36"/>
  <c r="D9" i="27"/>
  <c r="C6" i="29"/>
  <c r="C13" i="32"/>
  <c r="B16" i="38"/>
  <c r="C10" i="30"/>
  <c r="B11" i="21"/>
  <c r="B16" i="21"/>
  <c r="B10" i="38"/>
  <c r="D8" i="31"/>
  <c r="C17" i="23"/>
  <c r="C18" i="27"/>
  <c r="B6" i="21"/>
  <c r="B11" i="29"/>
  <c r="B15" i="24"/>
  <c r="C7" i="23"/>
  <c r="D12" i="29"/>
  <c r="D7" i="35"/>
  <c r="B13" i="35"/>
  <c r="C8" i="24"/>
  <c r="B16" i="28"/>
  <c r="B4" i="30"/>
  <c r="C15" i="26"/>
  <c r="B16" i="29"/>
  <c r="C7" i="34"/>
  <c r="C15" i="36"/>
  <c r="D12" i="24"/>
  <c r="D17" i="26"/>
  <c r="B19" i="29"/>
  <c r="B12" i="32"/>
  <c r="D16" i="1"/>
  <c r="C8" i="1"/>
  <c r="D8" i="29"/>
  <c r="D6" i="23"/>
  <c r="D13" i="20"/>
  <c r="C11" i="23"/>
  <c r="B9" i="20"/>
  <c r="B17" i="20"/>
  <c r="D17" i="34"/>
  <c r="C10" i="26"/>
  <c r="D13" i="36"/>
  <c r="D7" i="25"/>
  <c r="C18" i="26"/>
  <c r="D10" i="25"/>
  <c r="C9" i="21"/>
  <c r="D19" i="33"/>
  <c r="D14" i="21"/>
  <c r="B18" i="26"/>
  <c r="D18" i="27"/>
  <c r="D4" i="31"/>
  <c r="D18" i="26"/>
  <c r="B15" i="23"/>
  <c r="D12" i="36"/>
  <c r="B5" i="34"/>
  <c r="B19" i="35"/>
  <c r="C17" i="38"/>
  <c r="B5" i="20"/>
  <c r="D17" i="28"/>
  <c r="C16" i="33"/>
  <c r="C16" i="26"/>
  <c r="D18" i="34"/>
  <c r="D5" i="25"/>
  <c r="D11" i="20"/>
  <c r="D17" i="1"/>
  <c r="B12" i="25"/>
  <c r="B7" i="35"/>
  <c r="B5" i="29"/>
  <c r="D8" i="26"/>
  <c r="B17" i="26"/>
  <c r="B5" i="26"/>
  <c r="C15" i="21"/>
  <c r="D19" i="34"/>
  <c r="D5" i="1"/>
  <c r="D15" i="26"/>
  <c r="D14" i="1"/>
  <c r="B4" i="25"/>
  <c r="D18" i="32"/>
  <c r="D18" i="25"/>
  <c r="C10" i="23"/>
  <c r="B4" i="21"/>
  <c r="C19" i="1"/>
  <c r="D6" i="24"/>
  <c r="C14" i="29"/>
  <c r="B8" i="26"/>
  <c r="D10" i="20"/>
  <c r="C9" i="25"/>
  <c r="B17" i="31"/>
  <c r="B6" i="20"/>
  <c r="B14" i="21"/>
  <c r="C10" i="28"/>
  <c r="B19" i="26"/>
  <c r="C4" i="30"/>
  <c r="D17" i="30"/>
  <c r="B9" i="1"/>
  <c r="C14" i="24"/>
  <c r="B17" i="33"/>
  <c r="B4" i="36"/>
  <c r="B17" i="25"/>
  <c r="D6" i="26"/>
  <c r="D9" i="26"/>
  <c r="D18" i="38"/>
  <c r="D8" i="32"/>
  <c r="C7" i="36"/>
  <c r="B8" i="30"/>
  <c r="D13" i="29"/>
  <c r="C12" i="30"/>
  <c r="D13" i="35"/>
  <c r="B9" i="24"/>
  <c r="D19" i="25"/>
  <c r="C6" i="24"/>
  <c r="B13" i="32"/>
  <c r="B16" i="31"/>
  <c r="C19" i="26"/>
  <c r="C8" i="21"/>
  <c r="C19" i="28"/>
  <c r="C9" i="31"/>
  <c r="C5" i="23"/>
  <c r="D9" i="38"/>
  <c r="D11" i="36"/>
  <c r="C12" i="26"/>
  <c r="D14" i="27"/>
  <c r="C11" i="30"/>
  <c r="B14" i="29"/>
  <c r="D13" i="1"/>
  <c r="C9" i="26"/>
  <c r="D10" i="21"/>
  <c r="C7" i="24"/>
  <c r="C18" i="1"/>
  <c r="C15" i="31"/>
  <c r="D12" i="32"/>
  <c r="C14" i="23"/>
  <c r="D10" i="35"/>
  <c r="C5" i="31"/>
  <c r="D19" i="31"/>
  <c r="D8" i="20"/>
  <c r="D13" i="21"/>
  <c r="C14" i="26"/>
  <c r="D7" i="27"/>
  <c r="B4" i="28"/>
  <c r="D7" i="24"/>
  <c r="C19" i="34"/>
  <c r="C19" i="24"/>
  <c r="C8" i="26"/>
  <c r="C14" i="33"/>
  <c r="C7" i="27"/>
  <c r="B19" i="38"/>
  <c r="D19" i="26"/>
  <c r="C10" i="29"/>
  <c r="D16" i="32"/>
  <c r="D9" i="32"/>
  <c r="C7" i="21"/>
  <c r="D11" i="30"/>
  <c r="B5" i="23"/>
  <c r="C5" i="38"/>
  <c r="D17" i="36"/>
  <c r="C14" i="28"/>
  <c r="B15" i="27"/>
  <c r="D8" i="25"/>
  <c r="C14" i="1"/>
  <c r="C15" i="28"/>
  <c r="D8" i="24"/>
  <c r="B9" i="30"/>
  <c r="C5" i="1"/>
  <c r="C7" i="33"/>
  <c r="D6" i="33"/>
  <c r="D17" i="33"/>
  <c r="B8" i="29"/>
  <c r="C10" i="24"/>
  <c r="C14" i="32"/>
  <c r="B8" i="36"/>
  <c r="B7" i="30"/>
  <c r="B18" i="33"/>
  <c r="D14" i="24"/>
  <c r="C17" i="25"/>
  <c r="D19" i="28"/>
  <c r="D19" i="29"/>
  <c r="B18" i="1"/>
  <c r="C5" i="29"/>
  <c r="B10" i="33"/>
  <c r="B5" i="1"/>
  <c r="C10" i="33"/>
  <c r="C13" i="30"/>
  <c r="C10" i="31"/>
  <c r="D10" i="29"/>
  <c r="B7" i="25"/>
  <c r="C11" i="34"/>
  <c r="D14" i="34"/>
  <c r="D15" i="1"/>
  <c r="D11" i="26"/>
  <c r="C11" i="26"/>
  <c r="B9" i="25"/>
  <c r="C18" i="28"/>
  <c r="B7" i="38"/>
  <c r="B16" i="24"/>
  <c r="B8" i="27"/>
  <c r="C19" i="36"/>
  <c r="D11" i="27"/>
  <c r="C17" i="34"/>
  <c r="D4" i="25"/>
  <c r="D5" i="31"/>
  <c r="D15" i="23"/>
  <c r="C19" i="38"/>
  <c r="C13" i="26"/>
  <c r="C7" i="20"/>
  <c r="C6" i="38"/>
  <c r="C17" i="31"/>
  <c r="B7" i="24"/>
  <c r="B19" i="32"/>
  <c r="D6" i="35"/>
  <c r="B8" i="23"/>
  <c r="D13" i="25"/>
  <c r="D9" i="33"/>
  <c r="B5" i="38"/>
  <c r="D12" i="30"/>
  <c r="D5" i="29"/>
  <c r="C13" i="29"/>
  <c r="B11" i="23"/>
  <c r="D12" i="26"/>
  <c r="B19" i="25"/>
  <c r="C11" i="20"/>
  <c r="B10" i="21"/>
  <c r="D16" i="28"/>
  <c r="D4" i="21"/>
  <c r="C6" i="34"/>
  <c r="D9" i="29"/>
  <c r="B11" i="32"/>
  <c r="D7" i="31"/>
  <c r="B14" i="25"/>
  <c r="C16" i="31"/>
  <c r="D18" i="35"/>
  <c r="B11" i="25"/>
  <c r="D5" i="34"/>
  <c r="C16" i="20"/>
  <c r="B9" i="26"/>
  <c r="D13" i="27"/>
  <c r="C11" i="38"/>
  <c r="C16" i="38"/>
  <c r="C12" i="29"/>
  <c r="C4" i="36"/>
  <c r="D17" i="29"/>
  <c r="B4" i="27"/>
  <c r="D15" i="27"/>
  <c r="B15" i="28"/>
  <c r="B19" i="30"/>
  <c r="D12" i="21"/>
  <c r="C15" i="30"/>
  <c r="D4" i="20"/>
  <c r="C18" i="24"/>
  <c r="C4" i="20"/>
  <c r="D7" i="28"/>
  <c r="D13" i="23"/>
  <c r="D19" i="23"/>
  <c r="C4" i="29"/>
  <c r="B15" i="34"/>
  <c r="D8" i="23"/>
  <c r="B19" i="23"/>
  <c r="C16" i="27"/>
  <c r="C19" i="30"/>
  <c r="D8" i="1"/>
  <c r="C5" i="32"/>
  <c r="B13" i="27"/>
  <c r="C16" i="29"/>
  <c r="B13" i="1"/>
  <c r="C12" i="21"/>
  <c r="B17" i="34"/>
  <c r="D6" i="30"/>
  <c r="C14" i="27"/>
  <c r="C15" i="25"/>
  <c r="B13" i="26"/>
  <c r="C6" i="31"/>
  <c r="D15" i="30"/>
  <c r="B13" i="34"/>
  <c r="D10" i="31"/>
  <c r="C6" i="26"/>
  <c r="B10" i="35"/>
  <c r="D13" i="33"/>
  <c r="C5" i="36"/>
  <c r="C14" i="20"/>
  <c r="C19" i="20"/>
  <c r="D15" i="36"/>
  <c r="C6" i="21"/>
  <c r="D12" i="20"/>
  <c r="D10" i="34"/>
  <c r="C10" i="21"/>
  <c r="B10" i="36"/>
  <c r="C4" i="35"/>
  <c r="B14" i="38"/>
  <c r="B8" i="32"/>
  <c r="B12" i="38"/>
  <c r="B13" i="24"/>
  <c r="D8" i="21"/>
  <c r="B14" i="35"/>
  <c r="D7" i="23"/>
  <c r="C10" i="35"/>
  <c r="D11" i="38"/>
  <c r="B10" i="27"/>
  <c r="D15" i="28"/>
  <c r="B8" i="20"/>
  <c r="D6" i="29"/>
  <c r="D12" i="34"/>
  <c r="B5" i="27"/>
  <c r="B6" i="33"/>
  <c r="C8" i="29"/>
  <c r="B11" i="38"/>
  <c r="C15" i="27"/>
  <c r="C9" i="33"/>
  <c r="D4" i="33"/>
  <c r="C17" i="1"/>
  <c r="B17" i="24"/>
  <c r="B13" i="21"/>
  <c r="D17" i="25"/>
  <c r="B9" i="31"/>
  <c r="B16" i="35"/>
  <c r="D5" i="21"/>
  <c r="D16" i="34"/>
  <c r="D18" i="36"/>
  <c r="D13" i="30"/>
  <c r="D4" i="38"/>
  <c r="C17" i="21"/>
  <c r="C13" i="34"/>
  <c r="D5" i="30"/>
  <c r="D15" i="20"/>
  <c r="C6" i="32"/>
  <c r="C16" i="28"/>
  <c r="C4" i="34"/>
  <c r="B4" i="32"/>
  <c r="D5" i="33"/>
  <c r="B18" i="38"/>
  <c r="B13" i="33"/>
  <c r="D10" i="1"/>
  <c r="B19" i="27"/>
  <c r="B18" i="34"/>
  <c r="B8" i="28"/>
  <c r="B8" i="25"/>
  <c r="C14" i="30"/>
  <c r="D11" i="33"/>
  <c r="C8" i="27"/>
  <c r="D10" i="26"/>
  <c r="D19" i="35"/>
  <c r="D19" i="36"/>
  <c r="C7" i="28"/>
  <c r="D18" i="23"/>
  <c r="B17" i="36"/>
  <c r="C18" i="20"/>
  <c r="C7" i="1"/>
  <c r="B18" i="29"/>
  <c r="C17" i="26"/>
  <c r="B4" i="29"/>
  <c r="B5" i="31"/>
  <c r="C5" i="35"/>
  <c r="B8" i="38"/>
  <c r="C17" i="27"/>
  <c r="D8" i="34"/>
  <c r="B16" i="32"/>
  <c r="B17" i="38"/>
  <c r="C6" i="33"/>
  <c r="C6" i="27"/>
  <c r="D9" i="21"/>
  <c r="D17" i="32"/>
  <c r="B17" i="32"/>
  <c r="C8" i="32"/>
  <c r="C10" i="25"/>
  <c r="D4" i="35"/>
  <c r="B19" i="24"/>
  <c r="B7" i="1"/>
  <c r="B6" i="38"/>
  <c r="D14" i="28"/>
  <c r="C7" i="29"/>
  <c r="D6" i="31"/>
  <c r="B10" i="25"/>
  <c r="C4" i="33"/>
  <c r="B8" i="24"/>
  <c r="C18" i="34"/>
  <c r="C18" i="32"/>
  <c r="C17" i="35"/>
  <c r="D6" i="32"/>
  <c r="D19" i="20"/>
  <c r="C8" i="31"/>
  <c r="C13" i="27"/>
  <c r="D17" i="31"/>
  <c r="D14" i="32"/>
  <c r="B11" i="28"/>
  <c r="D12" i="25"/>
  <c r="B19" i="28"/>
  <c r="C12" i="33"/>
  <c r="B15" i="38"/>
  <c r="B14" i="31"/>
  <c r="B7" i="33"/>
  <c r="B7" i="31"/>
  <c r="D9" i="28"/>
  <c r="D7" i="32"/>
  <c r="C5" i="21"/>
  <c r="B10" i="23"/>
  <c r="B15" i="21"/>
  <c r="B6" i="34"/>
  <c r="C17" i="36"/>
  <c r="D17" i="21"/>
  <c r="C4" i="26"/>
  <c r="D12" i="1"/>
  <c r="C4" i="38"/>
  <c r="D9" i="31"/>
  <c r="C9" i="32"/>
  <c r="B18" i="27"/>
  <c r="C14" i="36"/>
  <c r="D19" i="30"/>
  <c r="C6" i="28"/>
  <c r="B11" i="33"/>
  <c r="C5" i="27"/>
  <c r="D15" i="38"/>
  <c r="C12" i="38"/>
  <c r="C18" i="25"/>
  <c r="C4" i="31"/>
  <c r="B5" i="30"/>
  <c r="D15" i="24"/>
  <c r="B17" i="29"/>
  <c r="B12" i="27"/>
  <c r="C6" i="30"/>
  <c r="C5" i="24"/>
  <c r="D9" i="35"/>
  <c r="D16" i="27"/>
  <c r="D5" i="23"/>
  <c r="C4" i="25"/>
  <c r="D6" i="34"/>
  <c r="C8" i="28"/>
  <c r="B7" i="20"/>
  <c r="C18" i="29"/>
  <c r="B9" i="35"/>
  <c r="D7" i="20"/>
  <c r="C16" i="21"/>
  <c r="B4" i="35"/>
  <c r="D16" i="21"/>
  <c r="C9" i="30"/>
  <c r="C12" i="31"/>
  <c r="C13" i="23"/>
  <c r="B9" i="36"/>
  <c r="D11" i="24"/>
  <c r="B16" i="20"/>
  <c r="D17" i="35"/>
  <c r="D4" i="34"/>
  <c r="B10" i="29"/>
  <c r="D14" i="20"/>
  <c r="B6" i="23"/>
  <c r="B18" i="23"/>
  <c r="C9" i="34"/>
  <c r="C13" i="35"/>
  <c r="D7" i="38"/>
  <c r="C6" i="20"/>
  <c r="B13" i="38"/>
  <c r="C17" i="16"/>
  <c r="C4" i="1"/>
  <c r="B15" i="31"/>
  <c r="B6" i="29"/>
  <c r="D17" i="24"/>
  <c r="D12" i="31"/>
  <c r="B15" i="29"/>
  <c r="D4" i="23"/>
  <c r="B18" i="21"/>
  <c r="D10" i="30"/>
  <c r="C19" i="21"/>
  <c r="B4" i="23"/>
  <c r="C9" i="29"/>
  <c r="B4" i="20"/>
  <c r="B13" i="36"/>
  <c r="B6" i="32"/>
  <c r="D15" i="35"/>
  <c r="B15" i="35"/>
  <c r="C17" i="30"/>
  <c r="D4" i="24"/>
  <c r="D4" i="29"/>
  <c r="D11" i="32"/>
  <c r="D10" i="33"/>
  <c r="C11" i="1"/>
  <c r="C7" i="25"/>
  <c r="D12" i="28"/>
  <c r="C14" i="31"/>
  <c r="C6" i="25"/>
  <c r="D7" i="26"/>
  <c r="D18" i="21"/>
  <c r="D4" i="28"/>
  <c r="C9" i="36"/>
  <c r="B14" i="26"/>
  <c r="C12" i="25"/>
  <c r="D14" i="31"/>
  <c r="B15" i="36"/>
  <c r="B12" i="29"/>
  <c r="D4" i="36"/>
  <c r="C15" i="35"/>
  <c r="C7" i="35"/>
  <c r="D7" i="30"/>
  <c r="D9" i="30"/>
  <c r="C14" i="21"/>
  <c r="D19" i="38"/>
  <c r="D16" i="23"/>
  <c r="C4" i="32"/>
  <c r="C17" i="28"/>
  <c r="D5" i="27"/>
  <c r="D19" i="24"/>
  <c r="C7" i="26"/>
  <c r="B8" i="31"/>
  <c r="D9" i="34"/>
  <c r="D4" i="26"/>
  <c r="B14" i="20"/>
  <c r="D9" i="25"/>
  <c r="B16" i="30"/>
  <c r="B12" i="30"/>
  <c r="C16" i="24"/>
  <c r="D5" i="28"/>
  <c r="B14" i="24"/>
  <c r="D14" i="38"/>
  <c r="C12" i="36"/>
  <c r="C11" i="27"/>
  <c r="B6" i="35"/>
  <c r="B9" i="29"/>
  <c r="C5" i="33"/>
  <c r="B11" i="1"/>
  <c r="C13" i="33"/>
  <c r="C11" i="24"/>
  <c r="C11" i="33"/>
  <c r="D12" i="33"/>
  <c r="B10" i="26"/>
  <c r="C9" i="1"/>
  <c r="B9" i="23"/>
  <c r="B13" i="20"/>
  <c r="D9" i="23"/>
  <c r="D5" i="36"/>
  <c r="D16" i="30"/>
  <c r="B16" i="23"/>
  <c r="B4" i="31"/>
  <c r="C6" i="23"/>
  <c r="D10" i="24"/>
  <c r="B13" i="29"/>
  <c r="C13" i="24"/>
  <c r="C10" i="16"/>
  <c r="C14" i="16"/>
  <c r="C18" i="16"/>
  <c r="C9" i="16"/>
  <c r="C6" i="16"/>
  <c r="C4" i="16"/>
  <c r="C16" i="16"/>
  <c r="C12" i="16"/>
  <c r="C13" i="16"/>
  <c r="C21" i="16"/>
  <c r="C8" i="16"/>
  <c r="C11" i="16"/>
  <c r="C19" i="16"/>
  <c r="C20" i="16"/>
  <c r="C7" i="16"/>
  <c r="C5" i="16"/>
  <c r="C15" i="16"/>
  <c r="AS15" i="16" l="1"/>
  <c r="F31" i="31"/>
  <c r="F31" i="20"/>
  <c r="AS5" i="16"/>
  <c r="AS7" i="16"/>
  <c r="F31" i="23"/>
  <c r="AS20" i="16"/>
  <c r="F31" i="36"/>
  <c r="F31" i="35"/>
  <c r="AS19" i="16"/>
  <c r="AS11" i="16"/>
  <c r="F31" i="27"/>
  <c r="F31" i="24"/>
  <c r="AS8" i="16"/>
  <c r="AS21" i="16"/>
  <c r="F31" i="38"/>
  <c r="AS13" i="16"/>
  <c r="F31" i="29"/>
  <c r="F31" i="28"/>
  <c r="AS12" i="16"/>
  <c r="AS16" i="16"/>
  <c r="F31" i="32"/>
  <c r="F31" i="1"/>
  <c r="AS4" i="16"/>
  <c r="F31" i="21"/>
  <c r="AS6" i="16"/>
  <c r="AS9" i="16"/>
  <c r="F31" i="25"/>
  <c r="F31" i="34"/>
  <c r="AS18" i="16"/>
  <c r="F31" i="30"/>
  <c r="AS14" i="16"/>
  <c r="AS10" i="16"/>
  <c r="F31" i="26"/>
  <c r="AT13" i="29"/>
  <c r="AY13" i="29"/>
  <c r="AT4" i="31"/>
  <c r="D58" i="31"/>
  <c r="R60" i="31" s="1"/>
  <c r="D2" i="31"/>
  <c r="AR3" i="31" s="1"/>
  <c r="AO27" i="31"/>
  <c r="AY4" i="31"/>
  <c r="BC4" i="31" s="1"/>
  <c r="AR2" i="31"/>
  <c r="AT16" i="23"/>
  <c r="AY16" i="23"/>
  <c r="AY13" i="20"/>
  <c r="AT13" i="20"/>
  <c r="AT9" i="23"/>
  <c r="AY9" i="23"/>
  <c r="AY10" i="26"/>
  <c r="AT10" i="26"/>
  <c r="AY11" i="1"/>
  <c r="AT11" i="1"/>
  <c r="AY9" i="29"/>
  <c r="AT9" i="29"/>
  <c r="AY6" i="35"/>
  <c r="AT6" i="35"/>
  <c r="AT14" i="24"/>
  <c r="AY14" i="24"/>
  <c r="AY12" i="30"/>
  <c r="AT12" i="30"/>
  <c r="AY16" i="30"/>
  <c r="AT16" i="30"/>
  <c r="AY14" i="20"/>
  <c r="AT14" i="20"/>
  <c r="AY8" i="31"/>
  <c r="AT8" i="31"/>
  <c r="AT12" i="29"/>
  <c r="AY12" i="29"/>
  <c r="AT15" i="36"/>
  <c r="AY15" i="36"/>
  <c r="AT14" i="26"/>
  <c r="AY14" i="26"/>
  <c r="AY15" i="35"/>
  <c r="AT15" i="35"/>
  <c r="AY6" i="32"/>
  <c r="AT6" i="32"/>
  <c r="AT13" i="36"/>
  <c r="AY13" i="36"/>
  <c r="AY4" i="20"/>
  <c r="BC4" i="20" s="1"/>
  <c r="D2" i="20"/>
  <c r="AR3" i="20" s="1"/>
  <c r="AR2" i="20"/>
  <c r="AO27" i="20"/>
  <c r="AT4" i="20"/>
  <c r="D58" i="20"/>
  <c r="R60" i="20" s="1"/>
  <c r="AO27" i="23"/>
  <c r="AY4" i="23"/>
  <c r="AT4" i="23"/>
  <c r="D2" i="23"/>
  <c r="AR3" i="23" s="1"/>
  <c r="AR2" i="23"/>
  <c r="D58" i="23"/>
  <c r="R60" i="23" s="1"/>
  <c r="AT18" i="21"/>
  <c r="AY18" i="21"/>
  <c r="AT15" i="29"/>
  <c r="AY15" i="29"/>
  <c r="AY6" i="29"/>
  <c r="AT6" i="29"/>
  <c r="AY15" i="31"/>
  <c r="AT15" i="31"/>
  <c r="F31" i="33"/>
  <c r="AS17" i="16"/>
  <c r="AT13" i="38"/>
  <c r="AY13" i="38"/>
  <c r="AT18" i="23"/>
  <c r="AY18" i="23"/>
  <c r="AY6" i="23"/>
  <c r="AT6" i="23"/>
  <c r="AY10" i="29"/>
  <c r="AT10" i="29"/>
  <c r="AT16" i="20"/>
  <c r="AY16" i="20"/>
  <c r="AY9" i="36"/>
  <c r="AT9" i="36"/>
  <c r="AR2" i="35"/>
  <c r="AT4" i="35"/>
  <c r="D58" i="35"/>
  <c r="R60" i="35" s="1"/>
  <c r="D2" i="35"/>
  <c r="AR3" i="35" s="1"/>
  <c r="AY4" i="35"/>
  <c r="BC4" i="35" s="1"/>
  <c r="AO27" i="35"/>
  <c r="AT9" i="35"/>
  <c r="AY9" i="35"/>
  <c r="AT7" i="20"/>
  <c r="AY7" i="20"/>
  <c r="AT12" i="27"/>
  <c r="AY12" i="27"/>
  <c r="AT17" i="29"/>
  <c r="AU17" i="29"/>
  <c r="AV17" i="29" s="1"/>
  <c r="AY17" i="29"/>
  <c r="AY5" i="30"/>
  <c r="AT5" i="30"/>
  <c r="AY11" i="33"/>
  <c r="AT11" i="33"/>
  <c r="AY18" i="27"/>
  <c r="AT18" i="27"/>
  <c r="AT6" i="34"/>
  <c r="AY6" i="34"/>
  <c r="AT15" i="21"/>
  <c r="AY15" i="21"/>
  <c r="AY10" i="23"/>
  <c r="AT10" i="23"/>
  <c r="AY7" i="31"/>
  <c r="AT7" i="31"/>
  <c r="AY7" i="33"/>
  <c r="AT7" i="33"/>
  <c r="AY14" i="31"/>
  <c r="AT14" i="31"/>
  <c r="AY15" i="38"/>
  <c r="AT15" i="38"/>
  <c r="AY19" i="28"/>
  <c r="B45" i="28"/>
  <c r="E20" i="28"/>
  <c r="AT19" i="28"/>
  <c r="AT11" i="28"/>
  <c r="AY11" i="28"/>
  <c r="AY8" i="24"/>
  <c r="AT8" i="24"/>
  <c r="AY10" i="25"/>
  <c r="AT10" i="25"/>
  <c r="AT6" i="38"/>
  <c r="AY6" i="38"/>
  <c r="AT7" i="1"/>
  <c r="AY7" i="1"/>
  <c r="B45" i="24"/>
  <c r="AY19" i="24"/>
  <c r="E20" i="24"/>
  <c r="AT19" i="24"/>
  <c r="AU17" i="32"/>
  <c r="AV17" i="32" s="1"/>
  <c r="AY17" i="32"/>
  <c r="AT17" i="32"/>
  <c r="AY17" i="38"/>
  <c r="AT17" i="38"/>
  <c r="AY16" i="32"/>
  <c r="AU16" i="32"/>
  <c r="AV16" i="32" s="1"/>
  <c r="AT16" i="32"/>
  <c r="AY8" i="38"/>
  <c r="AT8" i="38"/>
  <c r="AT5" i="31"/>
  <c r="AY5" i="31"/>
  <c r="BC5" i="31" s="1"/>
  <c r="D2" i="29"/>
  <c r="AR3" i="29" s="1"/>
  <c r="AY4" i="29"/>
  <c r="D58" i="29"/>
  <c r="R60" i="29" s="1"/>
  <c r="AO27" i="29"/>
  <c r="AT4" i="29"/>
  <c r="AR2" i="29"/>
  <c r="AU18" i="29"/>
  <c r="AV18" i="29" s="1"/>
  <c r="AT18" i="29"/>
  <c r="AY18" i="29"/>
  <c r="AY17" i="36"/>
  <c r="AT17" i="36"/>
  <c r="AT8" i="25"/>
  <c r="AY8" i="25"/>
  <c r="AT8" i="28"/>
  <c r="AY8" i="28"/>
  <c r="AT18" i="34"/>
  <c r="AY18" i="34"/>
  <c r="E20" i="27"/>
  <c r="AT19" i="27"/>
  <c r="AY19" i="27"/>
  <c r="B45" i="27"/>
  <c r="AY13" i="33"/>
  <c r="AT13" i="33"/>
  <c r="AY18" i="38"/>
  <c r="AT18" i="38"/>
  <c r="D58" i="32"/>
  <c r="R60" i="32" s="1"/>
  <c r="AR2" i="32"/>
  <c r="AT4" i="32"/>
  <c r="AY4" i="32"/>
  <c r="AO27" i="32"/>
  <c r="D2" i="32"/>
  <c r="AR3" i="32" s="1"/>
  <c r="AY16" i="35"/>
  <c r="AT16" i="35"/>
  <c r="AT9" i="31"/>
  <c r="AY9" i="31"/>
  <c r="AY13" i="21"/>
  <c r="AT13" i="21"/>
  <c r="AY17" i="24"/>
  <c r="AU17" i="24"/>
  <c r="AV17" i="24" s="1"/>
  <c r="AT17" i="24"/>
  <c r="AT11" i="38"/>
  <c r="AY11" i="38"/>
  <c r="AY6" i="33"/>
  <c r="AT6" i="33"/>
  <c r="AY5" i="27"/>
  <c r="AT5" i="27"/>
  <c r="AY8" i="20"/>
  <c r="BC8" i="20" s="1"/>
  <c r="AT8" i="20"/>
  <c r="AY10" i="27"/>
  <c r="AT10" i="27"/>
  <c r="AT14" i="35"/>
  <c r="AY14" i="35"/>
  <c r="AY13" i="24"/>
  <c r="AT13" i="24"/>
  <c r="AT12" i="38"/>
  <c r="AY12" i="38"/>
  <c r="AY8" i="32"/>
  <c r="AT8" i="32"/>
  <c r="AY14" i="38"/>
  <c r="AT14" i="38"/>
  <c r="AY10" i="36"/>
  <c r="AT10" i="36"/>
  <c r="AY10" i="35"/>
  <c r="AT10" i="35"/>
  <c r="AY13" i="34"/>
  <c r="AT13" i="34"/>
  <c r="AY13" i="26"/>
  <c r="AT13" i="26"/>
  <c r="AY17" i="34"/>
  <c r="AT17" i="34"/>
  <c r="AY13" i="1"/>
  <c r="AT13" i="1"/>
  <c r="AT13" i="27"/>
  <c r="AY13" i="27"/>
  <c r="AY19" i="23"/>
  <c r="AT19" i="23"/>
  <c r="E20" i="23"/>
  <c r="B45" i="23"/>
  <c r="AY15" i="34"/>
  <c r="AT15" i="34"/>
  <c r="B45" i="30"/>
  <c r="AT19" i="30"/>
  <c r="E20" i="30"/>
  <c r="AY19" i="30"/>
  <c r="AT15" i="28"/>
  <c r="AY15" i="28"/>
  <c r="AY4" i="27"/>
  <c r="BC4" i="27" s="1"/>
  <c r="AZ4" i="27" s="1"/>
  <c r="BA4" i="27" s="1"/>
  <c r="AR2" i="27"/>
  <c r="D2" i="27"/>
  <c r="AR3" i="27" s="1"/>
  <c r="AT4" i="27"/>
  <c r="D58" i="27"/>
  <c r="R60" i="27" s="1"/>
  <c r="AO27" i="27"/>
  <c r="AY9" i="26"/>
  <c r="AT9" i="26"/>
  <c r="AY11" i="25"/>
  <c r="AT11" i="25"/>
  <c r="AY14" i="25"/>
  <c r="AT14" i="25"/>
  <c r="AT11" i="32"/>
  <c r="AY11" i="32"/>
  <c r="AY10" i="21"/>
  <c r="AT10" i="21"/>
  <c r="AY19" i="25"/>
  <c r="AT19" i="25"/>
  <c r="B45" i="25"/>
  <c r="E20" i="25"/>
  <c r="AY11" i="23"/>
  <c r="AT11" i="23"/>
  <c r="AY5" i="38"/>
  <c r="AT5" i="38"/>
  <c r="AT8" i="23"/>
  <c r="AY8" i="23"/>
  <c r="AY19" i="32"/>
  <c r="AT19" i="32"/>
  <c r="E20" i="32"/>
  <c r="B45" i="32"/>
  <c r="AT7" i="24"/>
  <c r="AY7" i="24"/>
  <c r="AT8" i="27"/>
  <c r="AY8" i="27"/>
  <c r="AT16" i="24"/>
  <c r="AY16" i="24"/>
  <c r="AT7" i="38"/>
  <c r="AY7" i="38"/>
  <c r="AT9" i="25"/>
  <c r="AY9" i="25"/>
  <c r="AT7" i="25"/>
  <c r="AY7" i="25"/>
  <c r="AY5" i="1"/>
  <c r="AT5" i="1"/>
  <c r="AT10" i="33"/>
  <c r="AY10" i="33"/>
  <c r="AY18" i="1"/>
  <c r="AT18" i="1"/>
  <c r="AY18" i="33"/>
  <c r="AU18" i="33"/>
  <c r="AV18" i="33" s="1"/>
  <c r="AT18" i="33"/>
  <c r="AT7" i="30"/>
  <c r="AY7" i="30"/>
  <c r="AY8" i="36"/>
  <c r="AT8" i="36"/>
  <c r="AY8" i="29"/>
  <c r="AT8" i="29"/>
  <c r="AY9" i="30"/>
  <c r="AT9" i="30"/>
  <c r="AT15" i="27"/>
  <c r="AY15" i="27"/>
  <c r="AT5" i="23"/>
  <c r="AY5" i="23"/>
  <c r="BC5" i="23" s="1"/>
  <c r="AZ5" i="23" s="1"/>
  <c r="BA5" i="23" s="1"/>
  <c r="AY19" i="38"/>
  <c r="B45" i="38"/>
  <c r="E20" i="38"/>
  <c r="AT19" i="38"/>
  <c r="D58" i="28"/>
  <c r="R60" i="28" s="1"/>
  <c r="AT4" i="28"/>
  <c r="D2" i="28"/>
  <c r="AR3" i="28" s="1"/>
  <c r="AO27" i="28"/>
  <c r="AR2" i="28"/>
  <c r="AY4" i="28"/>
  <c r="BC4" i="28" s="1"/>
  <c r="AY14" i="29"/>
  <c r="AT14" i="29"/>
  <c r="AY16" i="31"/>
  <c r="AT16" i="31"/>
  <c r="AT13" i="32"/>
  <c r="AY13" i="32"/>
  <c r="AT9" i="24"/>
  <c r="AY9" i="24"/>
  <c r="BC9" i="24" s="1"/>
  <c r="AZ9" i="24" s="1"/>
  <c r="BA9" i="24" s="1"/>
  <c r="AY8" i="30"/>
  <c r="AT8" i="30"/>
  <c r="AY17" i="25"/>
  <c r="AT17" i="25"/>
  <c r="AO27" i="36"/>
  <c r="D58" i="36"/>
  <c r="R60" i="36" s="1"/>
  <c r="D2" i="36"/>
  <c r="AT4" i="36"/>
  <c r="AR2" i="36"/>
  <c r="AY4" i="36"/>
  <c r="AY17" i="33"/>
  <c r="AT17" i="33"/>
  <c r="AT9" i="1"/>
  <c r="AY9" i="1"/>
  <c r="E20" i="26"/>
  <c r="B45" i="26"/>
  <c r="AT19" i="26"/>
  <c r="AY19" i="26"/>
  <c r="AT14" i="21"/>
  <c r="AY14" i="21"/>
  <c r="AY6" i="20"/>
  <c r="AT6" i="20"/>
  <c r="AT17" i="31"/>
  <c r="AY17" i="31"/>
  <c r="BC17" i="31" s="1"/>
  <c r="AZ17" i="31" s="1"/>
  <c r="BA17" i="31" s="1"/>
  <c r="AY8" i="26"/>
  <c r="AT8" i="26"/>
  <c r="AO27" i="21"/>
  <c r="AY4" i="21"/>
  <c r="BC4" i="21" s="1"/>
  <c r="AT4" i="21"/>
  <c r="D58" i="21"/>
  <c r="R60" i="21" s="1"/>
  <c r="D2" i="21"/>
  <c r="AR3" i="21" s="1"/>
  <c r="AR2" i="21"/>
  <c r="AR2" i="25"/>
  <c r="AO27" i="25"/>
  <c r="AT4" i="25"/>
  <c r="AY4" i="25"/>
  <c r="BC4" i="25" s="1"/>
  <c r="D2" i="25"/>
  <c r="AR3" i="25" s="1"/>
  <c r="D58" i="25"/>
  <c r="R60" i="25" s="1"/>
  <c r="AY5" i="26"/>
  <c r="AT5" i="26"/>
  <c r="AY17" i="26"/>
  <c r="AT17" i="26"/>
  <c r="AU17" i="26"/>
  <c r="AV17" i="26" s="1"/>
  <c r="AY5" i="29"/>
  <c r="AT5" i="29"/>
  <c r="AT7" i="35"/>
  <c r="AY7" i="35"/>
  <c r="AY12" i="25"/>
  <c r="AT12" i="25"/>
  <c r="AY5" i="20"/>
  <c r="AT5" i="20"/>
  <c r="E20" i="35"/>
  <c r="B45" i="35"/>
  <c r="AY19" i="35"/>
  <c r="AT19" i="35"/>
  <c r="AY5" i="34"/>
  <c r="AT5" i="34"/>
  <c r="AT15" i="23"/>
  <c r="AY15" i="23"/>
  <c r="AY18" i="26"/>
  <c r="AU18" i="26"/>
  <c r="AV18" i="26" s="1"/>
  <c r="AT18" i="26"/>
  <c r="AY17" i="20"/>
  <c r="AT17" i="20"/>
  <c r="AY9" i="20"/>
  <c r="AT9" i="20"/>
  <c r="AY12" i="32"/>
  <c r="AT12" i="32"/>
  <c r="AT19" i="29"/>
  <c r="B45" i="29"/>
  <c r="AY19" i="29"/>
  <c r="E20" i="29"/>
  <c r="AY16" i="29"/>
  <c r="AT16" i="29"/>
  <c r="D58" i="30"/>
  <c r="R60" i="30" s="1"/>
  <c r="AT4" i="30"/>
  <c r="AY4" i="30"/>
  <c r="BC4" i="30" s="1"/>
  <c r="AZ4" i="30" s="1"/>
  <c r="BA4" i="30" s="1"/>
  <c r="D2" i="30"/>
  <c r="AR3" i="30" s="1"/>
  <c r="AO27" i="30"/>
  <c r="AR2" i="30"/>
  <c r="AY16" i="28"/>
  <c r="AT16" i="28"/>
  <c r="AY13" i="35"/>
  <c r="AT13" i="35"/>
  <c r="AT15" i="24"/>
  <c r="AY15" i="24"/>
  <c r="AT11" i="29"/>
  <c r="AY11" i="29"/>
  <c r="AT6" i="21"/>
  <c r="AY6" i="21"/>
  <c r="AT10" i="38"/>
  <c r="AY10" i="38"/>
  <c r="AY16" i="21"/>
  <c r="AT16" i="21"/>
  <c r="AY11" i="21"/>
  <c r="AT11" i="21"/>
  <c r="AY16" i="38"/>
  <c r="AT16" i="38"/>
  <c r="AT6" i="36"/>
  <c r="AY6" i="36"/>
  <c r="AY12" i="21"/>
  <c r="AT12" i="21"/>
  <c r="AY10" i="1"/>
  <c r="AT10" i="1"/>
  <c r="AY7" i="26"/>
  <c r="AT7" i="26"/>
  <c r="AY10" i="32"/>
  <c r="AT10" i="32"/>
  <c r="AY18" i="24"/>
  <c r="AT18" i="24"/>
  <c r="AU18" i="24"/>
  <c r="AV18" i="24" s="1"/>
  <c r="AT19" i="34"/>
  <c r="B45" i="34"/>
  <c r="AY19" i="34"/>
  <c r="E20" i="34"/>
  <c r="AY9" i="21"/>
  <c r="AT9" i="21"/>
  <c r="AY7" i="28"/>
  <c r="AT7" i="28"/>
  <c r="AT6" i="24"/>
  <c r="AY6" i="24"/>
  <c r="AY16" i="36"/>
  <c r="AT16" i="36"/>
  <c r="AY13" i="31"/>
  <c r="AT13" i="31"/>
  <c r="AY12" i="26"/>
  <c r="AT12" i="26"/>
  <c r="AT6" i="25"/>
  <c r="AY6" i="25"/>
  <c r="AY14" i="27"/>
  <c r="AT14" i="27"/>
  <c r="AY5" i="36"/>
  <c r="BC5" i="36" s="1"/>
  <c r="AT5" i="36"/>
  <c r="AT9" i="27"/>
  <c r="AY9" i="27"/>
  <c r="AT10" i="34"/>
  <c r="AY10" i="34"/>
  <c r="AY17" i="28"/>
  <c r="AU17" i="28"/>
  <c r="AV17" i="28" s="1"/>
  <c r="AT17" i="28"/>
  <c r="AY10" i="30"/>
  <c r="AT10" i="30"/>
  <c r="AT12" i="36"/>
  <c r="AY12" i="36"/>
  <c r="AY7" i="32"/>
  <c r="AT7" i="32"/>
  <c r="AY12" i="31"/>
  <c r="AT12" i="31"/>
  <c r="AT5" i="21"/>
  <c r="AY5" i="21"/>
  <c r="AY7" i="34"/>
  <c r="AT7" i="34"/>
  <c r="AY15" i="20"/>
  <c r="AT15" i="20"/>
  <c r="AT15" i="32"/>
  <c r="AY15" i="32"/>
  <c r="AY11" i="36"/>
  <c r="AT11" i="36"/>
  <c r="AU18" i="30"/>
  <c r="AV18" i="30" s="1"/>
  <c r="AY18" i="30"/>
  <c r="AT18" i="30"/>
  <c r="AT7" i="27"/>
  <c r="AY7" i="27"/>
  <c r="AT5" i="33"/>
  <c r="AY5" i="33"/>
  <c r="AT15" i="26"/>
  <c r="AY15" i="26"/>
  <c r="AT18" i="32"/>
  <c r="AY18" i="32"/>
  <c r="AU18" i="32"/>
  <c r="AV18" i="32" s="1"/>
  <c r="AT14" i="32"/>
  <c r="AY14" i="32"/>
  <c r="AT17" i="27"/>
  <c r="AY17" i="27"/>
  <c r="D58" i="24"/>
  <c r="R60" i="24" s="1"/>
  <c r="D2" i="24"/>
  <c r="AR3" i="24" s="1"/>
  <c r="AT4" i="24"/>
  <c r="AR2" i="24"/>
  <c r="AO27" i="24"/>
  <c r="AY4" i="24"/>
  <c r="BC4" i="24" s="1"/>
  <c r="AT16" i="34"/>
  <c r="AY16" i="34"/>
  <c r="AY14" i="34"/>
  <c r="AT14" i="34"/>
  <c r="AY18" i="25"/>
  <c r="AU18" i="25"/>
  <c r="AV18" i="25" s="1"/>
  <c r="AT18" i="25"/>
  <c r="B45" i="33"/>
  <c r="E20" i="33"/>
  <c r="AY19" i="33"/>
  <c r="AT19" i="33"/>
  <c r="AT9" i="28"/>
  <c r="AY9" i="28"/>
  <c r="AY11" i="26"/>
  <c r="AT11" i="26"/>
  <c r="AT6" i="26"/>
  <c r="AY6" i="26"/>
  <c r="AT14" i="33"/>
  <c r="AY14" i="33"/>
  <c r="AY5" i="32"/>
  <c r="AT5" i="32"/>
  <c r="AY17" i="1"/>
  <c r="AT17" i="1"/>
  <c r="AT5" i="24"/>
  <c r="AY5" i="24"/>
  <c r="BC5" i="24" s="1"/>
  <c r="AT19" i="20"/>
  <c r="B45" i="20"/>
  <c r="AY19" i="20"/>
  <c r="E20" i="20"/>
  <c r="AY12" i="24"/>
  <c r="AT12" i="24"/>
  <c r="AT8" i="35"/>
  <c r="AY8" i="35"/>
  <c r="AT15" i="25"/>
  <c r="AY15" i="25"/>
  <c r="AT13" i="23"/>
  <c r="AY13" i="23"/>
  <c r="AT12" i="23"/>
  <c r="AY12" i="23"/>
  <c r="AT19" i="36"/>
  <c r="B45" i="36"/>
  <c r="AY19" i="36"/>
  <c r="E20" i="36"/>
  <c r="AT7" i="29"/>
  <c r="AY7" i="29"/>
  <c r="AY17" i="35"/>
  <c r="AT17" i="35"/>
  <c r="AT7" i="23"/>
  <c r="AY7" i="23"/>
  <c r="AY11" i="24"/>
  <c r="AT11" i="24"/>
  <c r="AT9" i="34"/>
  <c r="AY9" i="34"/>
  <c r="AY15" i="1"/>
  <c r="AT15" i="1"/>
  <c r="AR2" i="26"/>
  <c r="AY4" i="26"/>
  <c r="D58" i="26"/>
  <c r="R60" i="26" s="1"/>
  <c r="AT4" i="26"/>
  <c r="D2" i="26"/>
  <c r="AR3" i="26" s="1"/>
  <c r="AO27" i="26"/>
  <c r="AU17" i="30"/>
  <c r="AV17" i="30" s="1"/>
  <c r="AT17" i="30"/>
  <c r="AY17" i="30"/>
  <c r="AY12" i="28"/>
  <c r="AT12" i="28"/>
  <c r="AY14" i="23"/>
  <c r="AT14" i="23"/>
  <c r="AT14" i="28"/>
  <c r="AY14" i="28"/>
  <c r="AY6" i="30"/>
  <c r="AT6" i="30"/>
  <c r="AT17" i="23"/>
  <c r="AY17" i="23"/>
  <c r="AY18" i="31"/>
  <c r="AT18" i="31"/>
  <c r="AT14" i="1"/>
  <c r="AY14" i="1"/>
  <c r="AT14" i="30"/>
  <c r="AY14" i="30"/>
  <c r="AT10" i="31"/>
  <c r="AY10" i="31"/>
  <c r="AT11" i="34"/>
  <c r="AY11" i="34"/>
  <c r="AY13" i="25"/>
  <c r="AT13" i="25"/>
  <c r="AY11" i="31"/>
  <c r="AT11" i="31"/>
  <c r="AT16" i="27"/>
  <c r="AY16" i="27"/>
  <c r="AT7" i="36"/>
  <c r="AY7" i="36"/>
  <c r="BC7" i="36" s="1"/>
  <c r="AZ7" i="36" s="1"/>
  <c r="BA7" i="36" s="1"/>
  <c r="AY16" i="1"/>
  <c r="AT16" i="1"/>
  <c r="AT5" i="35"/>
  <c r="AY5" i="35"/>
  <c r="AY6" i="27"/>
  <c r="AT6" i="27"/>
  <c r="AT8" i="21"/>
  <c r="AY8" i="21"/>
  <c r="AT12" i="34"/>
  <c r="AY12" i="34"/>
  <c r="D2" i="38"/>
  <c r="AR2" i="38"/>
  <c r="AO27" i="38"/>
  <c r="D58" i="38"/>
  <c r="R60" i="38" s="1"/>
  <c r="AT4" i="38"/>
  <c r="AY4" i="38"/>
  <c r="BC4" i="38" s="1"/>
  <c r="AZ4" i="38" s="1"/>
  <c r="BA4" i="38" s="1"/>
  <c r="AY18" i="20"/>
  <c r="AT18" i="20"/>
  <c r="AY12" i="20"/>
  <c r="AT12" i="20"/>
  <c r="AY4" i="33"/>
  <c r="AR2" i="33"/>
  <c r="D58" i="33"/>
  <c r="R60" i="33" s="1"/>
  <c r="AO27" i="33"/>
  <c r="AT4" i="33"/>
  <c r="D2" i="33"/>
  <c r="AR3" i="33" s="1"/>
  <c r="AY8" i="1"/>
  <c r="AT8" i="1"/>
  <c r="AR2" i="1"/>
  <c r="D2" i="1"/>
  <c r="AR3" i="1" s="1"/>
  <c r="AY4" i="1"/>
  <c r="BC4" i="1" s="1"/>
  <c r="AZ4" i="1" s="1"/>
  <c r="BA4" i="1" s="1"/>
  <c r="D58" i="1"/>
  <c r="R60" i="1" s="1"/>
  <c r="AT4" i="1"/>
  <c r="AO27" i="1"/>
  <c r="AY11" i="35"/>
  <c r="AT11" i="35"/>
  <c r="AT8" i="33"/>
  <c r="AY8" i="33"/>
  <c r="AY7" i="21"/>
  <c r="AT7" i="21"/>
  <c r="AY14" i="36"/>
  <c r="AT14" i="36"/>
  <c r="D58" i="34"/>
  <c r="R60" i="34" s="1"/>
  <c r="AT4" i="34"/>
  <c r="D2" i="34"/>
  <c r="AR3" i="34" s="1"/>
  <c r="AY4" i="34"/>
  <c r="AO27" i="34"/>
  <c r="AR2" i="34"/>
  <c r="AY16" i="33"/>
  <c r="AT16" i="33"/>
  <c r="AY12" i="35"/>
  <c r="AT12" i="35"/>
  <c r="AT6" i="31"/>
  <c r="AY6" i="31"/>
  <c r="AY6" i="1"/>
  <c r="BC6" i="1" s="1"/>
  <c r="AT6" i="1"/>
  <c r="AT5" i="28"/>
  <c r="AY5" i="28"/>
  <c r="AT12" i="1"/>
  <c r="AY12" i="1"/>
  <c r="AY13" i="28"/>
  <c r="AT13" i="28"/>
  <c r="AY19" i="1"/>
  <c r="AT19" i="1"/>
  <c r="B45" i="1"/>
  <c r="E20" i="1"/>
  <c r="AY18" i="28"/>
  <c r="AT18" i="28"/>
  <c r="AU18" i="28"/>
  <c r="AV18" i="28" s="1"/>
  <c r="AT12" i="33"/>
  <c r="AY12" i="33"/>
  <c r="AT16" i="26"/>
  <c r="AY16" i="26"/>
  <c r="AU16" i="26"/>
  <c r="AV16" i="26" s="1"/>
  <c r="AY16" i="25"/>
  <c r="AT16" i="25"/>
  <c r="AY15" i="30"/>
  <c r="AT15" i="30"/>
  <c r="B45" i="21"/>
  <c r="E20" i="21"/>
  <c r="AT19" i="21"/>
  <c r="AY19" i="21"/>
  <c r="AY11" i="27"/>
  <c r="AT11" i="27"/>
  <c r="AY18" i="35"/>
  <c r="AT18" i="35"/>
  <c r="E20" i="31"/>
  <c r="AY19" i="31"/>
  <c r="B45" i="31"/>
  <c r="AT19" i="31"/>
  <c r="AT11" i="20"/>
  <c r="AY11" i="20"/>
  <c r="AY9" i="33"/>
  <c r="AT9" i="33"/>
  <c r="AT6" i="28"/>
  <c r="AY6" i="28"/>
  <c r="AT13" i="30"/>
  <c r="AY13" i="30"/>
  <c r="AT9" i="32"/>
  <c r="AY9" i="32"/>
  <c r="AY17" i="21"/>
  <c r="AT17" i="21"/>
  <c r="AY10" i="28"/>
  <c r="AT10" i="28"/>
  <c r="AY9" i="38"/>
  <c r="AT9" i="38"/>
  <c r="AY10" i="20"/>
  <c r="AT10" i="20"/>
  <c r="AY10" i="24"/>
  <c r="AT10" i="24"/>
  <c r="AT11" i="30"/>
  <c r="AY11" i="30"/>
  <c r="AY5" i="25"/>
  <c r="AT5" i="25"/>
  <c r="AY8" i="34"/>
  <c r="AT8" i="34"/>
  <c r="AY18" i="36"/>
  <c r="AT18" i="36"/>
  <c r="AY15" i="33"/>
  <c r="AT15" i="33"/>
  <c r="D11" i="16"/>
  <c r="AM11" i="16"/>
  <c r="Z11" i="16"/>
  <c r="O11" i="16"/>
  <c r="AJ11" i="16"/>
  <c r="AA11" i="16"/>
  <c r="I11" i="16"/>
  <c r="AB11" i="16"/>
  <c r="U11" i="16"/>
  <c r="F11" i="16"/>
  <c r="X11" i="16"/>
  <c r="AD11" i="16"/>
  <c r="L11" i="16"/>
  <c r="AG11" i="16"/>
  <c r="R11" i="16"/>
  <c r="I14" i="16"/>
  <c r="U14" i="16"/>
  <c r="D14" i="16"/>
  <c r="O14" i="16"/>
  <c r="X14" i="16"/>
  <c r="R14" i="16"/>
  <c r="AA14" i="16"/>
  <c r="AM14" i="16"/>
  <c r="AD14" i="16"/>
  <c r="F14" i="16"/>
  <c r="AJ14" i="16"/>
  <c r="L14" i="16"/>
  <c r="AG14" i="16"/>
  <c r="X12" i="16"/>
  <c r="L12" i="16"/>
  <c r="AG12" i="16"/>
  <c r="O12" i="16"/>
  <c r="AD12" i="16"/>
  <c r="AA12" i="16"/>
  <c r="D12" i="16"/>
  <c r="I12" i="16"/>
  <c r="R12" i="16"/>
  <c r="F12" i="16"/>
  <c r="U12" i="16"/>
  <c r="AJ12" i="16"/>
  <c r="AM12" i="16"/>
  <c r="X6" i="16"/>
  <c r="D6" i="16"/>
  <c r="AG6" i="16"/>
  <c r="AJ6" i="16"/>
  <c r="R6" i="16"/>
  <c r="F6" i="16"/>
  <c r="L6" i="16"/>
  <c r="U6" i="16"/>
  <c r="I6" i="16"/>
  <c r="AM6" i="16"/>
  <c r="AA6" i="16"/>
  <c r="O6" i="16"/>
  <c r="AD6" i="16"/>
  <c r="AN21" i="16"/>
  <c r="AG21" i="16"/>
  <c r="Y21" i="16"/>
  <c r="AD21" i="16"/>
  <c r="AM21" i="16"/>
  <c r="J21" i="16"/>
  <c r="L21" i="16"/>
  <c r="D21" i="16"/>
  <c r="K21" i="16"/>
  <c r="W21" i="16"/>
  <c r="AJ21" i="16"/>
  <c r="AC21" i="16"/>
  <c r="S21" i="16"/>
  <c r="O21" i="16"/>
  <c r="G21" i="16"/>
  <c r="U21" i="16"/>
  <c r="V21" i="16"/>
  <c r="X21" i="16"/>
  <c r="N21" i="16"/>
  <c r="AF21" i="16"/>
  <c r="AE21" i="16"/>
  <c r="P21" i="16"/>
  <c r="AA21" i="16"/>
  <c r="E21" i="16"/>
  <c r="F21" i="16"/>
  <c r="AL21" i="16"/>
  <c r="T21" i="16"/>
  <c r="M21" i="16"/>
  <c r="I21" i="16"/>
  <c r="Z21" i="16"/>
  <c r="AK21" i="16"/>
  <c r="AI21" i="16"/>
  <c r="AB21" i="16"/>
  <c r="Q21" i="16"/>
  <c r="R21" i="16"/>
  <c r="H21" i="16"/>
  <c r="AH21" i="16"/>
  <c r="AJ16" i="16"/>
  <c r="I16" i="16"/>
  <c r="R16" i="16"/>
  <c r="L16" i="16"/>
  <c r="X16" i="16"/>
  <c r="U16" i="16"/>
  <c r="AA16" i="16"/>
  <c r="D16" i="16"/>
  <c r="AG16" i="16"/>
  <c r="F16" i="16"/>
  <c r="AM16" i="16"/>
  <c r="O16" i="16"/>
  <c r="AD16" i="16"/>
  <c r="S20" i="16"/>
  <c r="D20" i="16"/>
  <c r="AK20" i="16"/>
  <c r="U20" i="16"/>
  <c r="E20" i="16"/>
  <c r="F20" i="16"/>
  <c r="Z20" i="16"/>
  <c r="Q20" i="16"/>
  <c r="AE20" i="16"/>
  <c r="P20" i="16"/>
  <c r="AM20" i="16"/>
  <c r="AG20" i="16"/>
  <c r="G20" i="16"/>
  <c r="AL20" i="16"/>
  <c r="K20" i="16"/>
  <c r="N20" i="16"/>
  <c r="X20" i="16"/>
  <c r="O20" i="16"/>
  <c r="AJ20" i="16"/>
  <c r="H20" i="16"/>
  <c r="J20" i="16"/>
  <c r="AH20" i="16"/>
  <c r="I20" i="16"/>
  <c r="AD20" i="16"/>
  <c r="AA20" i="16"/>
  <c r="T20" i="16"/>
  <c r="Y20" i="16"/>
  <c r="AI20" i="16"/>
  <c r="L20" i="16"/>
  <c r="W20" i="16"/>
  <c r="V20" i="16"/>
  <c r="AN20" i="16"/>
  <c r="AB20" i="16"/>
  <c r="AC20" i="16"/>
  <c r="R20" i="16"/>
  <c r="AF20" i="16"/>
  <c r="M20" i="16"/>
  <c r="O13" i="16"/>
  <c r="I13" i="16"/>
  <c r="AJ13" i="16"/>
  <c r="R13" i="16"/>
  <c r="AM13" i="16"/>
  <c r="X13" i="16"/>
  <c r="D13" i="16"/>
  <c r="AD13" i="16"/>
  <c r="F13" i="16"/>
  <c r="L13" i="16"/>
  <c r="AA13" i="16"/>
  <c r="AG13" i="16"/>
  <c r="U13" i="16"/>
  <c r="D18" i="16"/>
  <c r="U18" i="16"/>
  <c r="I18" i="16"/>
  <c r="AJ18" i="16"/>
  <c r="AD18" i="16"/>
  <c r="L18" i="16"/>
  <c r="AA18" i="16"/>
  <c r="X18" i="16"/>
  <c r="F18" i="16"/>
  <c r="O18" i="16"/>
  <c r="R18" i="16"/>
  <c r="AG18" i="16"/>
  <c r="AM18" i="16"/>
  <c r="F15" i="16"/>
  <c r="I15" i="16"/>
  <c r="X15" i="16"/>
  <c r="L15" i="16"/>
  <c r="AJ15" i="16"/>
  <c r="U15" i="16"/>
  <c r="R15" i="16"/>
  <c r="AA15" i="16"/>
  <c r="AG15" i="16"/>
  <c r="O15" i="16"/>
  <c r="D15" i="16"/>
  <c r="AM15" i="16"/>
  <c r="AD15" i="16"/>
  <c r="I17" i="16"/>
  <c r="X17" i="16"/>
  <c r="AA17" i="16"/>
  <c r="R17" i="16"/>
  <c r="AG17" i="16"/>
  <c r="AJ17" i="16"/>
  <c r="O17" i="16"/>
  <c r="H17" i="16"/>
  <c r="AM17" i="16"/>
  <c r="D17" i="16"/>
  <c r="J17" i="16"/>
  <c r="U17" i="16"/>
  <c r="L17" i="16"/>
  <c r="AD17" i="16"/>
  <c r="F17" i="16"/>
  <c r="U4" i="16"/>
  <c r="O4" i="16"/>
  <c r="AJ4" i="16"/>
  <c r="I4" i="16"/>
  <c r="R4" i="16"/>
  <c r="AA4" i="16"/>
  <c r="F4" i="16"/>
  <c r="L4" i="16"/>
  <c r="AG4" i="16"/>
  <c r="AM4" i="16"/>
  <c r="D4" i="16"/>
  <c r="X4" i="16"/>
  <c r="AD4" i="16"/>
  <c r="Z5" i="16"/>
  <c r="AJ5" i="16"/>
  <c r="AE5" i="16"/>
  <c r="AM5" i="16"/>
  <c r="AB5" i="16"/>
  <c r="U5" i="16"/>
  <c r="I5" i="16"/>
  <c r="AG5" i="16"/>
  <c r="X5" i="16"/>
  <c r="AC5" i="16"/>
  <c r="D5" i="16"/>
  <c r="R5" i="16"/>
  <c r="AD5" i="16"/>
  <c r="F5" i="16"/>
  <c r="AA5" i="16"/>
  <c r="O5" i="16"/>
  <c r="L5" i="16"/>
  <c r="AM9" i="16"/>
  <c r="D9" i="16"/>
  <c r="X9" i="16"/>
  <c r="AA9" i="16"/>
  <c r="U9" i="16"/>
  <c r="AG9" i="16"/>
  <c r="I9" i="16"/>
  <c r="F9" i="16"/>
  <c r="L9" i="16"/>
  <c r="AJ9" i="16"/>
  <c r="O9" i="16"/>
  <c r="AD9" i="16"/>
  <c r="R9" i="16"/>
  <c r="AG8" i="16"/>
  <c r="AM8" i="16"/>
  <c r="O8" i="16"/>
  <c r="R8" i="16"/>
  <c r="AJ8" i="16"/>
  <c r="V8" i="16"/>
  <c r="D8" i="16"/>
  <c r="L8" i="16"/>
  <c r="T8" i="16"/>
  <c r="AD8" i="16"/>
  <c r="X8" i="16"/>
  <c r="AA8" i="16"/>
  <c r="I8" i="16"/>
  <c r="F8" i="16"/>
  <c r="U8" i="16"/>
  <c r="U7" i="16"/>
  <c r="F7" i="16"/>
  <c r="AA7" i="16"/>
  <c r="O7" i="16"/>
  <c r="D7" i="16"/>
  <c r="AJ7" i="16"/>
  <c r="R7" i="16"/>
  <c r="AG7" i="16"/>
  <c r="L7" i="16"/>
  <c r="X7" i="16"/>
  <c r="H7" i="16"/>
  <c r="I7" i="16"/>
  <c r="AD7" i="16"/>
  <c r="J7" i="16"/>
  <c r="AM7" i="16"/>
  <c r="L10" i="16"/>
  <c r="D10" i="16"/>
  <c r="O10" i="16"/>
  <c r="I10" i="16"/>
  <c r="AM10" i="16"/>
  <c r="F10" i="16"/>
  <c r="X10" i="16"/>
  <c r="AD10" i="16"/>
  <c r="AJ10" i="16"/>
  <c r="R10" i="16"/>
  <c r="H10" i="16"/>
  <c r="AA10" i="16"/>
  <c r="U10" i="16"/>
  <c r="J10" i="16"/>
  <c r="AG10" i="16"/>
  <c r="D19" i="16"/>
  <c r="L19" i="16"/>
  <c r="AJ19" i="16"/>
  <c r="F19" i="16"/>
  <c r="AD19" i="16"/>
  <c r="AA19" i="16"/>
  <c r="U19" i="16"/>
  <c r="J19" i="16"/>
  <c r="H19" i="16"/>
  <c r="R19" i="16"/>
  <c r="AG19" i="16"/>
  <c r="I19" i="16"/>
  <c r="X19" i="16"/>
  <c r="O19" i="16"/>
  <c r="AM19" i="16"/>
  <c r="BC9" i="32" l="1"/>
  <c r="AZ9" i="32" s="1"/>
  <c r="BA9" i="32" s="1"/>
  <c r="AZ4" i="24"/>
  <c r="BA4" i="24" s="1"/>
  <c r="BC6" i="36"/>
  <c r="AZ6" i="36" s="1"/>
  <c r="BA6" i="36" s="1"/>
  <c r="AZ4" i="25"/>
  <c r="BA4" i="25" s="1"/>
  <c r="BC7" i="30"/>
  <c r="AZ7" i="30" s="1"/>
  <c r="BA7" i="30" s="1"/>
  <c r="BC6" i="33"/>
  <c r="AZ6" i="33" s="1"/>
  <c r="BA6" i="33" s="1"/>
  <c r="AZ6" i="1"/>
  <c r="BA6" i="1" s="1"/>
  <c r="BC7" i="34"/>
  <c r="AZ7" i="34" s="1"/>
  <c r="BA7" i="34" s="1"/>
  <c r="BC12" i="28"/>
  <c r="AZ12" i="28" s="1"/>
  <c r="BA12" i="28" s="1"/>
  <c r="BC11" i="27"/>
  <c r="AZ11" i="27" s="1"/>
  <c r="BA11" i="27" s="1"/>
  <c r="BC8" i="1"/>
  <c r="BC6" i="30"/>
  <c r="AZ6" i="30" s="1"/>
  <c r="BA6" i="30" s="1"/>
  <c r="BC16" i="31"/>
  <c r="AZ16" i="31" s="1"/>
  <c r="BA16" i="31" s="1"/>
  <c r="BC10" i="29"/>
  <c r="AZ10" i="29" s="1"/>
  <c r="BA10" i="29" s="1"/>
  <c r="BC6" i="38"/>
  <c r="AZ6" i="38" s="1"/>
  <c r="BA6" i="38" s="1"/>
  <c r="BC6" i="27"/>
  <c r="AZ6" i="27" s="1"/>
  <c r="BA6" i="27" s="1"/>
  <c r="BC5" i="28"/>
  <c r="AZ5" i="28" s="1"/>
  <c r="BA5" i="28" s="1"/>
  <c r="BC6" i="21"/>
  <c r="AZ6" i="21" s="1"/>
  <c r="BA6" i="21" s="1"/>
  <c r="BC7" i="20"/>
  <c r="AZ7" i="20" s="1"/>
  <c r="BA7" i="20" s="1"/>
  <c r="BC19" i="1"/>
  <c r="BC7" i="28"/>
  <c r="AZ7" i="28" s="1"/>
  <c r="BA7" i="28" s="1"/>
  <c r="BC15" i="30"/>
  <c r="AZ15" i="30" s="1"/>
  <c r="BA15" i="30" s="1"/>
  <c r="BC9" i="38"/>
  <c r="AZ9" i="38" s="1"/>
  <c r="BA9" i="38" s="1"/>
  <c r="BC14" i="36"/>
  <c r="AZ14" i="36" s="1"/>
  <c r="BA14" i="36" s="1"/>
  <c r="BC6" i="25"/>
  <c r="AZ6" i="25" s="1"/>
  <c r="BA6" i="25" s="1"/>
  <c r="BC9" i="30"/>
  <c r="AZ9" i="30" s="1"/>
  <c r="BA9" i="30" s="1"/>
  <c r="AZ5" i="31"/>
  <c r="BA5" i="31" s="1"/>
  <c r="CS39" i="16"/>
  <c r="BU39" i="16"/>
  <c r="CD39" i="16"/>
  <c r="BO39" i="16"/>
  <c r="CM39" i="16"/>
  <c r="BX39" i="16"/>
  <c r="BP19" i="16"/>
  <c r="CA39" i="16"/>
  <c r="CG39" i="16"/>
  <c r="CJ39" i="16"/>
  <c r="BL39" i="16"/>
  <c r="CP39" i="16"/>
  <c r="BR39" i="16"/>
  <c r="CM31" i="16"/>
  <c r="CA31" i="16"/>
  <c r="CG31" i="16"/>
  <c r="BP10" i="16"/>
  <c r="BX31" i="16"/>
  <c r="CP31" i="16"/>
  <c r="CJ31" i="16"/>
  <c r="CD31" i="16"/>
  <c r="BL31" i="16"/>
  <c r="CS31" i="16"/>
  <c r="BO31" i="16"/>
  <c r="BU31" i="16"/>
  <c r="BR31" i="16"/>
  <c r="CS28" i="16"/>
  <c r="CJ28" i="16"/>
  <c r="BO28" i="16"/>
  <c r="BP7" i="16"/>
  <c r="CD28" i="16"/>
  <c r="BR28" i="16"/>
  <c r="CM28" i="16"/>
  <c r="BX28" i="16"/>
  <c r="CP28" i="16"/>
  <c r="BU28" i="16"/>
  <c r="CG28" i="16"/>
  <c r="BL28" i="16"/>
  <c r="CA28" i="16"/>
  <c r="CA29" i="16"/>
  <c r="BL29" i="16"/>
  <c r="BO29" i="16"/>
  <c r="CG29" i="16"/>
  <c r="CD29" i="16"/>
  <c r="CJ29" i="16"/>
  <c r="CB8" i="16"/>
  <c r="BR29" i="16"/>
  <c r="CP29" i="16"/>
  <c r="BX29" i="16"/>
  <c r="BU29" i="16"/>
  <c r="CS29" i="16"/>
  <c r="CM29" i="16"/>
  <c r="BX30" i="16"/>
  <c r="CJ30" i="16"/>
  <c r="BU30" i="16"/>
  <c r="CP30" i="16"/>
  <c r="BR30" i="16"/>
  <c r="BL30" i="16"/>
  <c r="BO30" i="16"/>
  <c r="CM30" i="16"/>
  <c r="CA30" i="16"/>
  <c r="CG30" i="16"/>
  <c r="CD30" i="16"/>
  <c r="CS30" i="16"/>
  <c r="BR26" i="16"/>
  <c r="BU26" i="16"/>
  <c r="CG26" i="16"/>
  <c r="BL26" i="16"/>
  <c r="CJ26" i="16"/>
  <c r="BX26" i="16"/>
  <c r="CK5" i="16"/>
  <c r="CD26" i="16"/>
  <c r="CM26" i="16"/>
  <c r="BO26" i="16"/>
  <c r="CA26" i="16"/>
  <c r="CS26" i="16"/>
  <c r="CP26" i="16"/>
  <c r="CH5" i="16"/>
  <c r="CJ25" i="16"/>
  <c r="CD25" i="16"/>
  <c r="AQ2" i="16"/>
  <c r="D22" i="16"/>
  <c r="CS25" i="16"/>
  <c r="CM25" i="16"/>
  <c r="BR25" i="16"/>
  <c r="BL25" i="16"/>
  <c r="CG25" i="16"/>
  <c r="BX25" i="16"/>
  <c r="BO25" i="16"/>
  <c r="CP25" i="16"/>
  <c r="BU25" i="16"/>
  <c r="CA25" i="16"/>
  <c r="BP17" i="16"/>
  <c r="CJ36" i="16"/>
  <c r="CS36" i="16"/>
  <c r="BU36" i="16"/>
  <c r="CM36" i="16"/>
  <c r="CG36" i="16"/>
  <c r="BX36" i="16"/>
  <c r="CA36" i="16"/>
  <c r="CP36" i="16"/>
  <c r="BR36" i="16"/>
  <c r="CD36" i="16"/>
  <c r="BO36" i="16"/>
  <c r="BL36" i="16"/>
  <c r="CS38" i="16"/>
  <c r="CM38" i="16"/>
  <c r="BX38" i="16"/>
  <c r="BU38" i="16"/>
  <c r="BL38" i="16"/>
  <c r="CD38" i="16"/>
  <c r="CG38" i="16"/>
  <c r="BR38" i="16"/>
  <c r="CJ38" i="16"/>
  <c r="CP38" i="16"/>
  <c r="BO38" i="16"/>
  <c r="CA38" i="16"/>
  <c r="CA34" i="16"/>
  <c r="CM34" i="16"/>
  <c r="CG34" i="16"/>
  <c r="BR34" i="16"/>
  <c r="BL34" i="16"/>
  <c r="CJ34" i="16"/>
  <c r="CD34" i="16"/>
  <c r="CS34" i="16"/>
  <c r="BX34" i="16"/>
  <c r="CP34" i="16"/>
  <c r="BO34" i="16"/>
  <c r="BU34" i="16"/>
  <c r="CN20" i="16"/>
  <c r="BX40" i="16"/>
  <c r="CK20" i="16"/>
  <c r="CE20" i="16"/>
  <c r="BR40" i="16"/>
  <c r="CQ20" i="16"/>
  <c r="CB20" i="16"/>
  <c r="CG40" i="16"/>
  <c r="CJ40" i="16"/>
  <c r="BO40" i="16"/>
  <c r="BP20" i="16"/>
  <c r="CP40" i="16"/>
  <c r="BU40" i="16"/>
  <c r="CD40" i="16"/>
  <c r="BV20" i="16"/>
  <c r="BS20" i="16"/>
  <c r="CT20" i="16"/>
  <c r="CM40" i="16"/>
  <c r="CS40" i="16"/>
  <c r="BY20" i="16"/>
  <c r="CH20" i="16"/>
  <c r="BL40" i="16"/>
  <c r="BM20" i="16"/>
  <c r="CA40" i="16"/>
  <c r="CJ37" i="16"/>
  <c r="BU37" i="16"/>
  <c r="CS37" i="16"/>
  <c r="BL37" i="16"/>
  <c r="CM37" i="16"/>
  <c r="CG37" i="16"/>
  <c r="CA37" i="16"/>
  <c r="CD37" i="16"/>
  <c r="BR37" i="16"/>
  <c r="BX37" i="16"/>
  <c r="BO37" i="16"/>
  <c r="CP37" i="16"/>
  <c r="BP21" i="16"/>
  <c r="BX41" i="16"/>
  <c r="BY21" i="16"/>
  <c r="CQ21" i="16"/>
  <c r="CH21" i="16"/>
  <c r="BO41" i="16"/>
  <c r="CB21" i="16"/>
  <c r="CT21" i="16"/>
  <c r="BL41" i="16"/>
  <c r="BM21" i="16"/>
  <c r="CG41" i="16"/>
  <c r="CN21" i="16"/>
  <c r="BV21" i="16"/>
  <c r="CD41" i="16"/>
  <c r="CA41" i="16"/>
  <c r="BU41" i="16"/>
  <c r="CK21" i="16"/>
  <c r="CP41" i="16"/>
  <c r="CE21" i="16"/>
  <c r="BS21" i="16"/>
  <c r="BR41" i="16"/>
  <c r="CS41" i="16"/>
  <c r="CJ41" i="16"/>
  <c r="CM41" i="16"/>
  <c r="CJ27" i="16"/>
  <c r="BU27" i="16"/>
  <c r="CG27" i="16"/>
  <c r="CS27" i="16"/>
  <c r="BO27" i="16"/>
  <c r="CA27" i="16"/>
  <c r="BR27" i="16"/>
  <c r="BL27" i="16"/>
  <c r="BX27" i="16"/>
  <c r="CP27" i="16"/>
  <c r="CM27" i="16"/>
  <c r="CD27" i="16"/>
  <c r="CS33" i="16"/>
  <c r="CP33" i="16"/>
  <c r="CA33" i="16"/>
  <c r="BL33" i="16"/>
  <c r="BX33" i="16"/>
  <c r="BO33" i="16"/>
  <c r="CG33" i="16"/>
  <c r="CJ33" i="16"/>
  <c r="BU33" i="16"/>
  <c r="CM33" i="16"/>
  <c r="BR33" i="16"/>
  <c r="CD33" i="16"/>
  <c r="CM35" i="16"/>
  <c r="BR35" i="16"/>
  <c r="CP35" i="16"/>
  <c r="BL35" i="16"/>
  <c r="CJ35" i="16"/>
  <c r="CS35" i="16"/>
  <c r="CG35" i="16"/>
  <c r="BX35" i="16"/>
  <c r="CD35" i="16"/>
  <c r="BU35" i="16"/>
  <c r="CA35" i="16"/>
  <c r="BO35" i="16"/>
  <c r="BX32" i="16"/>
  <c r="CM32" i="16"/>
  <c r="BR32" i="16"/>
  <c r="CJ32" i="16"/>
  <c r="CD32" i="16"/>
  <c r="BL32" i="16"/>
  <c r="CA32" i="16"/>
  <c r="BO32" i="16"/>
  <c r="CG32" i="16"/>
  <c r="CP32" i="16"/>
  <c r="BU32" i="16"/>
  <c r="CH11" i="16"/>
  <c r="CS32" i="16"/>
  <c r="BC7" i="27"/>
  <c r="AZ7" i="27"/>
  <c r="AZ18" i="26"/>
  <c r="BA18" i="26" s="1"/>
  <c r="BC18" i="26"/>
  <c r="BC14" i="38"/>
  <c r="AZ14" i="38" s="1"/>
  <c r="BA14" i="38" s="1"/>
  <c r="AZ16" i="32"/>
  <c r="BA16" i="32" s="1"/>
  <c r="BC16" i="32"/>
  <c r="AN25" i="35"/>
  <c r="AN41" i="35" s="1"/>
  <c r="AH25" i="35"/>
  <c r="AH41" i="35" s="1"/>
  <c r="AI26" i="35"/>
  <c r="AI39" i="35" s="1"/>
  <c r="P25" i="35"/>
  <c r="P41" i="35" s="1"/>
  <c r="Z26" i="35"/>
  <c r="Z39" i="35" s="1"/>
  <c r="G25" i="35"/>
  <c r="G41" i="35" s="1"/>
  <c r="T26" i="35"/>
  <c r="T39" i="35" s="1"/>
  <c r="K26" i="35"/>
  <c r="K39" i="35" s="1"/>
  <c r="AF26" i="35"/>
  <c r="AF39" i="35" s="1"/>
  <c r="V25" i="35"/>
  <c r="V41" i="35" s="1"/>
  <c r="AO26" i="35"/>
  <c r="AO39" i="35" s="1"/>
  <c r="AE25" i="35"/>
  <c r="AE41" i="35" s="1"/>
  <c r="S25" i="35"/>
  <c r="S41" i="35" s="1"/>
  <c r="N26" i="35"/>
  <c r="N39" i="35" s="1"/>
  <c r="W26" i="35"/>
  <c r="W39" i="35" s="1"/>
  <c r="AC26" i="35"/>
  <c r="AC39" i="35" s="1"/>
  <c r="J25" i="35"/>
  <c r="J41" i="35" s="1"/>
  <c r="M25" i="35"/>
  <c r="M41" i="35" s="1"/>
  <c r="AK25" i="35"/>
  <c r="AK41" i="35" s="1"/>
  <c r="Y25" i="35"/>
  <c r="Y41" i="35" s="1"/>
  <c r="AL26" i="35"/>
  <c r="AL39" i="35" s="1"/>
  <c r="AB25" i="35"/>
  <c r="AB41" i="35" s="1"/>
  <c r="H26" i="35"/>
  <c r="H39" i="35" s="1"/>
  <c r="P27" i="35"/>
  <c r="Q26" i="35"/>
  <c r="Q39" i="35" s="1"/>
  <c r="T21" i="36"/>
  <c r="AC21" i="36"/>
  <c r="AL21" i="36"/>
  <c r="W21" i="36"/>
  <c r="N21" i="36"/>
  <c r="Z21" i="36"/>
  <c r="AI21" i="36"/>
  <c r="AO21" i="36"/>
  <c r="H21" i="36"/>
  <c r="Q21" i="36"/>
  <c r="BC14" i="28"/>
  <c r="AZ14" i="28" s="1"/>
  <c r="BA14" i="28" s="1"/>
  <c r="BC17" i="27"/>
  <c r="AZ17" i="27" s="1"/>
  <c r="BA17" i="27" s="1"/>
  <c r="AZ15" i="32"/>
  <c r="BC15" i="32"/>
  <c r="BC19" i="35"/>
  <c r="AZ19" i="35" s="1"/>
  <c r="BA19" i="35" s="1"/>
  <c r="BC18" i="38"/>
  <c r="AZ18" i="38" s="1"/>
  <c r="BA18" i="38" s="1"/>
  <c r="BC8" i="25"/>
  <c r="AZ8" i="25" s="1"/>
  <c r="BA8" i="25" s="1"/>
  <c r="BC14" i="26"/>
  <c r="AZ14" i="26" s="1"/>
  <c r="BA14" i="26" s="1"/>
  <c r="AZ6" i="35"/>
  <c r="BC6" i="35"/>
  <c r="BC9" i="33"/>
  <c r="AZ9" i="33" s="1"/>
  <c r="BA9" i="33" s="1"/>
  <c r="BC14" i="30"/>
  <c r="AZ14" i="30" s="1"/>
  <c r="BA14" i="30" s="1"/>
  <c r="AN25" i="26"/>
  <c r="AN41" i="26" s="1"/>
  <c r="AK25" i="26"/>
  <c r="AK41" i="26" s="1"/>
  <c r="Z26" i="26"/>
  <c r="Z39" i="26" s="1"/>
  <c r="P25" i="26"/>
  <c r="P41" i="26" s="1"/>
  <c r="AH25" i="26"/>
  <c r="AH41" i="26" s="1"/>
  <c r="M25" i="26"/>
  <c r="M41" i="26" s="1"/>
  <c r="AL26" i="26"/>
  <c r="AL39" i="26" s="1"/>
  <c r="T26" i="26"/>
  <c r="T39" i="26" s="1"/>
  <c r="G25" i="26"/>
  <c r="G41" i="26" s="1"/>
  <c r="AI26" i="26"/>
  <c r="AI39" i="26" s="1"/>
  <c r="W26" i="26"/>
  <c r="W39" i="26" s="1"/>
  <c r="V25" i="26"/>
  <c r="V41" i="26" s="1"/>
  <c r="AB25" i="26"/>
  <c r="AB41" i="26" s="1"/>
  <c r="AC26" i="26"/>
  <c r="AC39" i="26" s="1"/>
  <c r="H26" i="26"/>
  <c r="H39" i="26" s="1"/>
  <c r="J25" i="26"/>
  <c r="J41" i="26" s="1"/>
  <c r="N26" i="26"/>
  <c r="N39" i="26" s="1"/>
  <c r="AF26" i="26"/>
  <c r="AF39" i="26" s="1"/>
  <c r="AE25" i="26"/>
  <c r="AE41" i="26" s="1"/>
  <c r="S25" i="26"/>
  <c r="S41" i="26" s="1"/>
  <c r="AO26" i="26"/>
  <c r="AO39" i="26" s="1"/>
  <c r="P27" i="26"/>
  <c r="Q26" i="26"/>
  <c r="Q39" i="26" s="1"/>
  <c r="Y25" i="26"/>
  <c r="Y41" i="26" s="1"/>
  <c r="K26" i="26"/>
  <c r="K39" i="26" s="1"/>
  <c r="BC15" i="26"/>
  <c r="AZ15" i="26" s="1"/>
  <c r="BA15" i="26" s="1"/>
  <c r="BC17" i="28"/>
  <c r="AZ17" i="28"/>
  <c r="BA17" i="28" s="1"/>
  <c r="BC16" i="36"/>
  <c r="AZ16" i="36" s="1"/>
  <c r="BA16" i="36" s="1"/>
  <c r="BC13" i="35"/>
  <c r="AZ13" i="35" s="1"/>
  <c r="BA13" i="35" s="1"/>
  <c r="BC15" i="23"/>
  <c r="AZ15" i="23" s="1"/>
  <c r="BA15" i="23" s="1"/>
  <c r="AZ4" i="21"/>
  <c r="BA4" i="21" s="1"/>
  <c r="BC9" i="25"/>
  <c r="AZ9" i="25"/>
  <c r="BA9" i="25" s="1"/>
  <c r="BC5" i="38"/>
  <c r="AZ5" i="38" s="1"/>
  <c r="BA5" i="38" s="1"/>
  <c r="AZ13" i="27"/>
  <c r="BC13" i="27"/>
  <c r="BC10" i="35"/>
  <c r="AZ10" i="35" s="1"/>
  <c r="BA10" i="35" s="1"/>
  <c r="BC19" i="24"/>
  <c r="AZ19" i="24"/>
  <c r="BA19" i="24" s="1"/>
  <c r="AZ11" i="33"/>
  <c r="BC11" i="33"/>
  <c r="BC12" i="27"/>
  <c r="AZ12" i="27" s="1"/>
  <c r="BA12" i="27" s="1"/>
  <c r="BC8" i="31"/>
  <c r="AZ8" i="31" s="1"/>
  <c r="BA8" i="31" s="1"/>
  <c r="BC10" i="26"/>
  <c r="AZ10" i="26" s="1"/>
  <c r="BA10" i="26" s="1"/>
  <c r="BC16" i="23"/>
  <c r="AZ16" i="23" s="1"/>
  <c r="BA16" i="23" s="1"/>
  <c r="BC10" i="28"/>
  <c r="AZ10" i="28" s="1"/>
  <c r="BA10" i="28" s="1"/>
  <c r="BC16" i="27"/>
  <c r="AZ16" i="27"/>
  <c r="BC12" i="23"/>
  <c r="AZ12" i="23" s="1"/>
  <c r="BA12" i="23" s="1"/>
  <c r="BC17" i="1"/>
  <c r="AZ17" i="1" s="1"/>
  <c r="BA17" i="1" s="1"/>
  <c r="AZ6" i="26"/>
  <c r="BC6" i="26"/>
  <c r="AZ18" i="30"/>
  <c r="BA18" i="30" s="1"/>
  <c r="BC18" i="30"/>
  <c r="BC12" i="36"/>
  <c r="AZ12" i="36" s="1"/>
  <c r="BA12" i="36" s="1"/>
  <c r="AZ5" i="36"/>
  <c r="BA5" i="36" s="1"/>
  <c r="BC9" i="21"/>
  <c r="AZ9" i="21" s="1"/>
  <c r="BA9" i="21" s="1"/>
  <c r="BC18" i="24"/>
  <c r="AZ18" i="24"/>
  <c r="BA18" i="24" s="1"/>
  <c r="BC16" i="21"/>
  <c r="AZ16" i="21" s="1"/>
  <c r="BA16" i="21" s="1"/>
  <c r="BC11" i="29"/>
  <c r="AZ11" i="29" s="1"/>
  <c r="BA11" i="29" s="1"/>
  <c r="AZ7" i="35"/>
  <c r="BC7" i="35"/>
  <c r="BC14" i="29"/>
  <c r="AZ14" i="29" s="1"/>
  <c r="BA14" i="29" s="1"/>
  <c r="BC8" i="29"/>
  <c r="AZ8" i="29"/>
  <c r="BC8" i="27"/>
  <c r="AZ8" i="27" s="1"/>
  <c r="BA8" i="27" s="1"/>
  <c r="BC14" i="25"/>
  <c r="AZ14" i="25" s="1"/>
  <c r="BA14" i="25" s="1"/>
  <c r="BC15" i="34"/>
  <c r="AZ15" i="34" s="1"/>
  <c r="BA15" i="34" s="1"/>
  <c r="BC8" i="32"/>
  <c r="AZ8" i="32" s="1"/>
  <c r="BA8" i="32" s="1"/>
  <c r="BC14" i="35"/>
  <c r="AZ14" i="35" s="1"/>
  <c r="BA14" i="35" s="1"/>
  <c r="AZ9" i="31"/>
  <c r="BC9" i="31"/>
  <c r="BC4" i="32"/>
  <c r="AZ4" i="32" s="1"/>
  <c r="BA4" i="32" s="1"/>
  <c r="BC18" i="34"/>
  <c r="AZ18" i="34" s="1"/>
  <c r="BA18" i="34" s="1"/>
  <c r="BC17" i="38"/>
  <c r="AZ17" i="38" s="1"/>
  <c r="BA17" i="38" s="1"/>
  <c r="BC7" i="31"/>
  <c r="AZ7" i="31"/>
  <c r="BA7" i="31" s="1"/>
  <c r="BC6" i="34"/>
  <c r="AZ6" i="34" s="1"/>
  <c r="BA6" i="34" s="1"/>
  <c r="BC9" i="36"/>
  <c r="AZ9" i="36" s="1"/>
  <c r="BA9" i="36" s="1"/>
  <c r="AB25" i="23"/>
  <c r="AB41" i="23" s="1"/>
  <c r="V25" i="23"/>
  <c r="V41" i="23" s="1"/>
  <c r="W26" i="23"/>
  <c r="W39" i="23" s="1"/>
  <c r="Y25" i="23"/>
  <c r="Y41" i="23" s="1"/>
  <c r="G25" i="23"/>
  <c r="G41" i="23" s="1"/>
  <c r="AK25" i="23"/>
  <c r="AK41" i="23" s="1"/>
  <c r="AN25" i="23"/>
  <c r="AN41" i="23" s="1"/>
  <c r="K26" i="23"/>
  <c r="K39" i="23" s="1"/>
  <c r="P27" i="23"/>
  <c r="S25" i="23"/>
  <c r="S41" i="23" s="1"/>
  <c r="AE25" i="23"/>
  <c r="AE41" i="23" s="1"/>
  <c r="N26" i="23"/>
  <c r="N39" i="23" s="1"/>
  <c r="AL26" i="23"/>
  <c r="AL39" i="23" s="1"/>
  <c r="Q26" i="23"/>
  <c r="Q39" i="23" s="1"/>
  <c r="M25" i="23"/>
  <c r="M41" i="23" s="1"/>
  <c r="AC26" i="23"/>
  <c r="AC39" i="23" s="1"/>
  <c r="J25" i="23"/>
  <c r="J41" i="23" s="1"/>
  <c r="AI26" i="23"/>
  <c r="AI39" i="23" s="1"/>
  <c r="AH25" i="23"/>
  <c r="AH41" i="23" s="1"/>
  <c r="H26" i="23"/>
  <c r="T26" i="23"/>
  <c r="T39" i="23" s="1"/>
  <c r="P25" i="23"/>
  <c r="P41" i="23" s="1"/>
  <c r="AF26" i="23"/>
  <c r="AF39" i="23" s="1"/>
  <c r="Z26" i="23"/>
  <c r="Z39" i="23" s="1"/>
  <c r="AO26" i="23"/>
  <c r="AO39" i="23" s="1"/>
  <c r="BC15" i="36"/>
  <c r="AZ15" i="36"/>
  <c r="BC12" i="30"/>
  <c r="AZ12" i="30" s="1"/>
  <c r="BA12" i="30" s="1"/>
  <c r="Q21" i="34"/>
  <c r="AL21" i="34"/>
  <c r="AC21" i="34"/>
  <c r="AI21" i="34"/>
  <c r="T21" i="34"/>
  <c r="H21" i="34"/>
  <c r="Z21" i="34"/>
  <c r="N21" i="34"/>
  <c r="AO21" i="34"/>
  <c r="AF21" i="34"/>
  <c r="W21" i="34"/>
  <c r="K21" i="34"/>
  <c r="T21" i="24"/>
  <c r="Z21" i="24"/>
  <c r="Q21" i="24"/>
  <c r="AL21" i="24"/>
  <c r="H21" i="24"/>
  <c r="AI21" i="24"/>
  <c r="AC21" i="24"/>
  <c r="N21" i="24"/>
  <c r="AF21" i="24"/>
  <c r="K21" i="24"/>
  <c r="AO21" i="24"/>
  <c r="BC5" i="25"/>
  <c r="AZ5" i="25"/>
  <c r="BC11" i="20"/>
  <c r="AZ11" i="20" s="1"/>
  <c r="BA11" i="20" s="1"/>
  <c r="AZ18" i="28"/>
  <c r="BA18" i="28" s="1"/>
  <c r="BC18" i="28"/>
  <c r="AZ13" i="28"/>
  <c r="BC13" i="28"/>
  <c r="BC8" i="21"/>
  <c r="AZ8" i="21" s="1"/>
  <c r="BA8" i="21" s="1"/>
  <c r="BC11" i="34"/>
  <c r="AZ11" i="34" s="1"/>
  <c r="BA11" i="34" s="1"/>
  <c r="BC8" i="35"/>
  <c r="AZ8" i="35"/>
  <c r="BA8" i="35" s="1"/>
  <c r="T26" i="24"/>
  <c r="T39" i="24" s="1"/>
  <c r="AE25" i="24"/>
  <c r="AE41" i="24" s="1"/>
  <c r="AC26" i="24"/>
  <c r="AC39" i="24" s="1"/>
  <c r="AL26" i="24"/>
  <c r="AL39" i="24" s="1"/>
  <c r="H26" i="24"/>
  <c r="H39" i="24" s="1"/>
  <c r="S25" i="24"/>
  <c r="S41" i="24" s="1"/>
  <c r="AB25" i="24"/>
  <c r="AB41" i="24" s="1"/>
  <c r="V25" i="24"/>
  <c r="V41" i="24" s="1"/>
  <c r="P25" i="24"/>
  <c r="P41" i="24" s="1"/>
  <c r="Z26" i="24"/>
  <c r="Z39" i="24" s="1"/>
  <c r="AH25" i="24"/>
  <c r="AH41" i="24" s="1"/>
  <c r="Q26" i="24"/>
  <c r="Q39" i="24" s="1"/>
  <c r="AK25" i="24"/>
  <c r="AK41" i="24" s="1"/>
  <c r="G25" i="24"/>
  <c r="G41" i="24" s="1"/>
  <c r="AF26" i="24"/>
  <c r="AF39" i="24" s="1"/>
  <c r="N26" i="24"/>
  <c r="N39" i="24" s="1"/>
  <c r="Y25" i="24"/>
  <c r="Y41" i="24" s="1"/>
  <c r="AI26" i="24"/>
  <c r="AI39" i="24" s="1"/>
  <c r="AO26" i="24"/>
  <c r="AO39" i="24" s="1"/>
  <c r="AN25" i="24"/>
  <c r="AN41" i="24" s="1"/>
  <c r="P27" i="24"/>
  <c r="K26" i="24"/>
  <c r="K39" i="24" s="1"/>
  <c r="W26" i="24"/>
  <c r="W39" i="24" s="1"/>
  <c r="J25" i="24"/>
  <c r="J41" i="24" s="1"/>
  <c r="M25" i="24"/>
  <c r="M41" i="24" s="1"/>
  <c r="BC14" i="32"/>
  <c r="AZ14" i="32" s="1"/>
  <c r="BA14" i="32" s="1"/>
  <c r="BC10" i="34"/>
  <c r="AZ10" i="34" s="1"/>
  <c r="BA10" i="34" s="1"/>
  <c r="BC12" i="26"/>
  <c r="AZ12" i="26" s="1"/>
  <c r="BA12" i="26" s="1"/>
  <c r="AZ6" i="24"/>
  <c r="BC6" i="24"/>
  <c r="BC10" i="1"/>
  <c r="AZ10" i="1" s="1"/>
  <c r="BA10" i="1" s="1"/>
  <c r="M25" i="25"/>
  <c r="M41" i="25" s="1"/>
  <c r="N26" i="25"/>
  <c r="N39" i="25" s="1"/>
  <c r="K26" i="25"/>
  <c r="K39" i="25" s="1"/>
  <c r="P27" i="25"/>
  <c r="P25" i="25"/>
  <c r="P41" i="25" s="1"/>
  <c r="W26" i="25"/>
  <c r="W39" i="25" s="1"/>
  <c r="AK25" i="25"/>
  <c r="AK41" i="25" s="1"/>
  <c r="AO26" i="25"/>
  <c r="AO39" i="25" s="1"/>
  <c r="Z26" i="25"/>
  <c r="Z39" i="25" s="1"/>
  <c r="Q26" i="25"/>
  <c r="Q39" i="25" s="1"/>
  <c r="AF26" i="25"/>
  <c r="AF39" i="25" s="1"/>
  <c r="V25" i="25"/>
  <c r="V41" i="25" s="1"/>
  <c r="H26" i="25"/>
  <c r="H39" i="25" s="1"/>
  <c r="AB25" i="25"/>
  <c r="AB41" i="25" s="1"/>
  <c r="J25" i="25"/>
  <c r="J41" i="25" s="1"/>
  <c r="AE25" i="25"/>
  <c r="AE41" i="25" s="1"/>
  <c r="AC26" i="25"/>
  <c r="AC39" i="25" s="1"/>
  <c r="AI26" i="25"/>
  <c r="AI39" i="25" s="1"/>
  <c r="AN25" i="25"/>
  <c r="AN41" i="25" s="1"/>
  <c r="AH25" i="25"/>
  <c r="AH41" i="25" s="1"/>
  <c r="S25" i="25"/>
  <c r="S41" i="25" s="1"/>
  <c r="AL26" i="25"/>
  <c r="AL39" i="25" s="1"/>
  <c r="Y25" i="25"/>
  <c r="Y41" i="25" s="1"/>
  <c r="G25" i="25"/>
  <c r="G41" i="25" s="1"/>
  <c r="T26" i="25"/>
  <c r="T39" i="25" s="1"/>
  <c r="BC6" i="20"/>
  <c r="AZ6" i="20" s="1"/>
  <c r="BA6" i="20" s="1"/>
  <c r="BC4" i="36"/>
  <c r="AZ4" i="36" s="1"/>
  <c r="BA4" i="36" s="1"/>
  <c r="BC17" i="25"/>
  <c r="AZ17" i="25" s="1"/>
  <c r="BA17" i="25" s="1"/>
  <c r="BC13" i="32"/>
  <c r="AZ13" i="32" s="1"/>
  <c r="BA13" i="32" s="1"/>
  <c r="BC15" i="27"/>
  <c r="AZ15" i="27" s="1"/>
  <c r="BA15" i="27" s="1"/>
  <c r="BC18" i="33"/>
  <c r="AZ18" i="33"/>
  <c r="BA18" i="33" s="1"/>
  <c r="BC19" i="32"/>
  <c r="AZ19" i="32" s="1"/>
  <c r="BA19" i="32" s="1"/>
  <c r="AZ13" i="26"/>
  <c r="BC13" i="26"/>
  <c r="BC13" i="33"/>
  <c r="AZ13" i="33" s="1"/>
  <c r="BA13" i="33" s="1"/>
  <c r="AZ10" i="25"/>
  <c r="BC10" i="25"/>
  <c r="AZ4" i="35"/>
  <c r="BA4" i="35" s="1"/>
  <c r="BC6" i="23"/>
  <c r="AZ6" i="23"/>
  <c r="Q21" i="33"/>
  <c r="W21" i="33"/>
  <c r="AL21" i="33"/>
  <c r="AI21" i="33"/>
  <c r="AC21" i="33"/>
  <c r="Z21" i="33"/>
  <c r="AO21" i="33"/>
  <c r="AF21" i="33"/>
  <c r="N21" i="33"/>
  <c r="T21" i="33"/>
  <c r="H21" i="33"/>
  <c r="BC15" i="29"/>
  <c r="AZ15" i="29" s="1"/>
  <c r="BA15" i="29" s="1"/>
  <c r="BQ9" i="23"/>
  <c r="BQ4" i="23"/>
  <c r="AH27" i="23"/>
  <c r="BQ10" i="23"/>
  <c r="BQ8" i="23"/>
  <c r="BQ5" i="23"/>
  <c r="BQ11" i="23"/>
  <c r="BQ14" i="23"/>
  <c r="BQ12" i="23"/>
  <c r="Y27" i="23"/>
  <c r="BQ15" i="23"/>
  <c r="BQ6" i="23"/>
  <c r="BQ7" i="23"/>
  <c r="BQ13" i="23"/>
  <c r="Y26" i="23"/>
  <c r="Y42" i="23" s="1"/>
  <c r="AB26" i="23"/>
  <c r="AB42" i="23" s="1"/>
  <c r="AN26" i="23"/>
  <c r="AN42" i="23" s="1"/>
  <c r="J26" i="23"/>
  <c r="J42" i="23" s="1"/>
  <c r="AH26" i="23"/>
  <c r="AH42" i="23" s="1"/>
  <c r="M25" i="20"/>
  <c r="M41" i="20" s="1"/>
  <c r="P27" i="20"/>
  <c r="S25" i="20"/>
  <c r="S41" i="20" s="1"/>
  <c r="G25" i="20"/>
  <c r="G41" i="20" s="1"/>
  <c r="Y25" i="20"/>
  <c r="Y41" i="20" s="1"/>
  <c r="V25" i="20"/>
  <c r="V41" i="20" s="1"/>
  <c r="AF26" i="20"/>
  <c r="AF39" i="20" s="1"/>
  <c r="J25" i="20"/>
  <c r="J41" i="20" s="1"/>
  <c r="H26" i="20"/>
  <c r="H39" i="20" s="1"/>
  <c r="AK25" i="20"/>
  <c r="AK41" i="20" s="1"/>
  <c r="Q26" i="20"/>
  <c r="Q39" i="20" s="1"/>
  <c r="T26" i="20"/>
  <c r="T39" i="20" s="1"/>
  <c r="AI26" i="20"/>
  <c r="AI39" i="20" s="1"/>
  <c r="AN25" i="20"/>
  <c r="AN41" i="20" s="1"/>
  <c r="K26" i="20"/>
  <c r="K39" i="20" s="1"/>
  <c r="AH25" i="20"/>
  <c r="AH41" i="20" s="1"/>
  <c r="P25" i="20"/>
  <c r="P41" i="20" s="1"/>
  <c r="AL26" i="20"/>
  <c r="AL39" i="20" s="1"/>
  <c r="Z26" i="20"/>
  <c r="Z39" i="20" s="1"/>
  <c r="AC26" i="20"/>
  <c r="AC39" i="20" s="1"/>
  <c r="AE25" i="20"/>
  <c r="AE41" i="20" s="1"/>
  <c r="AO26" i="20"/>
  <c r="AO39" i="20" s="1"/>
  <c r="N26" i="20"/>
  <c r="N39" i="20" s="1"/>
  <c r="AB25" i="20"/>
  <c r="AB41" i="20" s="1"/>
  <c r="W26" i="20"/>
  <c r="W39" i="20" s="1"/>
  <c r="BC6" i="32"/>
  <c r="AZ6" i="32"/>
  <c r="AZ9" i="29"/>
  <c r="BC9" i="29"/>
  <c r="BC9" i="23"/>
  <c r="AZ9" i="23" s="1"/>
  <c r="BA9" i="23" s="1"/>
  <c r="BC13" i="29"/>
  <c r="AZ13" i="29" s="1"/>
  <c r="BA13" i="29" s="1"/>
  <c r="AF21" i="25"/>
  <c r="Z21" i="25"/>
  <c r="N21" i="25"/>
  <c r="AO21" i="25"/>
  <c r="H21" i="25"/>
  <c r="AI21" i="25"/>
  <c r="T21" i="25"/>
  <c r="AC21" i="25"/>
  <c r="Q21" i="25"/>
  <c r="K21" i="25"/>
  <c r="W21" i="25"/>
  <c r="AL21" i="25"/>
  <c r="T21" i="27"/>
  <c r="AO21" i="27"/>
  <c r="AI21" i="27"/>
  <c r="AF21" i="27"/>
  <c r="H21" i="27"/>
  <c r="W21" i="27"/>
  <c r="N21" i="27"/>
  <c r="AL21" i="27"/>
  <c r="Z21" i="27"/>
  <c r="Q21" i="27"/>
  <c r="K21" i="27"/>
  <c r="BC12" i="33"/>
  <c r="AZ12" i="33"/>
  <c r="Z26" i="1"/>
  <c r="Z39" i="1" s="1"/>
  <c r="G25" i="1"/>
  <c r="G41" i="1" s="1"/>
  <c r="AE25" i="1"/>
  <c r="AE41" i="1" s="1"/>
  <c r="AC26" i="1"/>
  <c r="AC39" i="1" s="1"/>
  <c r="H26" i="1"/>
  <c r="H39" i="1" s="1"/>
  <c r="AI26" i="1"/>
  <c r="AI39" i="1" s="1"/>
  <c r="M25" i="1"/>
  <c r="M41" i="1" s="1"/>
  <c r="P25" i="1"/>
  <c r="P41" i="1" s="1"/>
  <c r="AF26" i="1"/>
  <c r="AF39" i="1" s="1"/>
  <c r="N26" i="1"/>
  <c r="N39" i="1" s="1"/>
  <c r="AK25" i="1"/>
  <c r="AK41" i="1" s="1"/>
  <c r="AH25" i="1"/>
  <c r="AH41" i="1" s="1"/>
  <c r="T26" i="1"/>
  <c r="T39" i="1" s="1"/>
  <c r="AL26" i="1"/>
  <c r="AL39" i="1" s="1"/>
  <c r="W26" i="1"/>
  <c r="W39" i="1" s="1"/>
  <c r="Q26" i="1"/>
  <c r="Q39" i="1" s="1"/>
  <c r="Y25" i="1"/>
  <c r="Y41" i="1" s="1"/>
  <c r="S25" i="1"/>
  <c r="S41" i="1" s="1"/>
  <c r="AB25" i="1"/>
  <c r="AB41" i="1" s="1"/>
  <c r="K26" i="1"/>
  <c r="K39" i="1" s="1"/>
  <c r="V25" i="1"/>
  <c r="V41" i="1" s="1"/>
  <c r="J25" i="1"/>
  <c r="J41" i="1" s="1"/>
  <c r="AO26" i="1"/>
  <c r="AO39" i="1" s="1"/>
  <c r="AN25" i="1"/>
  <c r="AN41" i="1" s="1"/>
  <c r="P27" i="1"/>
  <c r="BC18" i="20"/>
  <c r="AZ18" i="20"/>
  <c r="BC14" i="33"/>
  <c r="AZ14" i="33" s="1"/>
  <c r="BA14" i="33" s="1"/>
  <c r="AZ11" i="21"/>
  <c r="BC11" i="21"/>
  <c r="BC13" i="36"/>
  <c r="AZ13" i="36" s="1"/>
  <c r="BA13" i="36" s="1"/>
  <c r="BQ12" i="31"/>
  <c r="BQ15" i="31"/>
  <c r="BQ14" i="31"/>
  <c r="BQ4" i="31"/>
  <c r="AH27" i="31"/>
  <c r="BQ7" i="31"/>
  <c r="BQ9" i="31"/>
  <c r="BQ11" i="31"/>
  <c r="BQ13" i="31"/>
  <c r="BQ8" i="31"/>
  <c r="BQ5" i="31"/>
  <c r="BQ10" i="31"/>
  <c r="BQ6" i="31"/>
  <c r="Y27" i="31"/>
  <c r="J26" i="31"/>
  <c r="J42" i="31" s="1"/>
  <c r="BC19" i="31"/>
  <c r="AZ19" i="31" s="1"/>
  <c r="BA19" i="31" s="1"/>
  <c r="P25" i="33"/>
  <c r="P41" i="33" s="1"/>
  <c r="M25" i="33"/>
  <c r="M41" i="33" s="1"/>
  <c r="S25" i="33"/>
  <c r="S41" i="33" s="1"/>
  <c r="AL26" i="33"/>
  <c r="AL39" i="33" s="1"/>
  <c r="Z26" i="33"/>
  <c r="Z39" i="33" s="1"/>
  <c r="AB25" i="33"/>
  <c r="AB41" i="33" s="1"/>
  <c r="J25" i="33"/>
  <c r="J41" i="33" s="1"/>
  <c r="K26" i="33"/>
  <c r="K39" i="33" s="1"/>
  <c r="AO26" i="33"/>
  <c r="AO39" i="33" s="1"/>
  <c r="T26" i="33"/>
  <c r="T39" i="33" s="1"/>
  <c r="AE25" i="33"/>
  <c r="AE41" i="33" s="1"/>
  <c r="AN25" i="33"/>
  <c r="AN41" i="33" s="1"/>
  <c r="Q26" i="33"/>
  <c r="Q39" i="33" s="1"/>
  <c r="AI26" i="33"/>
  <c r="AI39" i="33" s="1"/>
  <c r="AF26" i="33"/>
  <c r="AF39" i="33" s="1"/>
  <c r="AK25" i="33"/>
  <c r="AK41" i="33" s="1"/>
  <c r="N26" i="33"/>
  <c r="N39" i="33" s="1"/>
  <c r="V25" i="33"/>
  <c r="V41" i="33" s="1"/>
  <c r="H26" i="33"/>
  <c r="H39" i="33" s="1"/>
  <c r="P27" i="33"/>
  <c r="Y25" i="33"/>
  <c r="Y41" i="33" s="1"/>
  <c r="W26" i="33"/>
  <c r="W39" i="33" s="1"/>
  <c r="AH25" i="33"/>
  <c r="AH41" i="33" s="1"/>
  <c r="G25" i="33"/>
  <c r="G41" i="33" s="1"/>
  <c r="AC26" i="33"/>
  <c r="AC39" i="33" s="1"/>
  <c r="AZ12" i="34"/>
  <c r="BC12" i="34"/>
  <c r="AZ17" i="30"/>
  <c r="BA17" i="30" s="1"/>
  <c r="BC17" i="30"/>
  <c r="BC15" i="25"/>
  <c r="AZ15" i="25" s="1"/>
  <c r="BA15" i="25" s="1"/>
  <c r="BC7" i="32"/>
  <c r="AZ7" i="32"/>
  <c r="AZ7" i="26"/>
  <c r="BC7" i="26"/>
  <c r="AH27" i="30"/>
  <c r="BQ7" i="30"/>
  <c r="BQ8" i="30"/>
  <c r="BQ6" i="30"/>
  <c r="BQ11" i="30"/>
  <c r="Y27" i="30"/>
  <c r="BQ10" i="30"/>
  <c r="BQ12" i="30"/>
  <c r="BQ4" i="30"/>
  <c r="BQ15" i="30"/>
  <c r="BQ13" i="30"/>
  <c r="BQ9" i="30"/>
  <c r="BQ14" i="30"/>
  <c r="BQ5" i="30"/>
  <c r="AB26" i="30"/>
  <c r="AB42" i="30" s="1"/>
  <c r="BQ13" i="32"/>
  <c r="BQ10" i="32"/>
  <c r="AH27" i="32"/>
  <c r="Y27" i="32"/>
  <c r="BQ7" i="32"/>
  <c r="BQ11" i="32"/>
  <c r="BQ5" i="32"/>
  <c r="BQ9" i="32"/>
  <c r="BQ8" i="32"/>
  <c r="BQ6" i="32"/>
  <c r="BQ15" i="32"/>
  <c r="BQ4" i="32"/>
  <c r="BQ14" i="32"/>
  <c r="BQ12" i="32"/>
  <c r="S26" i="32"/>
  <c r="S42" i="32" s="1"/>
  <c r="AB26" i="32"/>
  <c r="AB42" i="32" s="1"/>
  <c r="AN26" i="32"/>
  <c r="AN42" i="32" s="1"/>
  <c r="BC13" i="38"/>
  <c r="AZ13" i="38" s="1"/>
  <c r="BA13" i="38" s="1"/>
  <c r="AI21" i="1"/>
  <c r="T21" i="1"/>
  <c r="N21" i="1"/>
  <c r="AF21" i="1"/>
  <c r="Z21" i="1"/>
  <c r="AL21" i="1"/>
  <c r="H21" i="1"/>
  <c r="AC21" i="1"/>
  <c r="Q21" i="1"/>
  <c r="AO21" i="1"/>
  <c r="K21" i="1"/>
  <c r="W21" i="1"/>
  <c r="AZ10" i="24"/>
  <c r="BC10" i="24"/>
  <c r="BC4" i="33"/>
  <c r="AZ4" i="33" s="1"/>
  <c r="BA4" i="33" s="1"/>
  <c r="AZ5" i="35"/>
  <c r="BC5" i="35"/>
  <c r="AZ13" i="25"/>
  <c r="BC13" i="25"/>
  <c r="BC19" i="29"/>
  <c r="AZ19" i="29" s="1"/>
  <c r="BA19" i="29" s="1"/>
  <c r="BC15" i="28"/>
  <c r="AZ15" i="28" s="1"/>
  <c r="BA15" i="28" s="1"/>
  <c r="T21" i="32"/>
  <c r="AF21" i="32"/>
  <c r="AI21" i="32"/>
  <c r="H21" i="32"/>
  <c r="AC21" i="32"/>
  <c r="Z21" i="32"/>
  <c r="N21" i="32"/>
  <c r="W21" i="32"/>
  <c r="AL21" i="32"/>
  <c r="K21" i="32"/>
  <c r="AO21" i="32"/>
  <c r="Q21" i="32"/>
  <c r="BQ7" i="34"/>
  <c r="BQ5" i="34"/>
  <c r="BQ8" i="34"/>
  <c r="Y27" i="34"/>
  <c r="BQ11" i="34"/>
  <c r="BQ9" i="34"/>
  <c r="BQ14" i="34"/>
  <c r="BQ15" i="34"/>
  <c r="BQ4" i="34"/>
  <c r="BQ12" i="34"/>
  <c r="BQ6" i="34"/>
  <c r="BQ13" i="34"/>
  <c r="BQ10" i="34"/>
  <c r="AH27" i="34"/>
  <c r="BC11" i="24"/>
  <c r="AZ11" i="24"/>
  <c r="BC10" i="20"/>
  <c r="AZ10" i="20"/>
  <c r="BA10" i="20" s="1"/>
  <c r="BC14" i="23"/>
  <c r="AZ14" i="23" s="1"/>
  <c r="BA14" i="23" s="1"/>
  <c r="BC15" i="1"/>
  <c r="AZ15" i="1" s="1"/>
  <c r="BA15" i="1" s="1"/>
  <c r="BC14" i="34"/>
  <c r="AZ14" i="34" s="1"/>
  <c r="BA14" i="34" s="1"/>
  <c r="BC7" i="38"/>
  <c r="AZ7" i="38" s="1"/>
  <c r="BA7" i="38" s="1"/>
  <c r="BC17" i="36"/>
  <c r="AZ17" i="36" s="1"/>
  <c r="BA17" i="36" s="1"/>
  <c r="AZ5" i="30"/>
  <c r="BC5" i="30"/>
  <c r="Y27" i="35"/>
  <c r="BQ15" i="35"/>
  <c r="BQ11" i="35"/>
  <c r="BQ12" i="35"/>
  <c r="BQ5" i="35"/>
  <c r="BQ10" i="35"/>
  <c r="BQ13" i="35"/>
  <c r="BQ6" i="35"/>
  <c r="BQ14" i="35"/>
  <c r="BQ4" i="35"/>
  <c r="AH27" i="35"/>
  <c r="BQ9" i="35"/>
  <c r="BQ8" i="35"/>
  <c r="BQ7" i="35"/>
  <c r="M26" i="35"/>
  <c r="M42" i="35" s="1"/>
  <c r="AB26" i="35"/>
  <c r="AB42" i="35" s="1"/>
  <c r="AH26" i="35"/>
  <c r="AH42" i="35" s="1"/>
  <c r="AE26" i="35"/>
  <c r="AE42" i="35" s="1"/>
  <c r="AK26" i="35"/>
  <c r="AK42" i="35" s="1"/>
  <c r="Y26" i="35"/>
  <c r="Y42" i="35" s="1"/>
  <c r="P26" i="35"/>
  <c r="P42" i="35" s="1"/>
  <c r="BC16" i="20"/>
  <c r="AZ16" i="20" s="1"/>
  <c r="BA16" i="20" s="1"/>
  <c r="BQ11" i="20"/>
  <c r="BQ13" i="20"/>
  <c r="BQ5" i="20"/>
  <c r="Y27" i="20"/>
  <c r="BQ15" i="20"/>
  <c r="BQ7" i="20"/>
  <c r="BQ9" i="20"/>
  <c r="BQ12" i="20"/>
  <c r="BQ8" i="20"/>
  <c r="BQ6" i="20"/>
  <c r="BQ4" i="20"/>
  <c r="BQ14" i="20"/>
  <c r="BQ10" i="20"/>
  <c r="AH27" i="20"/>
  <c r="AE26" i="20"/>
  <c r="AE42" i="20" s="1"/>
  <c r="P26" i="20"/>
  <c r="P42" i="20" s="1"/>
  <c r="V26" i="20"/>
  <c r="V42" i="20" s="1"/>
  <c r="J26" i="20"/>
  <c r="J42" i="20" s="1"/>
  <c r="M26" i="20"/>
  <c r="M42" i="20" s="1"/>
  <c r="BC14" i="20"/>
  <c r="AZ14" i="20" s="1"/>
  <c r="BA14" i="20" s="1"/>
  <c r="BC14" i="24"/>
  <c r="AZ14" i="24" s="1"/>
  <c r="BA14" i="24" s="1"/>
  <c r="W26" i="31"/>
  <c r="W39" i="31" s="1"/>
  <c r="G25" i="31"/>
  <c r="G41" i="31" s="1"/>
  <c r="S25" i="31"/>
  <c r="S41" i="31" s="1"/>
  <c r="AE25" i="31"/>
  <c r="AE41" i="31" s="1"/>
  <c r="P25" i="31"/>
  <c r="P41" i="31" s="1"/>
  <c r="AC26" i="31"/>
  <c r="AC39" i="31" s="1"/>
  <c r="H26" i="31"/>
  <c r="N26" i="31"/>
  <c r="J25" i="31"/>
  <c r="J41" i="31" s="1"/>
  <c r="V25" i="31"/>
  <c r="V41" i="31" s="1"/>
  <c r="Q26" i="31"/>
  <c r="Q39" i="31" s="1"/>
  <c r="AL26" i="31"/>
  <c r="AF26" i="31"/>
  <c r="AF39" i="31" s="1"/>
  <c r="M25" i="31"/>
  <c r="M41" i="31" s="1"/>
  <c r="AI26" i="31"/>
  <c r="AI39" i="31" s="1"/>
  <c r="Z26" i="31"/>
  <c r="AK25" i="31"/>
  <c r="AK41" i="31" s="1"/>
  <c r="Y25" i="31"/>
  <c r="Y41" i="31" s="1"/>
  <c r="K26" i="31"/>
  <c r="K39" i="31" s="1"/>
  <c r="T26" i="31"/>
  <c r="T39" i="31" s="1"/>
  <c r="AB25" i="31"/>
  <c r="AB41" i="31" s="1"/>
  <c r="P27" i="31"/>
  <c r="AO26" i="31"/>
  <c r="AO39" i="31" s="1"/>
  <c r="AH25" i="31"/>
  <c r="AH41" i="31" s="1"/>
  <c r="AN25" i="31"/>
  <c r="AN41" i="31" s="1"/>
  <c r="Z21" i="28"/>
  <c r="AF21" i="28"/>
  <c r="N21" i="28"/>
  <c r="K21" i="28"/>
  <c r="AO21" i="28"/>
  <c r="W21" i="28"/>
  <c r="AI21" i="28"/>
  <c r="H21" i="28"/>
  <c r="AL21" i="28"/>
  <c r="T21" i="28"/>
  <c r="Q21" i="28"/>
  <c r="AC21" i="28"/>
  <c r="N21" i="20"/>
  <c r="Q21" i="20"/>
  <c r="T21" i="20"/>
  <c r="K21" i="20"/>
  <c r="AL21" i="20"/>
  <c r="H21" i="20"/>
  <c r="W21" i="20"/>
  <c r="AI21" i="20"/>
  <c r="AO21" i="20"/>
  <c r="Z21" i="20"/>
  <c r="AN25" i="34"/>
  <c r="AN41" i="34" s="1"/>
  <c r="G25" i="34"/>
  <c r="G41" i="34" s="1"/>
  <c r="AK25" i="34"/>
  <c r="AK41" i="34" s="1"/>
  <c r="AC26" i="34"/>
  <c r="AC39" i="34" s="1"/>
  <c r="Y25" i="34"/>
  <c r="Y41" i="34" s="1"/>
  <c r="V25" i="34"/>
  <c r="V41" i="34" s="1"/>
  <c r="J25" i="34"/>
  <c r="J41" i="34" s="1"/>
  <c r="AI26" i="34"/>
  <c r="AI39" i="34" s="1"/>
  <c r="S25" i="34"/>
  <c r="S41" i="34" s="1"/>
  <c r="P25" i="34"/>
  <c r="P41" i="34" s="1"/>
  <c r="AH25" i="34"/>
  <c r="AH41" i="34" s="1"/>
  <c r="AB25" i="34"/>
  <c r="AB41" i="34" s="1"/>
  <c r="T26" i="34"/>
  <c r="T39" i="34" s="1"/>
  <c r="M25" i="34"/>
  <c r="M41" i="34" s="1"/>
  <c r="H26" i="34"/>
  <c r="H39" i="34" s="1"/>
  <c r="Z26" i="34"/>
  <c r="Z39" i="34" s="1"/>
  <c r="K26" i="34"/>
  <c r="Q26" i="34"/>
  <c r="Q39" i="34" s="1"/>
  <c r="AE25" i="34"/>
  <c r="AE41" i="34" s="1"/>
  <c r="P27" i="34"/>
  <c r="AL26" i="34"/>
  <c r="AL39" i="34" s="1"/>
  <c r="W26" i="34"/>
  <c r="W39" i="34" s="1"/>
  <c r="AO26" i="34"/>
  <c r="AO39" i="34" s="1"/>
  <c r="N26" i="34"/>
  <c r="N39" i="34" s="1"/>
  <c r="AF26" i="34"/>
  <c r="AF39" i="34" s="1"/>
  <c r="AZ12" i="24"/>
  <c r="BC12" i="24"/>
  <c r="AZ19" i="23"/>
  <c r="BC19" i="23"/>
  <c r="BC7" i="33"/>
  <c r="AZ7" i="33"/>
  <c r="BA7" i="33" s="1"/>
  <c r="BC9" i="35"/>
  <c r="AZ9" i="35"/>
  <c r="BC8" i="34"/>
  <c r="AZ8" i="34" s="1"/>
  <c r="BA8" i="34" s="1"/>
  <c r="BC18" i="31"/>
  <c r="AZ18" i="31"/>
  <c r="BC4" i="26"/>
  <c r="AZ4" i="26" s="1"/>
  <c r="BA4" i="26" s="1"/>
  <c r="BC12" i="25"/>
  <c r="AZ12" i="25" s="1"/>
  <c r="BA12" i="25" s="1"/>
  <c r="BC19" i="26"/>
  <c r="AZ19" i="26" s="1"/>
  <c r="BA19" i="26" s="1"/>
  <c r="BC10" i="33"/>
  <c r="AZ10" i="33" s="1"/>
  <c r="BA10" i="33" s="1"/>
  <c r="BC9" i="26"/>
  <c r="AZ9" i="26"/>
  <c r="BC17" i="34"/>
  <c r="AZ17" i="34" s="1"/>
  <c r="BA17" i="34" s="1"/>
  <c r="BC13" i="24"/>
  <c r="AZ13" i="24"/>
  <c r="BC13" i="21"/>
  <c r="AZ13" i="21"/>
  <c r="BA13" i="21" s="1"/>
  <c r="BC11" i="28"/>
  <c r="AZ11" i="28" s="1"/>
  <c r="BA11" i="28" s="1"/>
  <c r="Z21" i="30"/>
  <c r="Q21" i="30"/>
  <c r="AL21" i="30"/>
  <c r="K21" i="30"/>
  <c r="N21" i="30"/>
  <c r="H21" i="30"/>
  <c r="AF21" i="30"/>
  <c r="W21" i="30"/>
  <c r="AO21" i="30"/>
  <c r="AI21" i="30"/>
  <c r="AC21" i="30"/>
  <c r="T21" i="30"/>
  <c r="BC19" i="21"/>
  <c r="AZ19" i="21" s="1"/>
  <c r="BA19" i="21" s="1"/>
  <c r="BC4" i="34"/>
  <c r="AZ4" i="34"/>
  <c r="BA4" i="34" s="1"/>
  <c r="AZ18" i="25"/>
  <c r="BA18" i="25" s="1"/>
  <c r="BC18" i="25"/>
  <c r="BC5" i="21"/>
  <c r="AZ5" i="21"/>
  <c r="BA5" i="21" s="1"/>
  <c r="BC9" i="20"/>
  <c r="AZ9" i="20"/>
  <c r="BC17" i="26"/>
  <c r="AZ17" i="26"/>
  <c r="BA17" i="26" s="1"/>
  <c r="BC17" i="33"/>
  <c r="AZ17" i="33" s="1"/>
  <c r="BA17" i="33" s="1"/>
  <c r="BC19" i="25"/>
  <c r="AZ19" i="25" s="1"/>
  <c r="BA19" i="25" s="1"/>
  <c r="AZ8" i="20"/>
  <c r="BA8" i="20" s="1"/>
  <c r="BC11" i="38"/>
  <c r="AZ11" i="38" s="1"/>
  <c r="BA11" i="38" s="1"/>
  <c r="AI26" i="29"/>
  <c r="S25" i="29"/>
  <c r="S41" i="29" s="1"/>
  <c r="W26" i="29"/>
  <c r="W39" i="29" s="1"/>
  <c r="Q26" i="29"/>
  <c r="Q39" i="29" s="1"/>
  <c r="Y25" i="29"/>
  <c r="Y41" i="29" s="1"/>
  <c r="Z26" i="29"/>
  <c r="Z39" i="29" s="1"/>
  <c r="AN25" i="29"/>
  <c r="AN41" i="29" s="1"/>
  <c r="K26" i="29"/>
  <c r="K39" i="29" s="1"/>
  <c r="AL26" i="29"/>
  <c r="P25" i="29"/>
  <c r="P41" i="29" s="1"/>
  <c r="AC26" i="29"/>
  <c r="AC39" i="29" s="1"/>
  <c r="AF26" i="29"/>
  <c r="AF39" i="29" s="1"/>
  <c r="AO26" i="29"/>
  <c r="AO39" i="29" s="1"/>
  <c r="P27" i="29"/>
  <c r="H26" i="29"/>
  <c r="H39" i="29" s="1"/>
  <c r="J25" i="29"/>
  <c r="J41" i="29" s="1"/>
  <c r="N26" i="29"/>
  <c r="G25" i="29"/>
  <c r="G41" i="29" s="1"/>
  <c r="T26" i="29"/>
  <c r="T39" i="29" s="1"/>
  <c r="AB25" i="29"/>
  <c r="AB41" i="29" s="1"/>
  <c r="AH25" i="29"/>
  <c r="AH41" i="29" s="1"/>
  <c r="AK25" i="29"/>
  <c r="AK41" i="29" s="1"/>
  <c r="V25" i="29"/>
  <c r="V41" i="29" s="1"/>
  <c r="M25" i="29"/>
  <c r="M41" i="29" s="1"/>
  <c r="AE25" i="29"/>
  <c r="AE41" i="29" s="1"/>
  <c r="BC15" i="38"/>
  <c r="AZ15" i="38" s="1"/>
  <c r="BA15" i="38" s="1"/>
  <c r="BC6" i="29"/>
  <c r="AZ6" i="29" s="1"/>
  <c r="BA6" i="29" s="1"/>
  <c r="Z21" i="23"/>
  <c r="Q21" i="23"/>
  <c r="T21" i="23"/>
  <c r="AL21" i="23"/>
  <c r="AF21" i="23"/>
  <c r="W21" i="23"/>
  <c r="AC21" i="23"/>
  <c r="N21" i="23"/>
  <c r="AO21" i="23"/>
  <c r="AI21" i="23"/>
  <c r="H21" i="23"/>
  <c r="BC15" i="33"/>
  <c r="AZ15" i="33" s="1"/>
  <c r="BA15" i="33" s="1"/>
  <c r="BC13" i="30"/>
  <c r="AZ13" i="30" s="1"/>
  <c r="BA13" i="30" s="1"/>
  <c r="BC16" i="25"/>
  <c r="AZ16" i="25" s="1"/>
  <c r="BA16" i="25" s="1"/>
  <c r="BC12" i="35"/>
  <c r="AZ12" i="35" s="1"/>
  <c r="BA12" i="35" s="1"/>
  <c r="BC7" i="21"/>
  <c r="AZ7" i="21" s="1"/>
  <c r="BA7" i="21" s="1"/>
  <c r="AZ8" i="1"/>
  <c r="BA8" i="1" s="1"/>
  <c r="BC17" i="23"/>
  <c r="AZ17" i="23" s="1"/>
  <c r="BA17" i="23" s="1"/>
  <c r="BC7" i="29"/>
  <c r="AZ7" i="29" s="1"/>
  <c r="BA7" i="29" s="1"/>
  <c r="BC19" i="20"/>
  <c r="AZ19" i="20" s="1"/>
  <c r="BA19" i="20" s="1"/>
  <c r="BC18" i="35"/>
  <c r="AZ18" i="35" s="1"/>
  <c r="BA18" i="35" s="1"/>
  <c r="BC16" i="26"/>
  <c r="AZ16" i="26" s="1"/>
  <c r="BA16" i="26" s="1"/>
  <c r="AZ8" i="33"/>
  <c r="BC8" i="33"/>
  <c r="Y27" i="33"/>
  <c r="BQ12" i="33"/>
  <c r="BQ6" i="33"/>
  <c r="BQ7" i="33"/>
  <c r="BQ15" i="33"/>
  <c r="BQ8" i="33"/>
  <c r="BQ11" i="33"/>
  <c r="BQ5" i="33"/>
  <c r="BQ9" i="33"/>
  <c r="BQ4" i="33"/>
  <c r="AH27" i="33"/>
  <c r="BQ10" i="33"/>
  <c r="BQ13" i="33"/>
  <c r="BQ14" i="33"/>
  <c r="AN26" i="33"/>
  <c r="AN42" i="33" s="1"/>
  <c r="V26" i="33"/>
  <c r="V42" i="33" s="1"/>
  <c r="P26" i="33"/>
  <c r="P42" i="33" s="1"/>
  <c r="AH26" i="33"/>
  <c r="AH42" i="33" s="1"/>
  <c r="AZ12" i="20"/>
  <c r="BC12" i="20"/>
  <c r="AZ14" i="1"/>
  <c r="BC14" i="1"/>
  <c r="BC7" i="23"/>
  <c r="AZ7" i="23"/>
  <c r="AZ19" i="33"/>
  <c r="BC19" i="33"/>
  <c r="BC5" i="33"/>
  <c r="AZ5" i="33" s="1"/>
  <c r="BA5" i="33" s="1"/>
  <c r="BC15" i="20"/>
  <c r="AZ15" i="20" s="1"/>
  <c r="BA15" i="20" s="1"/>
  <c r="BC16" i="38"/>
  <c r="AZ16" i="38" s="1"/>
  <c r="BA16" i="38" s="1"/>
  <c r="BC10" i="38"/>
  <c r="AZ10" i="38" s="1"/>
  <c r="BA10" i="38" s="1"/>
  <c r="BC16" i="28"/>
  <c r="AZ16" i="28" s="1"/>
  <c r="BA16" i="28" s="1"/>
  <c r="BC17" i="20"/>
  <c r="AZ17" i="20" s="1"/>
  <c r="BA17" i="20" s="1"/>
  <c r="BC5" i="26"/>
  <c r="AZ5" i="26" s="1"/>
  <c r="BA5" i="26" s="1"/>
  <c r="W26" i="36"/>
  <c r="W39" i="36" s="1"/>
  <c r="H26" i="36"/>
  <c r="H39" i="36" s="1"/>
  <c r="AB25" i="36"/>
  <c r="AB41" i="36" s="1"/>
  <c r="J25" i="36"/>
  <c r="J41" i="36" s="1"/>
  <c r="Q26" i="36"/>
  <c r="Q39" i="36" s="1"/>
  <c r="AO26" i="36"/>
  <c r="AO39" i="36" s="1"/>
  <c r="AH25" i="36"/>
  <c r="AH41" i="36" s="1"/>
  <c r="M25" i="36"/>
  <c r="M41" i="36" s="1"/>
  <c r="T26" i="36"/>
  <c r="T39" i="36" s="1"/>
  <c r="AK25" i="36"/>
  <c r="AK41" i="36" s="1"/>
  <c r="S25" i="36"/>
  <c r="S41" i="36" s="1"/>
  <c r="P25" i="36"/>
  <c r="P41" i="36" s="1"/>
  <c r="AN25" i="36"/>
  <c r="AN41" i="36" s="1"/>
  <c r="K26" i="36"/>
  <c r="K39" i="36" s="1"/>
  <c r="AI26" i="36"/>
  <c r="AI39" i="36" s="1"/>
  <c r="AL26" i="36"/>
  <c r="AL39" i="36" s="1"/>
  <c r="V25" i="36"/>
  <c r="V41" i="36" s="1"/>
  <c r="AF26" i="36"/>
  <c r="AF39" i="36" s="1"/>
  <c r="Y25" i="36"/>
  <c r="Y41" i="36" s="1"/>
  <c r="AC26" i="36"/>
  <c r="AC39" i="36" s="1"/>
  <c r="P27" i="36"/>
  <c r="Z26" i="36"/>
  <c r="Z39" i="36" s="1"/>
  <c r="AE25" i="36"/>
  <c r="AE41" i="36" s="1"/>
  <c r="G25" i="36"/>
  <c r="G41" i="36" s="1"/>
  <c r="N26" i="36"/>
  <c r="N39" i="36" s="1"/>
  <c r="AZ4" i="28"/>
  <c r="BA4" i="28" s="1"/>
  <c r="BC5" i="1"/>
  <c r="AZ5" i="1"/>
  <c r="BC11" i="23"/>
  <c r="AZ11" i="23"/>
  <c r="BA11" i="23" s="1"/>
  <c r="BC10" i="21"/>
  <c r="AZ10" i="21" s="1"/>
  <c r="BA10" i="21" s="1"/>
  <c r="BC19" i="30"/>
  <c r="AZ19" i="30" s="1"/>
  <c r="BA19" i="30" s="1"/>
  <c r="BC10" i="36"/>
  <c r="AZ10" i="36" s="1"/>
  <c r="BA10" i="36" s="1"/>
  <c r="BC12" i="38"/>
  <c r="AZ12" i="38" s="1"/>
  <c r="BA12" i="38" s="1"/>
  <c r="AZ5" i="27"/>
  <c r="BC5" i="27"/>
  <c r="H26" i="32"/>
  <c r="H39" i="32" s="1"/>
  <c r="AL26" i="32"/>
  <c r="AL39" i="32" s="1"/>
  <c r="Y25" i="32"/>
  <c r="Y41" i="32" s="1"/>
  <c r="S25" i="32"/>
  <c r="S41" i="32" s="1"/>
  <c r="AF26" i="32"/>
  <c r="P27" i="32"/>
  <c r="AE25" i="32"/>
  <c r="AE41" i="32" s="1"/>
  <c r="K26" i="32"/>
  <c r="K39" i="32" s="1"/>
  <c r="N26" i="32"/>
  <c r="N39" i="32" s="1"/>
  <c r="AI26" i="32"/>
  <c r="AI39" i="32" s="1"/>
  <c r="Q26" i="32"/>
  <c r="Q39" i="32" s="1"/>
  <c r="AB25" i="32"/>
  <c r="AB41" i="32" s="1"/>
  <c r="AH25" i="32"/>
  <c r="AH41" i="32" s="1"/>
  <c r="G25" i="32"/>
  <c r="G41" i="32" s="1"/>
  <c r="AK25" i="32"/>
  <c r="AK41" i="32" s="1"/>
  <c r="M25" i="32"/>
  <c r="M41" i="32" s="1"/>
  <c r="J25" i="32"/>
  <c r="J41" i="32" s="1"/>
  <c r="W26" i="32"/>
  <c r="W39" i="32" s="1"/>
  <c r="V25" i="32"/>
  <c r="V41" i="32" s="1"/>
  <c r="Z26" i="32"/>
  <c r="T26" i="32"/>
  <c r="T39" i="32" s="1"/>
  <c r="P25" i="32"/>
  <c r="P41" i="32" s="1"/>
  <c r="AC26" i="32"/>
  <c r="AC39" i="32" s="1"/>
  <c r="AO26" i="32"/>
  <c r="AO39" i="32" s="1"/>
  <c r="AN25" i="32"/>
  <c r="AN41" i="32" s="1"/>
  <c r="BC8" i="38"/>
  <c r="AZ8" i="38" s="1"/>
  <c r="BA8" i="38" s="1"/>
  <c r="BC17" i="32"/>
  <c r="AZ17" i="32"/>
  <c r="BA17" i="32" s="1"/>
  <c r="BC7" i="1"/>
  <c r="AZ7" i="1" s="1"/>
  <c r="BA7" i="1" s="1"/>
  <c r="BC14" i="31"/>
  <c r="AZ14" i="31" s="1"/>
  <c r="BA14" i="31" s="1"/>
  <c r="BC18" i="36"/>
  <c r="AZ18" i="36" s="1"/>
  <c r="BA18" i="36" s="1"/>
  <c r="BC11" i="30"/>
  <c r="AZ11" i="30" s="1"/>
  <c r="BA11" i="30" s="1"/>
  <c r="BC17" i="21"/>
  <c r="AZ17" i="21" s="1"/>
  <c r="BA17" i="21" s="1"/>
  <c r="BC6" i="28"/>
  <c r="AZ6" i="28" s="1"/>
  <c r="BA6" i="28" s="1"/>
  <c r="BC12" i="1"/>
  <c r="AZ12" i="1"/>
  <c r="BA12" i="1" s="1"/>
  <c r="BC16" i="33"/>
  <c r="AZ16" i="33" s="1"/>
  <c r="BA16" i="33" s="1"/>
  <c r="N26" i="38"/>
  <c r="N39" i="38" s="1"/>
  <c r="AK25" i="38"/>
  <c r="AK41" i="38" s="1"/>
  <c r="AE25" i="38"/>
  <c r="AE41" i="38" s="1"/>
  <c r="V25" i="38"/>
  <c r="V41" i="38" s="1"/>
  <c r="H26" i="38"/>
  <c r="H39" i="38" s="1"/>
  <c r="AL26" i="38"/>
  <c r="AL39" i="38" s="1"/>
  <c r="AO26" i="38"/>
  <c r="AO39" i="38" s="1"/>
  <c r="Y25" i="38"/>
  <c r="Y41" i="38" s="1"/>
  <c r="G25" i="38"/>
  <c r="G41" i="38" s="1"/>
  <c r="AH25" i="38"/>
  <c r="AH41" i="38" s="1"/>
  <c r="J25" i="38"/>
  <c r="J41" i="38" s="1"/>
  <c r="S25" i="38"/>
  <c r="S41" i="38" s="1"/>
  <c r="AI26" i="38"/>
  <c r="AI39" i="38" s="1"/>
  <c r="P25" i="38"/>
  <c r="P41" i="38" s="1"/>
  <c r="AC26" i="38"/>
  <c r="AC39" i="38" s="1"/>
  <c r="T26" i="38"/>
  <c r="T39" i="38" s="1"/>
  <c r="M25" i="38"/>
  <c r="M41" i="38" s="1"/>
  <c r="AB25" i="38"/>
  <c r="AB41" i="38" s="1"/>
  <c r="Q26" i="38"/>
  <c r="Q39" i="38" s="1"/>
  <c r="W26" i="38"/>
  <c r="W39" i="38" s="1"/>
  <c r="AN25" i="38"/>
  <c r="AN41" i="38" s="1"/>
  <c r="AF26" i="38"/>
  <c r="AF39" i="38" s="1"/>
  <c r="K26" i="38"/>
  <c r="K39" i="38" s="1"/>
  <c r="P27" i="38"/>
  <c r="Z26" i="38"/>
  <c r="Z39" i="38" s="1"/>
  <c r="BC16" i="1"/>
  <c r="AZ16" i="1" s="1"/>
  <c r="BA16" i="1" s="1"/>
  <c r="BQ7" i="26"/>
  <c r="BQ14" i="26"/>
  <c r="BQ9" i="26"/>
  <c r="BQ5" i="26"/>
  <c r="BQ8" i="26"/>
  <c r="BQ15" i="26"/>
  <c r="BQ10" i="26"/>
  <c r="BQ11" i="26"/>
  <c r="BQ6" i="26"/>
  <c r="BQ4" i="26"/>
  <c r="AH27" i="26"/>
  <c r="BQ12" i="26"/>
  <c r="Y27" i="26"/>
  <c r="BQ13" i="26"/>
  <c r="J26" i="26"/>
  <c r="J42" i="26" s="1"/>
  <c r="AH26" i="26"/>
  <c r="AH42" i="26" s="1"/>
  <c r="P26" i="26"/>
  <c r="P42" i="26" s="1"/>
  <c r="Y26" i="26"/>
  <c r="Y42" i="26" s="1"/>
  <c r="AE26" i="26"/>
  <c r="AE42" i="26" s="1"/>
  <c r="M26" i="26"/>
  <c r="M42" i="26" s="1"/>
  <c r="V26" i="26"/>
  <c r="V42" i="26" s="1"/>
  <c r="AN26" i="26"/>
  <c r="AN42" i="26" s="1"/>
  <c r="BC13" i="23"/>
  <c r="AZ13" i="23" s="1"/>
  <c r="BA13" i="23" s="1"/>
  <c r="AZ5" i="32"/>
  <c r="BC5" i="32"/>
  <c r="BQ9" i="24"/>
  <c r="BQ14" i="24"/>
  <c r="BQ8" i="24"/>
  <c r="AK26" i="24"/>
  <c r="AK42" i="24" s="1"/>
  <c r="BQ6" i="24"/>
  <c r="BQ10" i="24"/>
  <c r="BQ4" i="24"/>
  <c r="BQ7" i="24"/>
  <c r="BQ12" i="24"/>
  <c r="BQ15" i="24"/>
  <c r="BQ5" i="24"/>
  <c r="BQ13" i="24"/>
  <c r="AH27" i="24"/>
  <c r="BQ11" i="24"/>
  <c r="Y27" i="24"/>
  <c r="P26" i="24"/>
  <c r="P42" i="24" s="1"/>
  <c r="AH26" i="24"/>
  <c r="AH42" i="24" s="1"/>
  <c r="J26" i="24"/>
  <c r="J42" i="24" s="1"/>
  <c r="AB26" i="24"/>
  <c r="AB42" i="24" s="1"/>
  <c r="M26" i="24"/>
  <c r="M42" i="24" s="1"/>
  <c r="AN26" i="24"/>
  <c r="AN42" i="24" s="1"/>
  <c r="BC12" i="31"/>
  <c r="AZ12" i="31" s="1"/>
  <c r="BA12" i="31" s="1"/>
  <c r="BC14" i="27"/>
  <c r="AZ14" i="27" s="1"/>
  <c r="BA14" i="27" s="1"/>
  <c r="BC19" i="34"/>
  <c r="AZ19" i="34" s="1"/>
  <c r="BA19" i="34" s="1"/>
  <c r="BC10" i="32"/>
  <c r="AZ10" i="32"/>
  <c r="AZ15" i="24"/>
  <c r="BC15" i="24"/>
  <c r="BC5" i="34"/>
  <c r="AZ5" i="34" s="1"/>
  <c r="BA5" i="34" s="1"/>
  <c r="AZ5" i="20"/>
  <c r="BC5" i="20"/>
  <c r="AI26" i="21"/>
  <c r="AI39" i="21" s="1"/>
  <c r="AL26" i="21"/>
  <c r="AL39" i="21" s="1"/>
  <c r="K26" i="21"/>
  <c r="K39" i="21" s="1"/>
  <c r="N26" i="21"/>
  <c r="N39" i="21" s="1"/>
  <c r="AH25" i="21"/>
  <c r="AH41" i="21" s="1"/>
  <c r="T26" i="21"/>
  <c r="G25" i="21"/>
  <c r="G41" i="21" s="1"/>
  <c r="J25" i="21"/>
  <c r="J41" i="21" s="1"/>
  <c r="Z26" i="21"/>
  <c r="Z39" i="21" s="1"/>
  <c r="H26" i="21"/>
  <c r="H39" i="21" s="1"/>
  <c r="S25" i="21"/>
  <c r="S41" i="21" s="1"/>
  <c r="M25" i="21"/>
  <c r="M41" i="21" s="1"/>
  <c r="W26" i="21"/>
  <c r="W39" i="21" s="1"/>
  <c r="V25" i="21"/>
  <c r="V41" i="21" s="1"/>
  <c r="AO26" i="21"/>
  <c r="AO39" i="21" s="1"/>
  <c r="AC26" i="21"/>
  <c r="AC39" i="21" s="1"/>
  <c r="AF26" i="21"/>
  <c r="AF39" i="21" s="1"/>
  <c r="AB25" i="21"/>
  <c r="AB41" i="21" s="1"/>
  <c r="Q26" i="21"/>
  <c r="Q39" i="21" s="1"/>
  <c r="Y25" i="21"/>
  <c r="Y41" i="21" s="1"/>
  <c r="AE25" i="21"/>
  <c r="AE41" i="21" s="1"/>
  <c r="P27" i="21"/>
  <c r="AK25" i="21"/>
  <c r="AK41" i="21" s="1"/>
  <c r="P25" i="21"/>
  <c r="P41" i="21" s="1"/>
  <c r="AN25" i="21"/>
  <c r="AN41" i="21" s="1"/>
  <c r="AZ8" i="26"/>
  <c r="BC8" i="26"/>
  <c r="BC14" i="21"/>
  <c r="AZ14" i="21" s="1"/>
  <c r="BA14" i="21" s="1"/>
  <c r="BC9" i="1"/>
  <c r="AZ9" i="1" s="1"/>
  <c r="BA9" i="1" s="1"/>
  <c r="M25" i="28"/>
  <c r="M41" i="28" s="1"/>
  <c r="AL26" i="28"/>
  <c r="AL39" i="28" s="1"/>
  <c r="AK25" i="28"/>
  <c r="AK41" i="28" s="1"/>
  <c r="V25" i="28"/>
  <c r="V41" i="28" s="1"/>
  <c r="AB25" i="28"/>
  <c r="AB41" i="28" s="1"/>
  <c r="AH25" i="28"/>
  <c r="AH41" i="28" s="1"/>
  <c r="G25" i="28"/>
  <c r="G41" i="28" s="1"/>
  <c r="Y25" i="28"/>
  <c r="Y41" i="28" s="1"/>
  <c r="AO26" i="28"/>
  <c r="AO39" i="28" s="1"/>
  <c r="AN25" i="28"/>
  <c r="AN41" i="28" s="1"/>
  <c r="P25" i="28"/>
  <c r="P41" i="28" s="1"/>
  <c r="H26" i="28"/>
  <c r="H39" i="28" s="1"/>
  <c r="T26" i="28"/>
  <c r="T39" i="28" s="1"/>
  <c r="S25" i="28"/>
  <c r="S41" i="28" s="1"/>
  <c r="Z26" i="28"/>
  <c r="Z39" i="28" s="1"/>
  <c r="W26" i="28"/>
  <c r="W39" i="28" s="1"/>
  <c r="P27" i="28"/>
  <c r="J25" i="28"/>
  <c r="J41" i="28" s="1"/>
  <c r="AE25" i="28"/>
  <c r="AE41" i="28" s="1"/>
  <c r="AI26" i="28"/>
  <c r="AI39" i="28" s="1"/>
  <c r="K26" i="28"/>
  <c r="K39" i="28" s="1"/>
  <c r="AF26" i="28"/>
  <c r="AF39" i="28" s="1"/>
  <c r="Q26" i="28"/>
  <c r="Q39" i="28" s="1"/>
  <c r="N26" i="28"/>
  <c r="N39" i="28" s="1"/>
  <c r="AC26" i="28"/>
  <c r="AC39" i="28" s="1"/>
  <c r="BC8" i="36"/>
  <c r="AZ8" i="36" s="1"/>
  <c r="BA8" i="36" s="1"/>
  <c r="BC7" i="24"/>
  <c r="AZ7" i="24" s="1"/>
  <c r="BA7" i="24" s="1"/>
  <c r="AZ8" i="23"/>
  <c r="BC8" i="23"/>
  <c r="BC11" i="25"/>
  <c r="AZ11" i="25" s="1"/>
  <c r="BA11" i="25" s="1"/>
  <c r="BQ4" i="27"/>
  <c r="BQ15" i="27"/>
  <c r="BQ10" i="27"/>
  <c r="Y27" i="27"/>
  <c r="BQ13" i="27"/>
  <c r="BQ14" i="27"/>
  <c r="BQ7" i="27"/>
  <c r="BQ12" i="27"/>
  <c r="BQ8" i="27"/>
  <c r="BQ9" i="27"/>
  <c r="BQ11" i="27"/>
  <c r="AH27" i="27"/>
  <c r="BQ6" i="27"/>
  <c r="BQ5" i="27"/>
  <c r="J26" i="27"/>
  <c r="J42" i="27" s="1"/>
  <c r="BC13" i="1"/>
  <c r="AZ13" i="1" s="1"/>
  <c r="BA13" i="1" s="1"/>
  <c r="BC17" i="24"/>
  <c r="AZ17" i="24"/>
  <c r="BA17" i="24" s="1"/>
  <c r="BC8" i="28"/>
  <c r="AZ8" i="28" s="1"/>
  <c r="BA8" i="28" s="1"/>
  <c r="AZ18" i="29"/>
  <c r="BA18" i="29" s="1"/>
  <c r="BC18" i="29"/>
  <c r="BC4" i="29"/>
  <c r="AZ4" i="29"/>
  <c r="BA4" i="29" s="1"/>
  <c r="AZ10" i="23"/>
  <c r="BC10" i="23"/>
  <c r="BC17" i="29"/>
  <c r="AZ17" i="29"/>
  <c r="BA17" i="29" s="1"/>
  <c r="AZ18" i="23"/>
  <c r="BC18" i="23"/>
  <c r="AZ4" i="23"/>
  <c r="BC4" i="23"/>
  <c r="AZ4" i="20"/>
  <c r="BA4" i="20" s="1"/>
  <c r="AZ12" i="29"/>
  <c r="BC12" i="29"/>
  <c r="AZ4" i="31"/>
  <c r="BA4" i="31" s="1"/>
  <c r="Q21" i="26"/>
  <c r="W21" i="26"/>
  <c r="N21" i="26"/>
  <c r="AL21" i="26"/>
  <c r="T21" i="26"/>
  <c r="AO21" i="26"/>
  <c r="Z21" i="26"/>
  <c r="H21" i="26"/>
  <c r="AC21" i="26"/>
  <c r="AI21" i="26"/>
  <c r="AF21" i="26"/>
  <c r="N21" i="29"/>
  <c r="K21" i="29"/>
  <c r="AC21" i="29"/>
  <c r="Q21" i="29"/>
  <c r="H21" i="29"/>
  <c r="T21" i="29"/>
  <c r="W21" i="29"/>
  <c r="Z21" i="29"/>
  <c r="AI21" i="29"/>
  <c r="AF21" i="29"/>
  <c r="AO21" i="29"/>
  <c r="AL21" i="29"/>
  <c r="AO21" i="31"/>
  <c r="K21" i="31"/>
  <c r="H21" i="31"/>
  <c r="Z21" i="31"/>
  <c r="AI21" i="31"/>
  <c r="Q21" i="31"/>
  <c r="W21" i="31"/>
  <c r="T21" i="31"/>
  <c r="AF21" i="31"/>
  <c r="N21" i="31"/>
  <c r="AL21" i="31"/>
  <c r="AC21" i="31"/>
  <c r="BQ10" i="25"/>
  <c r="BQ9" i="25"/>
  <c r="BQ11" i="25"/>
  <c r="BQ6" i="25"/>
  <c r="BQ12" i="25"/>
  <c r="BQ13" i="25"/>
  <c r="BQ4" i="25"/>
  <c r="AH27" i="25"/>
  <c r="BQ14" i="25"/>
  <c r="BQ15" i="25"/>
  <c r="BQ7" i="25"/>
  <c r="BQ8" i="25"/>
  <c r="BQ5" i="25"/>
  <c r="Y27" i="25"/>
  <c r="AH26" i="25"/>
  <c r="AH42" i="25" s="1"/>
  <c r="V26" i="25"/>
  <c r="V42" i="25" s="1"/>
  <c r="AE26" i="25"/>
  <c r="AE42" i="25" s="1"/>
  <c r="M26" i="25"/>
  <c r="M42" i="25" s="1"/>
  <c r="P26" i="25"/>
  <c r="P42" i="25" s="1"/>
  <c r="G26" i="25"/>
  <c r="G42" i="25" s="1"/>
  <c r="J26" i="25"/>
  <c r="J42" i="25" s="1"/>
  <c r="BQ4" i="28"/>
  <c r="BQ10" i="28"/>
  <c r="Y27" i="28"/>
  <c r="BQ11" i="28"/>
  <c r="BQ14" i="28"/>
  <c r="BQ5" i="28"/>
  <c r="BQ15" i="28"/>
  <c r="BQ8" i="28"/>
  <c r="BQ6" i="28"/>
  <c r="BQ12" i="28"/>
  <c r="BQ9" i="28"/>
  <c r="BQ7" i="28"/>
  <c r="BQ13" i="28"/>
  <c r="AH27" i="28"/>
  <c r="AH26" i="28"/>
  <c r="AH42" i="28" s="1"/>
  <c r="M26" i="28"/>
  <c r="M42" i="28" s="1"/>
  <c r="Y26" i="28"/>
  <c r="Y42" i="28" s="1"/>
  <c r="P26" i="28"/>
  <c r="P42" i="28" s="1"/>
  <c r="BC16" i="24"/>
  <c r="AZ16" i="24" s="1"/>
  <c r="BA16" i="24" s="1"/>
  <c r="BC15" i="21"/>
  <c r="AZ15" i="21" s="1"/>
  <c r="BA15" i="21" s="1"/>
  <c r="BC16" i="30"/>
  <c r="AZ16" i="30" s="1"/>
  <c r="BA16" i="30" s="1"/>
  <c r="AZ13" i="20"/>
  <c r="BC13" i="20"/>
  <c r="AZ19" i="1"/>
  <c r="BA19" i="1" s="1"/>
  <c r="BC11" i="35"/>
  <c r="AZ11" i="35" s="1"/>
  <c r="BA11" i="35" s="1"/>
  <c r="BC17" i="35"/>
  <c r="AZ17" i="35" s="1"/>
  <c r="BA17" i="35" s="1"/>
  <c r="AZ9" i="28"/>
  <c r="BC9" i="28"/>
  <c r="BC6" i="31"/>
  <c r="AZ6" i="31"/>
  <c r="AH27" i="1"/>
  <c r="BQ10" i="1"/>
  <c r="Q24" i="1"/>
  <c r="Q37" i="1" s="1"/>
  <c r="BQ6" i="1"/>
  <c r="BQ9" i="1"/>
  <c r="BQ5" i="1"/>
  <c r="N24" i="1"/>
  <c r="N37" i="1" s="1"/>
  <c r="BQ13" i="1"/>
  <c r="AL24" i="1"/>
  <c r="AL37" i="1" s="1"/>
  <c r="BQ7" i="1"/>
  <c r="BQ8" i="1"/>
  <c r="BQ15" i="1"/>
  <c r="T24" i="1"/>
  <c r="T37" i="1" s="1"/>
  <c r="Z24" i="1"/>
  <c r="Z37" i="1" s="1"/>
  <c r="AF24" i="1"/>
  <c r="AF37" i="1" s="1"/>
  <c r="K24" i="1"/>
  <c r="K37" i="1" s="1"/>
  <c r="H24" i="1"/>
  <c r="H37" i="1" s="1"/>
  <c r="AI24" i="1"/>
  <c r="AI37" i="1" s="1"/>
  <c r="AC24" i="1"/>
  <c r="AC37" i="1" s="1"/>
  <c r="BQ14" i="1"/>
  <c r="AO24" i="1"/>
  <c r="AO37" i="1" s="1"/>
  <c r="BQ4" i="1"/>
  <c r="BQ12" i="1"/>
  <c r="BQ11" i="1"/>
  <c r="Y27" i="1"/>
  <c r="W24" i="1"/>
  <c r="W37" i="1" s="1"/>
  <c r="J26" i="1"/>
  <c r="J42" i="1" s="1"/>
  <c r="AB26" i="1"/>
  <c r="AB42" i="1" s="1"/>
  <c r="Y26" i="1"/>
  <c r="Y42" i="1" s="1"/>
  <c r="M26" i="1"/>
  <c r="M42" i="1" s="1"/>
  <c r="AR3" i="38"/>
  <c r="BC11" i="31"/>
  <c r="AZ11" i="31" s="1"/>
  <c r="BA11" i="31" s="1"/>
  <c r="BC10" i="31"/>
  <c r="AZ10" i="31"/>
  <c r="BA10" i="31" s="1"/>
  <c r="AZ9" i="34"/>
  <c r="BC9" i="34"/>
  <c r="BC19" i="36"/>
  <c r="AZ19" i="36" s="1"/>
  <c r="BA19" i="36" s="1"/>
  <c r="AZ5" i="24"/>
  <c r="BA5" i="24" s="1"/>
  <c r="BC11" i="26"/>
  <c r="AZ11" i="26" s="1"/>
  <c r="BA11" i="26" s="1"/>
  <c r="BC16" i="34"/>
  <c r="AZ16" i="34" s="1"/>
  <c r="BA16" i="34" s="1"/>
  <c r="BC18" i="32"/>
  <c r="AZ18" i="32"/>
  <c r="BA18" i="32" s="1"/>
  <c r="BC11" i="36"/>
  <c r="AZ11" i="36" s="1"/>
  <c r="BA11" i="36" s="1"/>
  <c r="BC10" i="30"/>
  <c r="AZ10" i="30" s="1"/>
  <c r="BA10" i="30" s="1"/>
  <c r="BC9" i="27"/>
  <c r="AZ9" i="27" s="1"/>
  <c r="BA9" i="27" s="1"/>
  <c r="BC13" i="31"/>
  <c r="AZ13" i="31" s="1"/>
  <c r="BA13" i="31" s="1"/>
  <c r="BC12" i="21"/>
  <c r="AZ12" i="21"/>
  <c r="BA12" i="21" s="1"/>
  <c r="AN25" i="30"/>
  <c r="AN41" i="30" s="1"/>
  <c r="AE25" i="30"/>
  <c r="AE41" i="30" s="1"/>
  <c r="AC26" i="30"/>
  <c r="AC39" i="30" s="1"/>
  <c r="AL26" i="30"/>
  <c r="Z26" i="30"/>
  <c r="N26" i="30"/>
  <c r="AI26" i="30"/>
  <c r="AI39" i="30" s="1"/>
  <c r="AK25" i="30"/>
  <c r="AK41" i="30" s="1"/>
  <c r="H26" i="30"/>
  <c r="H39" i="30" s="1"/>
  <c r="P27" i="30"/>
  <c r="M25" i="30"/>
  <c r="M41" i="30" s="1"/>
  <c r="AB25" i="30"/>
  <c r="AB41" i="30" s="1"/>
  <c r="K26" i="30"/>
  <c r="K39" i="30" s="1"/>
  <c r="AO26" i="30"/>
  <c r="AO39" i="30" s="1"/>
  <c r="W26" i="30"/>
  <c r="W39" i="30" s="1"/>
  <c r="P25" i="30"/>
  <c r="P41" i="30" s="1"/>
  <c r="AH25" i="30"/>
  <c r="AH41" i="30" s="1"/>
  <c r="Y25" i="30"/>
  <c r="Y41" i="30" s="1"/>
  <c r="T26" i="30"/>
  <c r="T39" i="30" s="1"/>
  <c r="V25" i="30"/>
  <c r="V41" i="30" s="1"/>
  <c r="AF26" i="30"/>
  <c r="AF39" i="30" s="1"/>
  <c r="G25" i="30"/>
  <c r="G41" i="30" s="1"/>
  <c r="Q26" i="30"/>
  <c r="Q39" i="30" s="1"/>
  <c r="S25" i="30"/>
  <c r="S41" i="30" s="1"/>
  <c r="J25" i="30"/>
  <c r="J41" i="30" s="1"/>
  <c r="AZ16" i="29"/>
  <c r="BC16" i="29"/>
  <c r="BC12" i="32"/>
  <c r="AZ12" i="32" s="1"/>
  <c r="BA12" i="32" s="1"/>
  <c r="BC5" i="29"/>
  <c r="AZ5" i="29"/>
  <c r="BA5" i="29" s="1"/>
  <c r="BQ9" i="21"/>
  <c r="BQ10" i="21"/>
  <c r="BQ14" i="21"/>
  <c r="BQ12" i="21"/>
  <c r="BQ7" i="21"/>
  <c r="Y27" i="21"/>
  <c r="AH27" i="21"/>
  <c r="BQ13" i="21"/>
  <c r="BQ6" i="21"/>
  <c r="BQ11" i="21"/>
  <c r="BQ8" i="21"/>
  <c r="BQ5" i="21"/>
  <c r="BQ15" i="21"/>
  <c r="BQ4" i="21"/>
  <c r="AB26" i="21"/>
  <c r="AB42" i="21" s="1"/>
  <c r="AN26" i="21"/>
  <c r="AN42" i="21" s="1"/>
  <c r="J26" i="21"/>
  <c r="J42" i="21" s="1"/>
  <c r="AZ8" i="30"/>
  <c r="BC8" i="30"/>
  <c r="BC19" i="38"/>
  <c r="AZ19" i="38" s="1"/>
  <c r="BA19" i="38" s="1"/>
  <c r="AZ18" i="1"/>
  <c r="BC18" i="1"/>
  <c r="AZ7" i="25"/>
  <c r="BC7" i="25"/>
  <c r="BC11" i="32"/>
  <c r="AZ11" i="32"/>
  <c r="V25" i="27"/>
  <c r="V41" i="27" s="1"/>
  <c r="Y25" i="27"/>
  <c r="Y41" i="27" s="1"/>
  <c r="AO26" i="27"/>
  <c r="AO39" i="27" s="1"/>
  <c r="P27" i="27"/>
  <c r="AN25" i="27"/>
  <c r="AN41" i="27" s="1"/>
  <c r="AI26" i="27"/>
  <c r="AI39" i="27" s="1"/>
  <c r="S25" i="27"/>
  <c r="S41" i="27" s="1"/>
  <c r="AL26" i="27"/>
  <c r="AL39" i="27" s="1"/>
  <c r="AE25" i="27"/>
  <c r="AE41" i="27" s="1"/>
  <c r="AK25" i="27"/>
  <c r="AK41" i="27" s="1"/>
  <c r="AB25" i="27"/>
  <c r="AB41" i="27" s="1"/>
  <c r="Q26" i="27"/>
  <c r="Q39" i="27" s="1"/>
  <c r="AF26" i="27"/>
  <c r="AF39" i="27" s="1"/>
  <c r="T26" i="27"/>
  <c r="T39" i="27" s="1"/>
  <c r="M25" i="27"/>
  <c r="M41" i="27" s="1"/>
  <c r="Z26" i="27"/>
  <c r="Z39" i="27" s="1"/>
  <c r="H26" i="27"/>
  <c r="J25" i="27"/>
  <c r="J41" i="27" s="1"/>
  <c r="G25" i="27"/>
  <c r="G41" i="27" s="1"/>
  <c r="AC26" i="27"/>
  <c r="AC39" i="27" s="1"/>
  <c r="K26" i="27"/>
  <c r="K39" i="27" s="1"/>
  <c r="W26" i="27"/>
  <c r="W39" i="27" s="1"/>
  <c r="P25" i="27"/>
  <c r="P41" i="27" s="1"/>
  <c r="N26" i="27"/>
  <c r="N39" i="27" s="1"/>
  <c r="AH25" i="27"/>
  <c r="AH41" i="27" s="1"/>
  <c r="BC13" i="34"/>
  <c r="AZ13" i="34" s="1"/>
  <c r="BA13" i="34" s="1"/>
  <c r="AZ10" i="27"/>
  <c r="BC10" i="27"/>
  <c r="BC16" i="35"/>
  <c r="AZ16" i="35" s="1"/>
  <c r="BA16" i="35" s="1"/>
  <c r="BC19" i="27"/>
  <c r="AZ19" i="27" s="1"/>
  <c r="BA19" i="27" s="1"/>
  <c r="BQ11" i="29"/>
  <c r="BQ4" i="29"/>
  <c r="BQ6" i="29"/>
  <c r="BQ13" i="29"/>
  <c r="BQ15" i="29"/>
  <c r="Y27" i="29"/>
  <c r="AH27" i="29"/>
  <c r="BQ10" i="29"/>
  <c r="BQ12" i="29"/>
  <c r="BQ7" i="29"/>
  <c r="BQ8" i="29"/>
  <c r="BQ5" i="29"/>
  <c r="BQ14" i="29"/>
  <c r="BQ9" i="29"/>
  <c r="AB26" i="29"/>
  <c r="AB42" i="29" s="1"/>
  <c r="AZ8" i="24"/>
  <c r="BC8" i="24"/>
  <c r="BC19" i="28"/>
  <c r="AZ19" i="28" s="1"/>
  <c r="BA19" i="28" s="1"/>
  <c r="BC18" i="27"/>
  <c r="AZ18" i="27" s="1"/>
  <c r="BA18" i="27" s="1"/>
  <c r="BC15" i="31"/>
  <c r="AZ15" i="31" s="1"/>
  <c r="BA15" i="31" s="1"/>
  <c r="BC18" i="21"/>
  <c r="AZ18" i="21" s="1"/>
  <c r="BA18" i="21" s="1"/>
  <c r="BC15" i="35"/>
  <c r="AZ15" i="35" s="1"/>
  <c r="BA15" i="35" s="1"/>
  <c r="AZ11" i="1"/>
  <c r="BC11" i="1"/>
  <c r="K21" i="21"/>
  <c r="T21" i="21"/>
  <c r="N21" i="21"/>
  <c r="W21" i="21"/>
  <c r="AO21" i="21"/>
  <c r="AC21" i="21"/>
  <c r="Q21" i="21"/>
  <c r="H21" i="21"/>
  <c r="AI21" i="21"/>
  <c r="Z21" i="21"/>
  <c r="AL21" i="21"/>
  <c r="AF21" i="21"/>
  <c r="Q21" i="35"/>
  <c r="N21" i="35"/>
  <c r="W21" i="35"/>
  <c r="AI21" i="35"/>
  <c r="AF21" i="35"/>
  <c r="AL21" i="35"/>
  <c r="AC21" i="35"/>
  <c r="H21" i="35"/>
  <c r="AO21" i="35"/>
  <c r="Z21" i="35"/>
  <c r="T21" i="35"/>
  <c r="S18" i="16"/>
  <c r="S8" i="16"/>
  <c r="AE8" i="16"/>
  <c r="Y18" i="16"/>
  <c r="P8" i="16"/>
  <c r="AN8" i="16"/>
  <c r="P18" i="16"/>
  <c r="AN18" i="16"/>
  <c r="G8" i="16"/>
  <c r="V17" i="16"/>
  <c r="S17" i="16"/>
  <c r="AH9" i="16"/>
  <c r="AN11" i="16"/>
  <c r="P11" i="16"/>
  <c r="AB4" i="16"/>
  <c r="AE16" i="16"/>
  <c r="J16" i="16"/>
  <c r="G18" i="16"/>
  <c r="Y8" i="16"/>
  <c r="J8" i="16"/>
  <c r="AN17" i="16"/>
  <c r="M9" i="16"/>
  <c r="V9" i="16"/>
  <c r="M11" i="16"/>
  <c r="Y4" i="16"/>
  <c r="V16" i="16"/>
  <c r="AE12" i="16"/>
  <c r="S12" i="16"/>
  <c r="G5" i="16"/>
  <c r="M14" i="16"/>
  <c r="M7" i="16"/>
  <c r="S10" i="16"/>
  <c r="J13" i="16"/>
  <c r="AE13" i="16"/>
  <c r="P15" i="16"/>
  <c r="P6" i="16"/>
  <c r="V19" i="16"/>
  <c r="S19" i="16"/>
  <c r="V12" i="16"/>
  <c r="S13" i="16"/>
  <c r="J15" i="16"/>
  <c r="AE11" i="16"/>
  <c r="S4" i="16"/>
  <c r="AB16" i="16"/>
  <c r="AE7" i="16"/>
  <c r="V6" i="16"/>
  <c r="G11" i="16"/>
  <c r="J4" i="16"/>
  <c r="Y15" i="16"/>
  <c r="AN6" i="16"/>
  <c r="Y9" i="16"/>
  <c r="AE17" i="16"/>
  <c r="AN9" i="16"/>
  <c r="AK9" i="16"/>
  <c r="AK11" i="16"/>
  <c r="AK4" i="16"/>
  <c r="S16" i="16"/>
  <c r="AK16" i="16"/>
  <c r="M12" i="16"/>
  <c r="P12" i="16"/>
  <c r="V5" i="16"/>
  <c r="G14" i="16"/>
  <c r="Y7" i="16"/>
  <c r="AN7" i="16"/>
  <c r="AN10" i="16"/>
  <c r="AB13" i="16"/>
  <c r="AN13" i="16"/>
  <c r="V15" i="16"/>
  <c r="G6" i="16"/>
  <c r="AH19" i="16"/>
  <c r="AH6" i="16"/>
  <c r="S6" i="16"/>
  <c r="AK19" i="16"/>
  <c r="AK17" i="16"/>
  <c r="S9" i="16"/>
  <c r="G16" i="16"/>
  <c r="AK7" i="16"/>
  <c r="AB18" i="16"/>
  <c r="AH10" i="16"/>
  <c r="G15" i="16"/>
  <c r="AB17" i="16"/>
  <c r="G12" i="16"/>
  <c r="AB14" i="16"/>
  <c r="AB15" i="16"/>
  <c r="V11" i="16"/>
  <c r="M18" i="16"/>
  <c r="AK8" i="16"/>
  <c r="P17" i="16"/>
  <c r="M17" i="16"/>
  <c r="G9" i="16"/>
  <c r="S11" i="16"/>
  <c r="Y11" i="16"/>
  <c r="G4" i="16"/>
  <c r="J12" i="16"/>
  <c r="AB12" i="16"/>
  <c r="AH5" i="16"/>
  <c r="AE14" i="16"/>
  <c r="P7" i="16"/>
  <c r="AH7" i="16"/>
  <c r="Y10" i="16"/>
  <c r="P13" i="16"/>
  <c r="AK13" i="16"/>
  <c r="S15" i="16"/>
  <c r="J6" i="16"/>
  <c r="AE19" i="16"/>
  <c r="Y6" i="16"/>
  <c r="AH8" i="16"/>
  <c r="AH11" i="16"/>
  <c r="P4" i="16"/>
  <c r="P5" i="16"/>
  <c r="AN14" i="16"/>
  <c r="P10" i="16"/>
  <c r="M6" i="16"/>
  <c r="AB19" i="16"/>
  <c r="AE6" i="16"/>
  <c r="AH18" i="16"/>
  <c r="V7" i="16"/>
  <c r="M10" i="16"/>
  <c r="AH16" i="16"/>
  <c r="AN16" i="16"/>
  <c r="AN12" i="16"/>
  <c r="M5" i="16"/>
  <c r="AN5" i="16"/>
  <c r="V14" i="16"/>
  <c r="S7" i="16"/>
  <c r="G7" i="16"/>
  <c r="G10" i="16"/>
  <c r="G13" i="16"/>
  <c r="AN15" i="16"/>
  <c r="AE15" i="16"/>
  <c r="AK18" i="16"/>
  <c r="AE18" i="16"/>
  <c r="G17" i="16"/>
  <c r="J11" i="16"/>
  <c r="AH4" i="16"/>
  <c r="P16" i="16"/>
  <c r="Y5" i="16"/>
  <c r="Y14" i="16"/>
  <c r="AB10" i="16"/>
  <c r="M15" i="16"/>
  <c r="AK6" i="16"/>
  <c r="V18" i="16"/>
  <c r="AH12" i="16"/>
  <c r="AH14" i="16"/>
  <c r="V10" i="16"/>
  <c r="AK15" i="16"/>
  <c r="J18" i="16"/>
  <c r="P9" i="16"/>
  <c r="M4" i="16"/>
  <c r="AK14" i="16"/>
  <c r="Y13" i="16"/>
  <c r="P19" i="16"/>
  <c r="Y17" i="16"/>
  <c r="J9" i="16"/>
  <c r="AB8" i="16"/>
  <c r="AH17" i="16"/>
  <c r="AB9" i="16"/>
  <c r="AN4" i="16"/>
  <c r="S5" i="16"/>
  <c r="P14" i="16"/>
  <c r="V13" i="16"/>
  <c r="G19" i="16"/>
  <c r="M8" i="16"/>
  <c r="AE9" i="16"/>
  <c r="Y16" i="16"/>
  <c r="J5" i="16"/>
  <c r="AE10" i="16"/>
  <c r="AN19" i="16"/>
  <c r="Y12" i="16"/>
  <c r="M19" i="16"/>
  <c r="AH15" i="16"/>
  <c r="J14" i="16"/>
  <c r="S14" i="16"/>
  <c r="AK12" i="16"/>
  <c r="AH13" i="16"/>
  <c r="AB6" i="16"/>
  <c r="AK5" i="16"/>
  <c r="M13" i="16"/>
  <c r="Y19" i="16"/>
  <c r="AE4" i="16"/>
  <c r="V4" i="16"/>
  <c r="M16" i="16"/>
  <c r="AB7" i="16"/>
  <c r="AK10" i="16"/>
  <c r="Y26" i="25" l="1"/>
  <c r="Y42" i="25" s="1"/>
  <c r="AK26" i="21"/>
  <c r="AK42" i="21" s="1"/>
  <c r="AE26" i="28"/>
  <c r="AE42" i="28" s="1"/>
  <c r="S26" i="25"/>
  <c r="S42" i="25" s="1"/>
  <c r="BA12" i="34"/>
  <c r="AU17" i="34" s="1"/>
  <c r="AV17" i="34" s="1"/>
  <c r="V26" i="29"/>
  <c r="V42" i="29" s="1"/>
  <c r="BA11" i="32"/>
  <c r="Y26" i="21"/>
  <c r="Y42" i="21" s="1"/>
  <c r="BA5" i="20"/>
  <c r="G26" i="26"/>
  <c r="G42" i="26" s="1"/>
  <c r="BA8" i="33"/>
  <c r="AN26" i="20"/>
  <c r="AN42" i="20" s="1"/>
  <c r="V26" i="35"/>
  <c r="V42" i="35" s="1"/>
  <c r="AH26" i="30"/>
  <c r="AH42" i="30" s="1"/>
  <c r="BA6" i="26"/>
  <c r="AU6" i="26" s="1"/>
  <c r="AV6" i="26" s="1"/>
  <c r="BA13" i="27"/>
  <c r="AU6" i="27" s="1"/>
  <c r="AV6" i="27" s="1"/>
  <c r="BA10" i="27"/>
  <c r="BA11" i="1"/>
  <c r="BA8" i="23"/>
  <c r="AK26" i="26"/>
  <c r="AK42" i="26" s="1"/>
  <c r="G26" i="35"/>
  <c r="G42" i="35" s="1"/>
  <c r="BA5" i="27"/>
  <c r="AU8" i="27" s="1"/>
  <c r="AV8" i="27" s="1"/>
  <c r="S26" i="23"/>
  <c r="S42" i="23" s="1"/>
  <c r="BA6" i="35"/>
  <c r="AU11" i="35" s="1"/>
  <c r="AV11" i="35" s="1"/>
  <c r="S26" i="29"/>
  <c r="S42" i="29" s="1"/>
  <c r="AE26" i="21"/>
  <c r="AE42" i="21" s="1"/>
  <c r="AK26" i="1"/>
  <c r="AK42" i="1" s="1"/>
  <c r="BA6" i="31"/>
  <c r="S26" i="28"/>
  <c r="S42" i="28" s="1"/>
  <c r="AN26" i="25"/>
  <c r="AN42" i="25" s="1"/>
  <c r="G26" i="33"/>
  <c r="G42" i="33" s="1"/>
  <c r="BA18" i="31"/>
  <c r="Y26" i="20"/>
  <c r="Y42" i="20" s="1"/>
  <c r="S26" i="35"/>
  <c r="S42" i="35" s="1"/>
  <c r="AN26" i="34"/>
  <c r="AN42" i="34" s="1"/>
  <c r="BA7" i="32"/>
  <c r="M26" i="23"/>
  <c r="M42" i="23" s="1"/>
  <c r="BA7" i="27"/>
  <c r="CC21" i="16"/>
  <c r="BK20" i="16"/>
  <c r="BT20" i="16"/>
  <c r="BZ20" i="16"/>
  <c r="P26" i="27"/>
  <c r="P42" i="27" s="1"/>
  <c r="Y26" i="33"/>
  <c r="Y42" i="33" s="1"/>
  <c r="AK26" i="33"/>
  <c r="AK42" i="33" s="1"/>
  <c r="BA10" i="24"/>
  <c r="BA9" i="29"/>
  <c r="AE26" i="29"/>
  <c r="AE42" i="29" s="1"/>
  <c r="J26" i="28"/>
  <c r="J42" i="28" s="1"/>
  <c r="AB26" i="25"/>
  <c r="AB42" i="25" s="1"/>
  <c r="AB26" i="26"/>
  <c r="AB42" i="26" s="1"/>
  <c r="V26" i="30"/>
  <c r="V42" i="30" s="1"/>
  <c r="AN26" i="29"/>
  <c r="AN42" i="29" s="1"/>
  <c r="P26" i="21"/>
  <c r="P42" i="21" s="1"/>
  <c r="G26" i="21"/>
  <c r="G42" i="21" s="1"/>
  <c r="S26" i="1"/>
  <c r="S42" i="1" s="1"/>
  <c r="G26" i="28"/>
  <c r="G42" i="28" s="1"/>
  <c r="AE26" i="24"/>
  <c r="AE42" i="24" s="1"/>
  <c r="G26" i="24"/>
  <c r="G42" i="24" s="1"/>
  <c r="S26" i="26"/>
  <c r="S42" i="26" s="1"/>
  <c r="J26" i="35"/>
  <c r="J42" i="35" s="1"/>
  <c r="G26" i="34"/>
  <c r="G42" i="34" s="1"/>
  <c r="P26" i="31"/>
  <c r="P42" i="31" s="1"/>
  <c r="BA12" i="33"/>
  <c r="AU10" i="38"/>
  <c r="AV10" i="38" s="1"/>
  <c r="BA15" i="32"/>
  <c r="V26" i="24"/>
  <c r="V42" i="24" s="1"/>
  <c r="J26" i="32"/>
  <c r="J42" i="32" s="1"/>
  <c r="P26" i="29"/>
  <c r="P42" i="29" s="1"/>
  <c r="AH26" i="21"/>
  <c r="AH42" i="21" s="1"/>
  <c r="G26" i="1"/>
  <c r="G42" i="1" s="1"/>
  <c r="AK26" i="25"/>
  <c r="AK42" i="25" s="1"/>
  <c r="BA10" i="23"/>
  <c r="S26" i="33"/>
  <c r="S42" i="33" s="1"/>
  <c r="BA9" i="26"/>
  <c r="AH26" i="20"/>
  <c r="AH42" i="20" s="1"/>
  <c r="V26" i="34"/>
  <c r="V42" i="34" s="1"/>
  <c r="AH26" i="31"/>
  <c r="AH42" i="31" s="1"/>
  <c r="V26" i="23"/>
  <c r="V42" i="23" s="1"/>
  <c r="BA13" i="26"/>
  <c r="W24" i="34"/>
  <c r="W37" i="34" s="1"/>
  <c r="W24" i="29"/>
  <c r="W37" i="29" s="1"/>
  <c r="W24" i="25"/>
  <c r="W37" i="25" s="1"/>
  <c r="W23" i="1"/>
  <c r="W24" i="31"/>
  <c r="W37" i="31" s="1"/>
  <c r="W23" i="34"/>
  <c r="W24" i="23"/>
  <c r="W37" i="23" s="1"/>
  <c r="W24" i="32"/>
  <c r="W37" i="32" s="1"/>
  <c r="W24" i="35"/>
  <c r="W37" i="35" s="1"/>
  <c r="W24" i="33"/>
  <c r="W37" i="33" s="1"/>
  <c r="W23" i="33"/>
  <c r="W24" i="24"/>
  <c r="W37" i="24" s="1"/>
  <c r="W24" i="27"/>
  <c r="W37" i="27" s="1"/>
  <c r="W24" i="30"/>
  <c r="W37" i="30" s="1"/>
  <c r="W23" i="23"/>
  <c r="W23" i="20"/>
  <c r="W23" i="25"/>
  <c r="W24" i="21"/>
  <c r="W37" i="21" s="1"/>
  <c r="W24" i="28"/>
  <c r="W37" i="28" s="1"/>
  <c r="W23" i="32"/>
  <c r="W24" i="20"/>
  <c r="W37" i="20" s="1"/>
  <c r="W23" i="29"/>
  <c r="W24" i="26"/>
  <c r="W37" i="26" s="1"/>
  <c r="AF24" i="32"/>
  <c r="AF37" i="32" s="1"/>
  <c r="AF24" i="27"/>
  <c r="AF37" i="27" s="1"/>
  <c r="AF24" i="24"/>
  <c r="AF37" i="24" s="1"/>
  <c r="AF24" i="28"/>
  <c r="AF37" i="28" s="1"/>
  <c r="AF23" i="34"/>
  <c r="AF24" i="35"/>
  <c r="AF37" i="35" s="1"/>
  <c r="AF24" i="31"/>
  <c r="AF37" i="31" s="1"/>
  <c r="AF23" i="20"/>
  <c r="AF24" i="26"/>
  <c r="AF37" i="26" s="1"/>
  <c r="AF24" i="25"/>
  <c r="AF37" i="25" s="1"/>
  <c r="AF24" i="23"/>
  <c r="AF37" i="23" s="1"/>
  <c r="AF24" i="21"/>
  <c r="AF37" i="21" s="1"/>
  <c r="AF24" i="29"/>
  <c r="AF37" i="29" s="1"/>
  <c r="AF24" i="30"/>
  <c r="AF37" i="30" s="1"/>
  <c r="AF24" i="33"/>
  <c r="AF37" i="33" s="1"/>
  <c r="AF23" i="21"/>
  <c r="AF24" i="34"/>
  <c r="AF37" i="34" s="1"/>
  <c r="AF23" i="1"/>
  <c r="AF24" i="20"/>
  <c r="AF37" i="20" s="1"/>
  <c r="AO24" i="30"/>
  <c r="AO37" i="30" s="1"/>
  <c r="AO24" i="32"/>
  <c r="AO37" i="32" s="1"/>
  <c r="AO24" i="27"/>
  <c r="AO37" i="27" s="1"/>
  <c r="AO24" i="25"/>
  <c r="AO37" i="25" s="1"/>
  <c r="AO24" i="26"/>
  <c r="AO37" i="26" s="1"/>
  <c r="AO24" i="28"/>
  <c r="AO37" i="28" s="1"/>
  <c r="AO23" i="25"/>
  <c r="AO24" i="31"/>
  <c r="AO37" i="31" s="1"/>
  <c r="AO24" i="34"/>
  <c r="AO37" i="34" s="1"/>
  <c r="AO24" i="21"/>
  <c r="AO37" i="21" s="1"/>
  <c r="AO23" i="20"/>
  <c r="AO23" i="34"/>
  <c r="AO24" i="35"/>
  <c r="AO37" i="35" s="1"/>
  <c r="AO24" i="20"/>
  <c r="AO37" i="20" s="1"/>
  <c r="AO24" i="24"/>
  <c r="AO37" i="24" s="1"/>
  <c r="AO23" i="1"/>
  <c r="AO24" i="29"/>
  <c r="AO37" i="29" s="1"/>
  <c r="AO24" i="23"/>
  <c r="AO37" i="23" s="1"/>
  <c r="AO23" i="27"/>
  <c r="AO24" i="33"/>
  <c r="AO37" i="33" s="1"/>
  <c r="AO23" i="33"/>
  <c r="N23" i="23"/>
  <c r="N24" i="20"/>
  <c r="N37" i="20" s="1"/>
  <c r="N23" i="25"/>
  <c r="N24" i="23"/>
  <c r="N37" i="23" s="1"/>
  <c r="N24" i="35"/>
  <c r="N37" i="35" s="1"/>
  <c r="N24" i="32"/>
  <c r="N37" i="32" s="1"/>
  <c r="N24" i="33"/>
  <c r="N37" i="33" s="1"/>
  <c r="N23" i="1"/>
  <c r="N23" i="20"/>
  <c r="N24" i="26"/>
  <c r="N37" i="26" s="1"/>
  <c r="N24" i="28"/>
  <c r="N37" i="28" s="1"/>
  <c r="N24" i="29"/>
  <c r="N37" i="29" s="1"/>
  <c r="N23" i="31"/>
  <c r="N24" i="30"/>
  <c r="N37" i="30" s="1"/>
  <c r="N23" i="26"/>
  <c r="N24" i="25"/>
  <c r="N37" i="25" s="1"/>
  <c r="N24" i="24"/>
  <c r="N37" i="24" s="1"/>
  <c r="N24" i="31"/>
  <c r="N37" i="31" s="1"/>
  <c r="N24" i="21"/>
  <c r="N37" i="21" s="1"/>
  <c r="N24" i="27"/>
  <c r="N37" i="27" s="1"/>
  <c r="N24" i="34"/>
  <c r="N37" i="34" s="1"/>
  <c r="AI23" i="30"/>
  <c r="AI23" i="1"/>
  <c r="AI24" i="31"/>
  <c r="AI37" i="31" s="1"/>
  <c r="AI24" i="32"/>
  <c r="AI37" i="32" s="1"/>
  <c r="AI23" i="34"/>
  <c r="AI24" i="20"/>
  <c r="AI37" i="20" s="1"/>
  <c r="AI24" i="25"/>
  <c r="AI37" i="25" s="1"/>
  <c r="AI24" i="30"/>
  <c r="AI37" i="30" s="1"/>
  <c r="AI24" i="33"/>
  <c r="AI37" i="33" s="1"/>
  <c r="AI24" i="35"/>
  <c r="AI37" i="35" s="1"/>
  <c r="AI24" i="34"/>
  <c r="AI37" i="34" s="1"/>
  <c r="AI24" i="24"/>
  <c r="AI37" i="24" s="1"/>
  <c r="AI24" i="27"/>
  <c r="AI37" i="27" s="1"/>
  <c r="AI24" i="28"/>
  <c r="AI37" i="28" s="1"/>
  <c r="AI24" i="21"/>
  <c r="AI37" i="21" s="1"/>
  <c r="AI24" i="26"/>
  <c r="AI37" i="26" s="1"/>
  <c r="AI24" i="23"/>
  <c r="AI37" i="23" s="1"/>
  <c r="AI24" i="29"/>
  <c r="AI37" i="29" s="1"/>
  <c r="AI23" i="20"/>
  <c r="Q24" i="34"/>
  <c r="Q37" i="34" s="1"/>
  <c r="Q24" i="23"/>
  <c r="Q37" i="23" s="1"/>
  <c r="Q23" i="20"/>
  <c r="Q24" i="24"/>
  <c r="Q37" i="24" s="1"/>
  <c r="Q24" i="30"/>
  <c r="Q37" i="30" s="1"/>
  <c r="Q23" i="25"/>
  <c r="Q23" i="33"/>
  <c r="Q24" i="28"/>
  <c r="Q37" i="28" s="1"/>
  <c r="Q24" i="32"/>
  <c r="Q37" i="32" s="1"/>
  <c r="Q24" i="20"/>
  <c r="Q37" i="20" s="1"/>
  <c r="Q24" i="33"/>
  <c r="Q37" i="33" s="1"/>
  <c r="Q24" i="27"/>
  <c r="Q37" i="27" s="1"/>
  <c r="Q24" i="21"/>
  <c r="Q37" i="21" s="1"/>
  <c r="Q24" i="29"/>
  <c r="Q37" i="29" s="1"/>
  <c r="Q23" i="29"/>
  <c r="Q23" i="23"/>
  <c r="Q24" i="25"/>
  <c r="Q37" i="25" s="1"/>
  <c r="Q23" i="1"/>
  <c r="Q24" i="35"/>
  <c r="Q37" i="35" s="1"/>
  <c r="Q23" i="35"/>
  <c r="Q24" i="31"/>
  <c r="Q37" i="31" s="1"/>
  <c r="Q23" i="26"/>
  <c r="Q23" i="27"/>
  <c r="Q24" i="26"/>
  <c r="Q37" i="26" s="1"/>
  <c r="H24" i="35"/>
  <c r="H37" i="35" s="1"/>
  <c r="H24" i="20"/>
  <c r="H37" i="20" s="1"/>
  <c r="H24" i="30"/>
  <c r="H37" i="30" s="1"/>
  <c r="H23" i="1"/>
  <c r="H24" i="26"/>
  <c r="H37" i="26" s="1"/>
  <c r="H24" i="33"/>
  <c r="H37" i="33" s="1"/>
  <c r="H24" i="28"/>
  <c r="H37" i="28" s="1"/>
  <c r="H24" i="32"/>
  <c r="H37" i="32" s="1"/>
  <c r="H24" i="24"/>
  <c r="H37" i="24" s="1"/>
  <c r="H24" i="23"/>
  <c r="H37" i="23" s="1"/>
  <c r="H23" i="20"/>
  <c r="H23" i="24"/>
  <c r="H24" i="31"/>
  <c r="H37" i="31" s="1"/>
  <c r="H24" i="34"/>
  <c r="H37" i="34" s="1"/>
  <c r="H24" i="27"/>
  <c r="H37" i="27" s="1"/>
  <c r="H24" i="21"/>
  <c r="H37" i="21" s="1"/>
  <c r="H24" i="29"/>
  <c r="H37" i="29" s="1"/>
  <c r="H23" i="27"/>
  <c r="H23" i="23"/>
  <c r="H23" i="25"/>
  <c r="H24" i="25"/>
  <c r="H37" i="25" s="1"/>
  <c r="AL24" i="32"/>
  <c r="AL37" i="32" s="1"/>
  <c r="AL24" i="28"/>
  <c r="AL37" i="28" s="1"/>
  <c r="AL24" i="27"/>
  <c r="AL37" i="27" s="1"/>
  <c r="AL23" i="20"/>
  <c r="AL24" i="26"/>
  <c r="AL37" i="26" s="1"/>
  <c r="AL24" i="31"/>
  <c r="AL37" i="31" s="1"/>
  <c r="AL24" i="23"/>
  <c r="AL37" i="23" s="1"/>
  <c r="AL23" i="21"/>
  <c r="AL24" i="34"/>
  <c r="AL37" i="34" s="1"/>
  <c r="AL24" i="20"/>
  <c r="AL37" i="20" s="1"/>
  <c r="AL24" i="33"/>
  <c r="AL37" i="33" s="1"/>
  <c r="AL24" i="25"/>
  <c r="AL37" i="25" s="1"/>
  <c r="AL24" i="30"/>
  <c r="AL37" i="30" s="1"/>
  <c r="AL23" i="1"/>
  <c r="AL24" i="21"/>
  <c r="AL37" i="21" s="1"/>
  <c r="AL24" i="24"/>
  <c r="AL37" i="24" s="1"/>
  <c r="AL24" i="29"/>
  <c r="AL37" i="29" s="1"/>
  <c r="AL24" i="35"/>
  <c r="AL37" i="35" s="1"/>
  <c r="AL23" i="32"/>
  <c r="K24" i="34"/>
  <c r="K37" i="34" s="1"/>
  <c r="K24" i="26"/>
  <c r="K37" i="26" s="1"/>
  <c r="K24" i="28"/>
  <c r="K37" i="28" s="1"/>
  <c r="K23" i="1"/>
  <c r="K24" i="31"/>
  <c r="K37" i="31" s="1"/>
  <c r="K23" i="27"/>
  <c r="K23" i="20"/>
  <c r="K24" i="30"/>
  <c r="K37" i="30" s="1"/>
  <c r="K24" i="20"/>
  <c r="K37" i="20" s="1"/>
  <c r="K24" i="29"/>
  <c r="K37" i="29" s="1"/>
  <c r="K24" i="24"/>
  <c r="K37" i="24" s="1"/>
  <c r="K24" i="21"/>
  <c r="K37" i="21" s="1"/>
  <c r="K24" i="23"/>
  <c r="K37" i="23" s="1"/>
  <c r="K24" i="32"/>
  <c r="K37" i="32" s="1"/>
  <c r="K24" i="35"/>
  <c r="K37" i="35" s="1"/>
  <c r="K23" i="35"/>
  <c r="K24" i="33"/>
  <c r="K37" i="33" s="1"/>
  <c r="K24" i="25"/>
  <c r="K37" i="25" s="1"/>
  <c r="K24" i="27"/>
  <c r="K37" i="27" s="1"/>
  <c r="K23" i="24"/>
  <c r="K23" i="26"/>
  <c r="T24" i="35"/>
  <c r="T37" i="35" s="1"/>
  <c r="T24" i="24"/>
  <c r="T37" i="24" s="1"/>
  <c r="T24" i="29"/>
  <c r="T37" i="29" s="1"/>
  <c r="T24" i="31"/>
  <c r="T37" i="31" s="1"/>
  <c r="T24" i="34"/>
  <c r="T37" i="34" s="1"/>
  <c r="T24" i="28"/>
  <c r="T37" i="28" s="1"/>
  <c r="T23" i="1"/>
  <c r="T24" i="25"/>
  <c r="T37" i="25" s="1"/>
  <c r="T24" i="26"/>
  <c r="T37" i="26" s="1"/>
  <c r="T24" i="23"/>
  <c r="T37" i="23" s="1"/>
  <c r="T24" i="32"/>
  <c r="T37" i="32" s="1"/>
  <c r="T23" i="29"/>
  <c r="T24" i="33"/>
  <c r="T37" i="33" s="1"/>
  <c r="T24" i="20"/>
  <c r="T37" i="20" s="1"/>
  <c r="T23" i="24"/>
  <c r="T24" i="21"/>
  <c r="T37" i="21" s="1"/>
  <c r="T24" i="30"/>
  <c r="T37" i="30" s="1"/>
  <c r="T23" i="20"/>
  <c r="T24" i="27"/>
  <c r="T37" i="27" s="1"/>
  <c r="Z24" i="23"/>
  <c r="Z37" i="23" s="1"/>
  <c r="Z24" i="31"/>
  <c r="Z37" i="31" s="1"/>
  <c r="Z24" i="35"/>
  <c r="Z37" i="35" s="1"/>
  <c r="Z24" i="32"/>
  <c r="Z37" i="32" s="1"/>
  <c r="Z24" i="21"/>
  <c r="Z37" i="21" s="1"/>
  <c r="Z24" i="27"/>
  <c r="Z37" i="27" s="1"/>
  <c r="Z24" i="34"/>
  <c r="Z37" i="34" s="1"/>
  <c r="Z24" i="33"/>
  <c r="Z37" i="33" s="1"/>
  <c r="Z24" i="24"/>
  <c r="Z37" i="24" s="1"/>
  <c r="Z23" i="29"/>
  <c r="Z23" i="1"/>
  <c r="Z24" i="30"/>
  <c r="Z37" i="30" s="1"/>
  <c r="Z24" i="20"/>
  <c r="Z37" i="20" s="1"/>
  <c r="Z24" i="26"/>
  <c r="Z37" i="26" s="1"/>
  <c r="Z23" i="30"/>
  <c r="Z24" i="28"/>
  <c r="Z37" i="28" s="1"/>
  <c r="Z23" i="20"/>
  <c r="Z23" i="35"/>
  <c r="Z24" i="29"/>
  <c r="Z37" i="29" s="1"/>
  <c r="Z24" i="25"/>
  <c r="Z37" i="25" s="1"/>
  <c r="AC23" i="23"/>
  <c r="AC23" i="20"/>
  <c r="AC24" i="31"/>
  <c r="AC37" i="31" s="1"/>
  <c r="AC24" i="29"/>
  <c r="AC37" i="29" s="1"/>
  <c r="AC24" i="30"/>
  <c r="AC37" i="30" s="1"/>
  <c r="AC24" i="23"/>
  <c r="AC37" i="23" s="1"/>
  <c r="AC24" i="35"/>
  <c r="AC37" i="35" s="1"/>
  <c r="AC24" i="33"/>
  <c r="AC37" i="33" s="1"/>
  <c r="AC24" i="21"/>
  <c r="AC37" i="21" s="1"/>
  <c r="AC24" i="26"/>
  <c r="AC37" i="26" s="1"/>
  <c r="AC24" i="20"/>
  <c r="AC37" i="20" s="1"/>
  <c r="AC23" i="1"/>
  <c r="AC24" i="34"/>
  <c r="AC37" i="34" s="1"/>
  <c r="AC23" i="25"/>
  <c r="AC24" i="24"/>
  <c r="AC37" i="24" s="1"/>
  <c r="AC24" i="32"/>
  <c r="AC37" i="32" s="1"/>
  <c r="AC24" i="27"/>
  <c r="AC37" i="27" s="1"/>
  <c r="AC24" i="28"/>
  <c r="AC37" i="28" s="1"/>
  <c r="AC24" i="25"/>
  <c r="AC37" i="25" s="1"/>
  <c r="H39" i="27"/>
  <c r="G26" i="27"/>
  <c r="G42" i="27" s="1"/>
  <c r="AK56" i="26"/>
  <c r="AL34" i="26"/>
  <c r="BG9" i="26"/>
  <c r="T39" i="21"/>
  <c r="S26" i="21"/>
  <c r="S42" i="21" s="1"/>
  <c r="AC34" i="23"/>
  <c r="AB56" i="23"/>
  <c r="BG5" i="23"/>
  <c r="N34" i="32"/>
  <c r="M56" i="32"/>
  <c r="BG5" i="32"/>
  <c r="BG15" i="1"/>
  <c r="V56" i="1"/>
  <c r="W34" i="1"/>
  <c r="BG14" i="1"/>
  <c r="AE56" i="1"/>
  <c r="AF34" i="1"/>
  <c r="Y56" i="35"/>
  <c r="BG11" i="35"/>
  <c r="Z34" i="35"/>
  <c r="BG8" i="29"/>
  <c r="N34" i="29"/>
  <c r="M56" i="29"/>
  <c r="AK56" i="20"/>
  <c r="BG11" i="20"/>
  <c r="AL34" i="20"/>
  <c r="AC34" i="21"/>
  <c r="BG5" i="21"/>
  <c r="AB56" i="21"/>
  <c r="BG14" i="29"/>
  <c r="AH56" i="29"/>
  <c r="AI34" i="29"/>
  <c r="AK56" i="28"/>
  <c r="AL34" i="28"/>
  <c r="BG8" i="28"/>
  <c r="N39" i="29"/>
  <c r="M26" i="29"/>
  <c r="M42" i="29" s="1"/>
  <c r="AL39" i="29"/>
  <c r="AK26" i="29"/>
  <c r="AK42" i="29" s="1"/>
  <c r="AI39" i="29"/>
  <c r="AH26" i="29"/>
  <c r="AH42" i="29" s="1"/>
  <c r="T34" i="30"/>
  <c r="BG14" i="30"/>
  <c r="S56" i="30"/>
  <c r="K34" i="30"/>
  <c r="BG4" i="30"/>
  <c r="J56" i="30"/>
  <c r="Z39" i="31"/>
  <c r="Y26" i="31"/>
  <c r="Y42" i="31" s="1"/>
  <c r="N39" i="31"/>
  <c r="M26" i="31"/>
  <c r="M42" i="31" s="1"/>
  <c r="AH56" i="31"/>
  <c r="AI34" i="31"/>
  <c r="BG5" i="31"/>
  <c r="Z39" i="32"/>
  <c r="Y26" i="32"/>
  <c r="Y42" i="32" s="1"/>
  <c r="AU19" i="30"/>
  <c r="AV19" i="30" s="1"/>
  <c r="BG9" i="35"/>
  <c r="M56" i="35"/>
  <c r="N34" i="35"/>
  <c r="BG6" i="28"/>
  <c r="Z34" i="28"/>
  <c r="Y56" i="28"/>
  <c r="AL39" i="30"/>
  <c r="AK26" i="30"/>
  <c r="AK42" i="30" s="1"/>
  <c r="BG4" i="35"/>
  <c r="AN56" i="35"/>
  <c r="AO34" i="35"/>
  <c r="AF34" i="26"/>
  <c r="BG5" i="26"/>
  <c r="AE56" i="26"/>
  <c r="J56" i="20"/>
  <c r="K34" i="20"/>
  <c r="BG10" i="20"/>
  <c r="Y56" i="32"/>
  <c r="Z34" i="32"/>
  <c r="BG12" i="32"/>
  <c r="AE56" i="25"/>
  <c r="BG4" i="25"/>
  <c r="AF34" i="25"/>
  <c r="BG5" i="24"/>
  <c r="N34" i="24"/>
  <c r="M56" i="24"/>
  <c r="BK21" i="16"/>
  <c r="BG6" i="35"/>
  <c r="H34" i="35"/>
  <c r="G56" i="35"/>
  <c r="BG13" i="29"/>
  <c r="V56" i="29"/>
  <c r="W34" i="29"/>
  <c r="AU16" i="38"/>
  <c r="AV16" i="38" s="1"/>
  <c r="P56" i="30"/>
  <c r="BG9" i="30"/>
  <c r="Q34" i="30"/>
  <c r="S56" i="20"/>
  <c r="T34" i="20"/>
  <c r="BG12" i="20"/>
  <c r="AE26" i="34"/>
  <c r="AE42" i="34" s="1"/>
  <c r="AO34" i="1"/>
  <c r="AN56" i="1"/>
  <c r="BG4" i="1"/>
  <c r="V26" i="32"/>
  <c r="V42" i="32" s="1"/>
  <c r="AC34" i="25"/>
  <c r="AB56" i="25"/>
  <c r="BG5" i="25"/>
  <c r="AH56" i="33"/>
  <c r="BG10" i="33"/>
  <c r="AI34" i="33"/>
  <c r="BG10" i="24"/>
  <c r="AC34" i="24"/>
  <c r="AB56" i="24"/>
  <c r="CI21" i="16"/>
  <c r="BN21" i="16"/>
  <c r="CF20" i="16"/>
  <c r="BG14" i="25"/>
  <c r="J56" i="25"/>
  <c r="K34" i="25"/>
  <c r="BG12" i="33"/>
  <c r="Z34" i="33"/>
  <c r="Y56" i="33"/>
  <c r="BW21" i="16"/>
  <c r="BG13" i="35"/>
  <c r="Q34" i="35"/>
  <c r="P56" i="35"/>
  <c r="BG9" i="29"/>
  <c r="Y56" i="29"/>
  <c r="Z34" i="29"/>
  <c r="AU11" i="38"/>
  <c r="AV11" i="38" s="1"/>
  <c r="BG8" i="30"/>
  <c r="AL34" i="30"/>
  <c r="AK56" i="30"/>
  <c r="BA19" i="23"/>
  <c r="H39" i="31"/>
  <c r="G26" i="31"/>
  <c r="G42" i="31" s="1"/>
  <c r="M56" i="1"/>
  <c r="BG6" i="1"/>
  <c r="N34" i="1"/>
  <c r="Q34" i="25"/>
  <c r="BG6" i="25"/>
  <c r="P56" i="25"/>
  <c r="BG13" i="34"/>
  <c r="J56" i="34"/>
  <c r="K34" i="34"/>
  <c r="AK56" i="31"/>
  <c r="BG8" i="31"/>
  <c r="AL34" i="31"/>
  <c r="W34" i="26"/>
  <c r="BG12" i="26"/>
  <c r="V56" i="26"/>
  <c r="AH56" i="30"/>
  <c r="AI34" i="30"/>
  <c r="BG7" i="30"/>
  <c r="AI34" i="28"/>
  <c r="AH56" i="28"/>
  <c r="BG4" i="28"/>
  <c r="BA11" i="21"/>
  <c r="AU11" i="21" s="1"/>
  <c r="AV11" i="21" s="1"/>
  <c r="P26" i="23"/>
  <c r="P42" i="23" s="1"/>
  <c r="BG14" i="34"/>
  <c r="W34" i="34"/>
  <c r="V56" i="34"/>
  <c r="BG7" i="21"/>
  <c r="AL34" i="21"/>
  <c r="AK56" i="21"/>
  <c r="AB26" i="28"/>
  <c r="AB42" i="28" s="1"/>
  <c r="N34" i="31"/>
  <c r="M56" i="31"/>
  <c r="BG12" i="31"/>
  <c r="BG10" i="26"/>
  <c r="AB56" i="26"/>
  <c r="AC34" i="26"/>
  <c r="S26" i="27"/>
  <c r="S42" i="27" s="1"/>
  <c r="Y26" i="24"/>
  <c r="Y42" i="24" s="1"/>
  <c r="J26" i="33"/>
  <c r="J42" i="33" s="1"/>
  <c r="BG12" i="30"/>
  <c r="Z34" i="30"/>
  <c r="Y56" i="30"/>
  <c r="Y56" i="20"/>
  <c r="Z34" i="20"/>
  <c r="BG6" i="20"/>
  <c r="BG11" i="32"/>
  <c r="Q34" i="32"/>
  <c r="P56" i="32"/>
  <c r="AH56" i="1"/>
  <c r="AI34" i="1"/>
  <c r="BG8" i="1"/>
  <c r="K34" i="27"/>
  <c r="BG8" i="27"/>
  <c r="J56" i="27"/>
  <c r="BG9" i="33"/>
  <c r="H34" i="33"/>
  <c r="G56" i="33"/>
  <c r="AF34" i="34"/>
  <c r="BG11" i="34"/>
  <c r="AE56" i="34"/>
  <c r="AL34" i="34"/>
  <c r="BG7" i="34"/>
  <c r="AK56" i="34"/>
  <c r="AU17" i="38"/>
  <c r="AV17" i="38" s="1"/>
  <c r="AU19" i="28"/>
  <c r="AV19" i="28" s="1"/>
  <c r="BA7" i="25"/>
  <c r="BA16" i="29"/>
  <c r="V26" i="1"/>
  <c r="V42" i="1" s="1"/>
  <c r="BA13" i="20"/>
  <c r="AN26" i="28"/>
  <c r="AN42" i="28" s="1"/>
  <c r="AE56" i="31"/>
  <c r="AF34" i="31"/>
  <c r="BG10" i="31"/>
  <c r="BG14" i="31"/>
  <c r="AO34" i="31"/>
  <c r="AN56" i="31"/>
  <c r="BG7" i="29"/>
  <c r="H34" i="29"/>
  <c r="G56" i="29"/>
  <c r="H34" i="26"/>
  <c r="BG6" i="26"/>
  <c r="G56" i="26"/>
  <c r="AE26" i="27"/>
  <c r="AE42" i="27" s="1"/>
  <c r="AU14" i="21"/>
  <c r="AV14" i="21" s="1"/>
  <c r="BA10" i="32"/>
  <c r="AU8" i="38"/>
  <c r="AV8" i="38" s="1"/>
  <c r="BA5" i="1"/>
  <c r="BA12" i="20"/>
  <c r="BG11" i="23"/>
  <c r="H34" i="23"/>
  <c r="G56" i="23"/>
  <c r="T34" i="23"/>
  <c r="S56" i="23"/>
  <c r="BG6" i="23"/>
  <c r="BG15" i="30"/>
  <c r="V56" i="30"/>
  <c r="W34" i="30"/>
  <c r="AU11" i="28"/>
  <c r="AV11" i="28" s="1"/>
  <c r="BA9" i="35"/>
  <c r="AO34" i="20"/>
  <c r="BG4" i="20"/>
  <c r="AN56" i="20"/>
  <c r="M56" i="20"/>
  <c r="BG8" i="20"/>
  <c r="N34" i="20"/>
  <c r="AO34" i="28"/>
  <c r="BG12" i="28"/>
  <c r="AN56" i="28"/>
  <c r="AL39" i="31"/>
  <c r="AK26" i="31"/>
  <c r="AK42" i="31" s="1"/>
  <c r="AU7" i="38"/>
  <c r="AV7" i="38" s="1"/>
  <c r="AU9" i="38"/>
  <c r="AV9" i="38" s="1"/>
  <c r="S26" i="34"/>
  <c r="S42" i="34" s="1"/>
  <c r="Y26" i="34"/>
  <c r="Y42" i="34" s="1"/>
  <c r="AN56" i="32"/>
  <c r="AO34" i="32"/>
  <c r="BG10" i="32"/>
  <c r="AH56" i="32"/>
  <c r="AI34" i="32"/>
  <c r="BG9" i="32"/>
  <c r="BA5" i="35"/>
  <c r="G26" i="32"/>
  <c r="G42" i="32" s="1"/>
  <c r="M26" i="32"/>
  <c r="M42" i="32" s="1"/>
  <c r="BA18" i="20"/>
  <c r="M56" i="36"/>
  <c r="BG5" i="36"/>
  <c r="N34" i="36"/>
  <c r="AU13" i="34"/>
  <c r="AV13" i="34" s="1"/>
  <c r="N34" i="26"/>
  <c r="M56" i="26"/>
  <c r="BG7" i="26"/>
  <c r="V56" i="23"/>
  <c r="W34" i="23"/>
  <c r="BG14" i="23"/>
  <c r="AH56" i="34"/>
  <c r="BG15" i="34"/>
  <c r="AI34" i="34"/>
  <c r="CO20" i="16"/>
  <c r="AE56" i="21"/>
  <c r="BG9" i="21"/>
  <c r="AF34" i="21"/>
  <c r="BA14" i="1"/>
  <c r="AU17" i="1" s="1"/>
  <c r="AV17" i="1" s="1"/>
  <c r="BA13" i="25"/>
  <c r="AK26" i="32"/>
  <c r="AK42" i="32" s="1"/>
  <c r="BA10" i="25"/>
  <c r="AB56" i="35"/>
  <c r="BG10" i="35"/>
  <c r="AC34" i="35"/>
  <c r="N34" i="21"/>
  <c r="BG6" i="21"/>
  <c r="M56" i="21"/>
  <c r="Q34" i="26"/>
  <c r="P56" i="26"/>
  <c r="BG8" i="26"/>
  <c r="AN56" i="30"/>
  <c r="AO34" i="30"/>
  <c r="BG13" i="30"/>
  <c r="BA12" i="24"/>
  <c r="BG7" i="20"/>
  <c r="P56" i="20"/>
  <c r="Q34" i="20"/>
  <c r="AN26" i="35"/>
  <c r="AN42" i="35" s="1"/>
  <c r="M26" i="34"/>
  <c r="M42" i="34" s="1"/>
  <c r="P56" i="1"/>
  <c r="Q34" i="1"/>
  <c r="BG11" i="1"/>
  <c r="S26" i="30"/>
  <c r="S42" i="30" s="1"/>
  <c r="AE26" i="31"/>
  <c r="AE42" i="31" s="1"/>
  <c r="BG14" i="27"/>
  <c r="AH56" i="27"/>
  <c r="AI34" i="27"/>
  <c r="AI34" i="24"/>
  <c r="AH56" i="24"/>
  <c r="BG12" i="24"/>
  <c r="H39" i="23"/>
  <c r="G26" i="23"/>
  <c r="G42" i="23" s="1"/>
  <c r="BG10" i="21"/>
  <c r="Y56" i="21"/>
  <c r="Z34" i="21"/>
  <c r="AE56" i="35"/>
  <c r="BG14" i="35"/>
  <c r="AF34" i="35"/>
  <c r="BG14" i="21"/>
  <c r="J56" i="21"/>
  <c r="K34" i="21"/>
  <c r="J26" i="29"/>
  <c r="J42" i="29" s="1"/>
  <c r="V26" i="21"/>
  <c r="V42" i="21" s="1"/>
  <c r="AN26" i="38"/>
  <c r="AN42" i="38" s="1"/>
  <c r="S26" i="38"/>
  <c r="S42" i="38" s="1"/>
  <c r="H24" i="38"/>
  <c r="H37" i="38" s="1"/>
  <c r="BQ13" i="38"/>
  <c r="G26" i="38"/>
  <c r="G42" i="38" s="1"/>
  <c r="BQ14" i="38"/>
  <c r="BQ4" i="38"/>
  <c r="Y26" i="38"/>
  <c r="Y42" i="38" s="1"/>
  <c r="AH27" i="38"/>
  <c r="N24" i="38"/>
  <c r="N37" i="38" s="1"/>
  <c r="BQ12" i="38"/>
  <c r="AC24" i="38"/>
  <c r="AC37" i="38" s="1"/>
  <c r="BQ9" i="38"/>
  <c r="AE26" i="38"/>
  <c r="AE42" i="38" s="1"/>
  <c r="BQ15" i="38"/>
  <c r="BQ5" i="38"/>
  <c r="BQ11" i="38"/>
  <c r="AF24" i="38"/>
  <c r="AF37" i="38" s="1"/>
  <c r="BQ10" i="38"/>
  <c r="Q24" i="38"/>
  <c r="Q37" i="38" s="1"/>
  <c r="BQ6" i="38"/>
  <c r="BQ7" i="38"/>
  <c r="BQ8" i="38"/>
  <c r="AO24" i="38"/>
  <c r="AO37" i="38" s="1"/>
  <c r="Y27" i="38"/>
  <c r="AH26" i="38"/>
  <c r="AH42" i="38" s="1"/>
  <c r="AL24" i="38"/>
  <c r="AL37" i="38" s="1"/>
  <c r="P26" i="38"/>
  <c r="P42" i="38" s="1"/>
  <c r="Z24" i="38"/>
  <c r="Z37" i="38" s="1"/>
  <c r="K24" i="38"/>
  <c r="K37" i="38" s="1"/>
  <c r="AK26" i="38"/>
  <c r="AK42" i="38" s="1"/>
  <c r="T24" i="38"/>
  <c r="T37" i="38" s="1"/>
  <c r="AI24" i="38"/>
  <c r="AI37" i="38" s="1"/>
  <c r="V26" i="38"/>
  <c r="V42" i="38" s="1"/>
  <c r="J26" i="38"/>
  <c r="J42" i="38" s="1"/>
  <c r="AB26" i="38"/>
  <c r="AB42" i="38" s="1"/>
  <c r="M26" i="38"/>
  <c r="M42" i="38" s="1"/>
  <c r="W24" i="38"/>
  <c r="W37" i="38" s="1"/>
  <c r="AI23" i="38"/>
  <c r="K23" i="38"/>
  <c r="K22" i="38" s="1"/>
  <c r="W23" i="38"/>
  <c r="AO23" i="38"/>
  <c r="H23" i="38"/>
  <c r="H22" i="38" s="1"/>
  <c r="AO22" i="38"/>
  <c r="AE26" i="1"/>
  <c r="AE42" i="1" s="1"/>
  <c r="P26" i="1"/>
  <c r="P42" i="1" s="1"/>
  <c r="AK26" i="28"/>
  <c r="AK42" i="28" s="1"/>
  <c r="BG15" i="31"/>
  <c r="T34" i="31"/>
  <c r="S56" i="31"/>
  <c r="AK56" i="29"/>
  <c r="BG11" i="29"/>
  <c r="AL34" i="29"/>
  <c r="BG5" i="29"/>
  <c r="P56" i="29"/>
  <c r="Q34" i="29"/>
  <c r="BG11" i="26"/>
  <c r="Z34" i="26"/>
  <c r="Y56" i="26"/>
  <c r="M26" i="27"/>
  <c r="M42" i="27" s="1"/>
  <c r="AB26" i="27"/>
  <c r="AB42" i="27" s="1"/>
  <c r="AH26" i="27"/>
  <c r="AH42" i="27" s="1"/>
  <c r="AH56" i="23"/>
  <c r="AI34" i="23"/>
  <c r="BG8" i="23"/>
  <c r="P56" i="23"/>
  <c r="Q34" i="23"/>
  <c r="BG10" i="23"/>
  <c r="AE56" i="30"/>
  <c r="BG11" i="30"/>
  <c r="AF34" i="30"/>
  <c r="AI34" i="20"/>
  <c r="BG13" i="20"/>
  <c r="AH56" i="20"/>
  <c r="AC34" i="28"/>
  <c r="AB56" i="28"/>
  <c r="BG5" i="28"/>
  <c r="J56" i="28"/>
  <c r="K34" i="28"/>
  <c r="BG10" i="28"/>
  <c r="AH26" i="34"/>
  <c r="AH42" i="34" s="1"/>
  <c r="H34" i="1"/>
  <c r="G56" i="1"/>
  <c r="BG7" i="1"/>
  <c r="AN26" i="30"/>
  <c r="AN42" i="30" s="1"/>
  <c r="AN26" i="31"/>
  <c r="AN42" i="31" s="1"/>
  <c r="Y56" i="27"/>
  <c r="Z34" i="27"/>
  <c r="BG6" i="27"/>
  <c r="T34" i="27"/>
  <c r="S56" i="27"/>
  <c r="BG10" i="27"/>
  <c r="H34" i="25"/>
  <c r="G56" i="25"/>
  <c r="BG7" i="25"/>
  <c r="BG5" i="33"/>
  <c r="N34" i="33"/>
  <c r="M56" i="33"/>
  <c r="P56" i="33"/>
  <c r="BG6" i="33"/>
  <c r="Q34" i="33"/>
  <c r="AL34" i="24"/>
  <c r="AK56" i="24"/>
  <c r="BG8" i="24"/>
  <c r="M56" i="34"/>
  <c r="BG6" i="34"/>
  <c r="N34" i="34"/>
  <c r="V56" i="36"/>
  <c r="W34" i="36"/>
  <c r="BG8" i="36"/>
  <c r="BG12" i="27"/>
  <c r="V56" i="27"/>
  <c r="W34" i="27"/>
  <c r="BG9" i="31"/>
  <c r="AC34" i="31"/>
  <c r="AB56" i="31"/>
  <c r="Y26" i="27"/>
  <c r="Y42" i="27" s="1"/>
  <c r="AB56" i="30"/>
  <c r="AC34" i="30"/>
  <c r="BG6" i="30"/>
  <c r="BG7" i="28"/>
  <c r="H34" i="28"/>
  <c r="G56" i="28"/>
  <c r="AC34" i="33"/>
  <c r="AB56" i="33"/>
  <c r="BG7" i="33"/>
  <c r="G56" i="31"/>
  <c r="H34" i="31"/>
  <c r="BG11" i="31"/>
  <c r="AH56" i="26"/>
  <c r="AI34" i="26"/>
  <c r="BG14" i="26"/>
  <c r="K39" i="34"/>
  <c r="J26" i="34"/>
  <c r="J42" i="34" s="1"/>
  <c r="AB56" i="34"/>
  <c r="BG4" i="34"/>
  <c r="AC34" i="34"/>
  <c r="AL34" i="23"/>
  <c r="AK56" i="23"/>
  <c r="BG9" i="23"/>
  <c r="AU8" i="34"/>
  <c r="AV8" i="34" s="1"/>
  <c r="BG7" i="32"/>
  <c r="H34" i="32"/>
  <c r="G56" i="32"/>
  <c r="BG13" i="25"/>
  <c r="T34" i="25"/>
  <c r="S56" i="25"/>
  <c r="AL34" i="33"/>
  <c r="BG8" i="33"/>
  <c r="AK56" i="33"/>
  <c r="AL34" i="35"/>
  <c r="AK56" i="35"/>
  <c r="BG8" i="35"/>
  <c r="T34" i="21"/>
  <c r="S56" i="21"/>
  <c r="BG15" i="21"/>
  <c r="AI34" i="21"/>
  <c r="BG13" i="21"/>
  <c r="AH56" i="21"/>
  <c r="AI34" i="35"/>
  <c r="AH56" i="35"/>
  <c r="BG12" i="35"/>
  <c r="G56" i="21"/>
  <c r="H34" i="21"/>
  <c r="BG8" i="21"/>
  <c r="BA8" i="24"/>
  <c r="Y26" i="29"/>
  <c r="Y42" i="29" s="1"/>
  <c r="BA18" i="1"/>
  <c r="N39" i="30"/>
  <c r="M26" i="30"/>
  <c r="M42" i="30" s="1"/>
  <c r="AH26" i="1"/>
  <c r="AH42" i="1" s="1"/>
  <c r="W34" i="31"/>
  <c r="V56" i="31"/>
  <c r="BG6" i="31"/>
  <c r="AO34" i="29"/>
  <c r="AN56" i="29"/>
  <c r="BG6" i="29"/>
  <c r="BG10" i="29"/>
  <c r="AC34" i="29"/>
  <c r="AB56" i="29"/>
  <c r="AN56" i="26"/>
  <c r="BG13" i="26"/>
  <c r="AO34" i="26"/>
  <c r="BA12" i="29"/>
  <c r="V26" i="27"/>
  <c r="V42" i="27" s="1"/>
  <c r="BA8" i="26"/>
  <c r="S26" i="24"/>
  <c r="S42" i="24" s="1"/>
  <c r="BA5" i="32"/>
  <c r="AU12" i="38"/>
  <c r="AV12" i="38" s="1"/>
  <c r="AU12" i="28"/>
  <c r="AV12" i="28" s="1"/>
  <c r="AU5" i="26"/>
  <c r="AV5" i="26" s="1"/>
  <c r="BA19" i="33"/>
  <c r="AE26" i="33"/>
  <c r="AE42" i="33" s="1"/>
  <c r="AO34" i="23"/>
  <c r="BG7" i="23"/>
  <c r="AN56" i="23"/>
  <c r="BG12" i="23"/>
  <c r="Z34" i="23"/>
  <c r="Y56" i="23"/>
  <c r="G56" i="30"/>
  <c r="H34" i="30"/>
  <c r="BG5" i="30"/>
  <c r="BG9" i="20"/>
  <c r="W34" i="20"/>
  <c r="V56" i="20"/>
  <c r="P56" i="28"/>
  <c r="Q34" i="28"/>
  <c r="BG9" i="28"/>
  <c r="M56" i="28"/>
  <c r="N34" i="28"/>
  <c r="BG11" i="28"/>
  <c r="AK26" i="20"/>
  <c r="AK42" i="20" s="1"/>
  <c r="AK26" i="34"/>
  <c r="AK42" i="34" s="1"/>
  <c r="AL34" i="32"/>
  <c r="BG4" i="32"/>
  <c r="AK56" i="32"/>
  <c r="S56" i="32"/>
  <c r="BG14" i="32"/>
  <c r="T34" i="32"/>
  <c r="AK56" i="1"/>
  <c r="BG9" i="1"/>
  <c r="AL34" i="1"/>
  <c r="J26" i="30"/>
  <c r="J42" i="30" s="1"/>
  <c r="G26" i="30"/>
  <c r="G42" i="30" s="1"/>
  <c r="BA7" i="26"/>
  <c r="BG5" i="27"/>
  <c r="AK56" i="27"/>
  <c r="AL34" i="27"/>
  <c r="AK56" i="25"/>
  <c r="AL34" i="25"/>
  <c r="BG9" i="25"/>
  <c r="AN56" i="25"/>
  <c r="AO34" i="25"/>
  <c r="BG10" i="25"/>
  <c r="BA6" i="32"/>
  <c r="BG11" i="33"/>
  <c r="AE56" i="33"/>
  <c r="AF34" i="33"/>
  <c r="BA6" i="23"/>
  <c r="AU14" i="23" s="1"/>
  <c r="AV14" i="23" s="1"/>
  <c r="AK56" i="36"/>
  <c r="BG12" i="36"/>
  <c r="AL34" i="36"/>
  <c r="Z34" i="25"/>
  <c r="Y56" i="25"/>
  <c r="BG11" i="25"/>
  <c r="BG12" i="21"/>
  <c r="AN56" i="21"/>
  <c r="AO34" i="21"/>
  <c r="BA8" i="30"/>
  <c r="BA9" i="34"/>
  <c r="Y56" i="31"/>
  <c r="Z34" i="31"/>
  <c r="BG7" i="31"/>
  <c r="BA4" i="23"/>
  <c r="AU10" i="23" s="1"/>
  <c r="AV10" i="23" s="1"/>
  <c r="AU15" i="38"/>
  <c r="AV15" i="38" s="1"/>
  <c r="J56" i="1"/>
  <c r="K34" i="1"/>
  <c r="BG12" i="1"/>
  <c r="H34" i="27"/>
  <c r="G56" i="27"/>
  <c r="BG7" i="27"/>
  <c r="BG4" i="21"/>
  <c r="W34" i="21"/>
  <c r="V56" i="21"/>
  <c r="BG13" i="23"/>
  <c r="AE56" i="23"/>
  <c r="AF34" i="23"/>
  <c r="AB56" i="32"/>
  <c r="BG6" i="32"/>
  <c r="AC34" i="32"/>
  <c r="BG10" i="1"/>
  <c r="S56" i="1"/>
  <c r="T34" i="1"/>
  <c r="P26" i="32"/>
  <c r="P42" i="32" s="1"/>
  <c r="AE56" i="27"/>
  <c r="AF34" i="27"/>
  <c r="BG11" i="27"/>
  <c r="BA7" i="35"/>
  <c r="BG4" i="31"/>
  <c r="J56" i="31"/>
  <c r="K34" i="31"/>
  <c r="T34" i="29"/>
  <c r="S56" i="29"/>
  <c r="BG4" i="29"/>
  <c r="BA18" i="23"/>
  <c r="BA15" i="24"/>
  <c r="M26" i="33"/>
  <c r="M42" i="33" s="1"/>
  <c r="W34" i="28"/>
  <c r="V56" i="28"/>
  <c r="BG14" i="28"/>
  <c r="S26" i="20"/>
  <c r="S42" i="20" s="1"/>
  <c r="P26" i="34"/>
  <c r="P42" i="34" s="1"/>
  <c r="AH26" i="32"/>
  <c r="AH42" i="32" s="1"/>
  <c r="BG5" i="35"/>
  <c r="S56" i="35"/>
  <c r="T34" i="35"/>
  <c r="W34" i="35"/>
  <c r="BG7" i="35"/>
  <c r="V56" i="35"/>
  <c r="P56" i="21"/>
  <c r="Q34" i="21"/>
  <c r="BG11" i="21"/>
  <c r="G26" i="29"/>
  <c r="G42" i="29" s="1"/>
  <c r="AU19" i="38"/>
  <c r="AV19" i="38" s="1"/>
  <c r="M26" i="21"/>
  <c r="M42" i="21" s="1"/>
  <c r="Z39" i="30"/>
  <c r="Y26" i="30"/>
  <c r="Y42" i="30" s="1"/>
  <c r="AN26" i="1"/>
  <c r="AN42" i="1" s="1"/>
  <c r="BA9" i="28"/>
  <c r="AU16" i="28" s="1"/>
  <c r="AV16" i="28" s="1"/>
  <c r="V26" i="28"/>
  <c r="V42" i="28" s="1"/>
  <c r="P56" i="31"/>
  <c r="BG13" i="31"/>
  <c r="Q34" i="31"/>
  <c r="AE56" i="29"/>
  <c r="BG15" i="29"/>
  <c r="AF34" i="29"/>
  <c r="BG12" i="29"/>
  <c r="K34" i="29"/>
  <c r="J56" i="29"/>
  <c r="S56" i="26"/>
  <c r="T34" i="26"/>
  <c r="BG4" i="26"/>
  <c r="AN26" i="27"/>
  <c r="AN42" i="27" s="1"/>
  <c r="AK26" i="27"/>
  <c r="AK42" i="27" s="1"/>
  <c r="AF39" i="32"/>
  <c r="AE26" i="32"/>
  <c r="AE42" i="32" s="1"/>
  <c r="AU17" i="20"/>
  <c r="AV17" i="20" s="1"/>
  <c r="BA7" i="23"/>
  <c r="AB26" i="33"/>
  <c r="AB42" i="33" s="1"/>
  <c r="M56" i="23"/>
  <c r="N34" i="23"/>
  <c r="BG4" i="23"/>
  <c r="BA9" i="20"/>
  <c r="AU19" i="21"/>
  <c r="AV19" i="21" s="1"/>
  <c r="BG10" i="30"/>
  <c r="M56" i="30"/>
  <c r="N34" i="30"/>
  <c r="BA13" i="24"/>
  <c r="BG5" i="20"/>
  <c r="H34" i="20"/>
  <c r="G56" i="20"/>
  <c r="BG15" i="28"/>
  <c r="T34" i="28"/>
  <c r="S56" i="28"/>
  <c r="BG13" i="28"/>
  <c r="AF34" i="28"/>
  <c r="AE56" i="28"/>
  <c r="G26" i="20"/>
  <c r="G42" i="20" s="1"/>
  <c r="AB26" i="20"/>
  <c r="AB42" i="20" s="1"/>
  <c r="AB26" i="34"/>
  <c r="AB42" i="34" s="1"/>
  <c r="BG8" i="32"/>
  <c r="W34" i="32"/>
  <c r="V56" i="32"/>
  <c r="AU15" i="28"/>
  <c r="AV15" i="28" s="1"/>
  <c r="Z34" i="1"/>
  <c r="Y56" i="1"/>
  <c r="BG5" i="1"/>
  <c r="P26" i="30"/>
  <c r="P42" i="30" s="1"/>
  <c r="AE26" i="30"/>
  <c r="AE42" i="30" s="1"/>
  <c r="V26" i="31"/>
  <c r="V42" i="31" s="1"/>
  <c r="AB26" i="31"/>
  <c r="AB42" i="31" s="1"/>
  <c r="S26" i="31"/>
  <c r="S42" i="31" s="1"/>
  <c r="M56" i="27"/>
  <c r="BG9" i="27"/>
  <c r="N34" i="27"/>
  <c r="W34" i="25"/>
  <c r="V56" i="25"/>
  <c r="BG12" i="25"/>
  <c r="BG8" i="25"/>
  <c r="N34" i="25"/>
  <c r="M56" i="25"/>
  <c r="AK26" i="23"/>
  <c r="AK42" i="23" s="1"/>
  <c r="BG14" i="33"/>
  <c r="AN56" i="33"/>
  <c r="AO34" i="33"/>
  <c r="K34" i="24"/>
  <c r="J56" i="24"/>
  <c r="BG9" i="24"/>
  <c r="Z34" i="24"/>
  <c r="Y56" i="24"/>
  <c r="BG7" i="24"/>
  <c r="H34" i="34"/>
  <c r="G56" i="34"/>
  <c r="BG10" i="34"/>
  <c r="BA5" i="30"/>
  <c r="AU10" i="30" s="1"/>
  <c r="AV10" i="30" s="1"/>
  <c r="BA11" i="24"/>
  <c r="K34" i="32"/>
  <c r="BG15" i="32"/>
  <c r="J56" i="32"/>
  <c r="AF34" i="32"/>
  <c r="BG13" i="32"/>
  <c r="AE56" i="32"/>
  <c r="AC34" i="1"/>
  <c r="AB56" i="1"/>
  <c r="BG13" i="1"/>
  <c r="AU13" i="38"/>
  <c r="AV13" i="38" s="1"/>
  <c r="P56" i="27"/>
  <c r="BG4" i="27"/>
  <c r="Q34" i="27"/>
  <c r="AN56" i="27"/>
  <c r="AO34" i="27"/>
  <c r="BG13" i="27"/>
  <c r="AI34" i="25"/>
  <c r="BG15" i="25"/>
  <c r="AH56" i="25"/>
  <c r="AE26" i="23"/>
  <c r="AE42" i="23" s="1"/>
  <c r="BG4" i="33"/>
  <c r="T34" i="33"/>
  <c r="S56" i="33"/>
  <c r="BG13" i="33"/>
  <c r="V56" i="33"/>
  <c r="W34" i="33"/>
  <c r="BA5" i="25"/>
  <c r="G56" i="24"/>
  <c r="BG6" i="24"/>
  <c r="H34" i="24"/>
  <c r="AN56" i="34"/>
  <c r="AO34" i="34"/>
  <c r="BG5" i="34"/>
  <c r="Q34" i="34"/>
  <c r="BG9" i="34"/>
  <c r="P56" i="34"/>
  <c r="AU16" i="21"/>
  <c r="AV16" i="21" s="1"/>
  <c r="P56" i="36"/>
  <c r="BG6" i="36"/>
  <c r="Q34" i="36"/>
  <c r="BG10" i="36"/>
  <c r="AB56" i="36"/>
  <c r="AC34" i="36"/>
  <c r="CR21" i="16"/>
  <c r="BW20" i="16"/>
  <c r="CC20" i="16"/>
  <c r="H34" i="36"/>
  <c r="G56" i="36"/>
  <c r="BG4" i="36"/>
  <c r="S56" i="36"/>
  <c r="BG7" i="36"/>
  <c r="T34" i="36"/>
  <c r="BZ21" i="16"/>
  <c r="BN20" i="16"/>
  <c r="CI20" i="16"/>
  <c r="AN56" i="24"/>
  <c r="BG14" i="24"/>
  <c r="AO34" i="24"/>
  <c r="Q34" i="24"/>
  <c r="P56" i="24"/>
  <c r="BG4" i="24"/>
  <c r="Z34" i="34"/>
  <c r="BG8" i="34"/>
  <c r="Y56" i="34"/>
  <c r="BA15" i="36"/>
  <c r="AU15" i="36" s="1"/>
  <c r="AV15" i="36" s="1"/>
  <c r="BA8" i="29"/>
  <c r="AU5" i="38"/>
  <c r="AV5" i="38" s="1"/>
  <c r="AU4" i="38"/>
  <c r="AU18" i="38"/>
  <c r="AV18" i="38" s="1"/>
  <c r="AN56" i="36"/>
  <c r="AO34" i="36"/>
  <c r="BG13" i="36"/>
  <c r="AH56" i="36"/>
  <c r="AI34" i="36"/>
  <c r="BG11" i="36"/>
  <c r="AU14" i="38"/>
  <c r="AV14" i="38" s="1"/>
  <c r="BT21" i="16"/>
  <c r="CF21" i="16"/>
  <c r="CR20" i="16"/>
  <c r="CL20" i="16"/>
  <c r="BA6" i="24"/>
  <c r="BA13" i="28"/>
  <c r="BG11" i="24"/>
  <c r="AF34" i="24"/>
  <c r="AE56" i="24"/>
  <c r="S56" i="24"/>
  <c r="BG13" i="24"/>
  <c r="T34" i="24"/>
  <c r="T34" i="34"/>
  <c r="BG12" i="34"/>
  <c r="S56" i="34"/>
  <c r="AU6" i="34"/>
  <c r="AV6" i="34" s="1"/>
  <c r="BA9" i="31"/>
  <c r="BA16" i="27"/>
  <c r="AU16" i="27" s="1"/>
  <c r="AV16" i="27" s="1"/>
  <c r="BA11" i="33"/>
  <c r="Y56" i="36"/>
  <c r="Z34" i="36"/>
  <c r="BG9" i="36"/>
  <c r="AU6" i="38"/>
  <c r="AV6" i="38" s="1"/>
  <c r="BQ21" i="16"/>
  <c r="CL21" i="16"/>
  <c r="CO21" i="16"/>
  <c r="BQ20" i="16"/>
  <c r="AR3" i="36"/>
  <c r="AV33" i="16"/>
  <c r="Y22" i="16"/>
  <c r="CE22" i="16" s="1"/>
  <c r="R22" i="16"/>
  <c r="BX42" i="16" s="1"/>
  <c r="AN22" i="16"/>
  <c r="CT22" i="16" s="1"/>
  <c r="AV36" i="16"/>
  <c r="AV43" i="16"/>
  <c r="P22" i="16"/>
  <c r="BV22" i="16" s="1"/>
  <c r="I22" i="16"/>
  <c r="BO42" i="16" s="1"/>
  <c r="AV38" i="16"/>
  <c r="L22" i="16"/>
  <c r="BR42" i="16" s="1"/>
  <c r="U22" i="16"/>
  <c r="CA42" i="16" s="1"/>
  <c r="AH22" i="16"/>
  <c r="CN22" i="16" s="1"/>
  <c r="AD22" i="16"/>
  <c r="CJ42" i="16" s="1"/>
  <c r="S22" i="16"/>
  <c r="BY22" i="16" s="1"/>
  <c r="N22" i="16" s="1"/>
  <c r="M22" i="16"/>
  <c r="BS22" i="16" s="1"/>
  <c r="V22" i="16"/>
  <c r="CB22" i="16" s="1"/>
  <c r="AQ3" i="16"/>
  <c r="AV41" i="16"/>
  <c r="AV39" i="16"/>
  <c r="AE22" i="16"/>
  <c r="CK22" i="16" s="1"/>
  <c r="F22" i="16"/>
  <c r="BL42" i="16" s="1"/>
  <c r="AV40" i="16"/>
  <c r="G22" i="16"/>
  <c r="BM22" i="16" s="1"/>
  <c r="AK22" i="16"/>
  <c r="CQ22" i="16" s="1"/>
  <c r="O22" i="16"/>
  <c r="BU42" i="16" s="1"/>
  <c r="AV37" i="16"/>
  <c r="AB22" i="16"/>
  <c r="CH22" i="16" s="1"/>
  <c r="AV35" i="16"/>
  <c r="AA22" i="16"/>
  <c r="CG42" i="16" s="1"/>
  <c r="AM22" i="16"/>
  <c r="CS42" i="16" s="1"/>
  <c r="J22" i="16"/>
  <c r="BP22" i="16" s="1"/>
  <c r="B2" i="16"/>
  <c r="AV34" i="16"/>
  <c r="AJ22" i="16"/>
  <c r="CP42" i="16" s="1"/>
  <c r="AV42" i="16"/>
  <c r="AG22" i="16"/>
  <c r="CM42" i="16" s="1"/>
  <c r="AV44" i="16"/>
  <c r="X22" i="16"/>
  <c r="CD42" i="16" s="1"/>
  <c r="I23" i="16"/>
  <c r="AH23" i="16"/>
  <c r="F23" i="16"/>
  <c r="M23" i="16"/>
  <c r="U23" i="16"/>
  <c r="AD23" i="16"/>
  <c r="X23" i="16"/>
  <c r="AJ23" i="16"/>
  <c r="AU19" i="27" l="1"/>
  <c r="AV19" i="27" s="1"/>
  <c r="AU15" i="25"/>
  <c r="AV15" i="25" s="1"/>
  <c r="AM23" i="16"/>
  <c r="AU9" i="20"/>
  <c r="AV9" i="20" s="1"/>
  <c r="AU7" i="25"/>
  <c r="AV7" i="25" s="1"/>
  <c r="AU15" i="32"/>
  <c r="AV15" i="32" s="1"/>
  <c r="AO23" i="31"/>
  <c r="AO36" i="31" s="1"/>
  <c r="R23" i="16"/>
  <c r="Q22" i="16"/>
  <c r="AU13" i="28"/>
  <c r="AV13" i="28" s="1"/>
  <c r="AU13" i="27"/>
  <c r="AV13" i="27" s="1"/>
  <c r="AU9" i="34"/>
  <c r="AV9" i="34" s="1"/>
  <c r="AF23" i="38"/>
  <c r="AF22" i="38" s="1"/>
  <c r="AF35" i="38" s="1"/>
  <c r="K23" i="21"/>
  <c r="K36" i="21" s="1"/>
  <c r="K23" i="25"/>
  <c r="K36" i="25" s="1"/>
  <c r="AL23" i="33"/>
  <c r="AL22" i="33" s="1"/>
  <c r="AL23" i="28"/>
  <c r="H23" i="29"/>
  <c r="AO23" i="29"/>
  <c r="AF23" i="24"/>
  <c r="W23" i="28"/>
  <c r="BL13" i="28" s="1"/>
  <c r="N23" i="27"/>
  <c r="BL4" i="27" s="1"/>
  <c r="AU13" i="36"/>
  <c r="AV13" i="36" s="1"/>
  <c r="AU15" i="24"/>
  <c r="AV15" i="24" s="1"/>
  <c r="AU7" i="1"/>
  <c r="AV7" i="1" s="1"/>
  <c r="T23" i="32"/>
  <c r="T23" i="25"/>
  <c r="AI23" i="24"/>
  <c r="AO23" i="26"/>
  <c r="BL8" i="26" s="1"/>
  <c r="AU9" i="31"/>
  <c r="AV9" i="31" s="1"/>
  <c r="AC23" i="34"/>
  <c r="BL13" i="34" s="1"/>
  <c r="AL23" i="29"/>
  <c r="AL22" i="29" s="1"/>
  <c r="AU8" i="25"/>
  <c r="AV8" i="25" s="1"/>
  <c r="Z23" i="33"/>
  <c r="T23" i="30"/>
  <c r="AI23" i="27"/>
  <c r="S23" i="16"/>
  <c r="AE23" i="16"/>
  <c r="AU12" i="27"/>
  <c r="AV12" i="27" s="1"/>
  <c r="AU11" i="20"/>
  <c r="AV11" i="20" s="1"/>
  <c r="AU8" i="30"/>
  <c r="AV8" i="30" s="1"/>
  <c r="AN23" i="16"/>
  <c r="AB23" i="16"/>
  <c r="K22" i="16"/>
  <c r="AU9" i="25"/>
  <c r="AV9" i="25" s="1"/>
  <c r="AU10" i="26"/>
  <c r="AV10" i="26" s="1"/>
  <c r="AU7" i="28"/>
  <c r="AV7" i="28" s="1"/>
  <c r="AU12" i="26"/>
  <c r="AV12" i="26" s="1"/>
  <c r="AU7" i="26"/>
  <c r="AV7" i="26" s="1"/>
  <c r="AU19" i="20"/>
  <c r="AV19" i="20" s="1"/>
  <c r="AU7" i="36"/>
  <c r="AV7" i="36" s="1"/>
  <c r="AC23" i="35"/>
  <c r="AC23" i="28"/>
  <c r="BL14" i="28" s="1"/>
  <c r="Z23" i="25"/>
  <c r="Z36" i="25" s="1"/>
  <c r="T23" i="28"/>
  <c r="T36" i="28" s="1"/>
  <c r="K23" i="34"/>
  <c r="K22" i="34" s="1"/>
  <c r="AI23" i="33"/>
  <c r="N23" i="32"/>
  <c r="N23" i="35"/>
  <c r="AF23" i="25"/>
  <c r="W23" i="27"/>
  <c r="W22" i="27" s="1"/>
  <c r="H23" i="28"/>
  <c r="H36" i="28" s="1"/>
  <c r="AG23" i="16"/>
  <c r="AU14" i="27"/>
  <c r="AV14" i="27" s="1"/>
  <c r="AU5" i="35"/>
  <c r="AV5" i="35" s="1"/>
  <c r="AA23" i="16"/>
  <c r="AL22" i="16"/>
  <c r="AU4" i="29"/>
  <c r="AU7" i="23"/>
  <c r="AV7" i="23" s="1"/>
  <c r="AU4" i="20"/>
  <c r="AV4" i="20" s="1"/>
  <c r="AU19" i="32"/>
  <c r="AV19" i="32" s="1"/>
  <c r="AU19" i="33"/>
  <c r="AV19" i="33" s="1"/>
  <c r="AU12" i="29"/>
  <c r="AV12" i="29" s="1"/>
  <c r="AU18" i="1"/>
  <c r="AV18" i="1" s="1"/>
  <c r="AU6" i="36"/>
  <c r="AV6" i="36" s="1"/>
  <c r="AU10" i="32"/>
  <c r="AV10" i="32" s="1"/>
  <c r="AC23" i="21"/>
  <c r="AL23" i="26"/>
  <c r="AL22" i="26" s="1"/>
  <c r="H23" i="21"/>
  <c r="H22" i="21" s="1"/>
  <c r="Q23" i="34"/>
  <c r="BL6" i="34" s="1"/>
  <c r="Q23" i="32"/>
  <c r="N23" i="29"/>
  <c r="AF23" i="27"/>
  <c r="W23" i="30"/>
  <c r="H35" i="38"/>
  <c r="BK4" i="38"/>
  <c r="BA33" i="16"/>
  <c r="BB33" i="16" s="1"/>
  <c r="AY33" i="16"/>
  <c r="AZ33" i="16" s="1"/>
  <c r="BA35" i="16"/>
  <c r="BB35" i="16" s="1"/>
  <c r="AY35" i="16"/>
  <c r="BA34" i="16"/>
  <c r="BB34" i="16" s="1"/>
  <c r="AY34" i="16"/>
  <c r="AZ34" i="16" s="1"/>
  <c r="AV4" i="29"/>
  <c r="AE54" i="24"/>
  <c r="AE53" i="24"/>
  <c r="AE55" i="24"/>
  <c r="AE52" i="24" s="1"/>
  <c r="AE21" i="24" s="1"/>
  <c r="AN55" i="29"/>
  <c r="AN52" i="29" s="1"/>
  <c r="AN21" i="29" s="1"/>
  <c r="AN53" i="29"/>
  <c r="AN54" i="29"/>
  <c r="AU4" i="33"/>
  <c r="AN55" i="30"/>
  <c r="AN52" i="30" s="1"/>
  <c r="AN21" i="30" s="1"/>
  <c r="AN54" i="30"/>
  <c r="AN53" i="30"/>
  <c r="S53" i="23"/>
  <c r="S55" i="23"/>
  <c r="S52" i="23" s="1"/>
  <c r="S21" i="23" s="1"/>
  <c r="S54" i="23"/>
  <c r="Y55" i="20"/>
  <c r="Y52" i="20" s="1"/>
  <c r="Y21" i="20" s="1"/>
  <c r="Y53" i="20"/>
  <c r="Y54" i="20"/>
  <c r="AH54" i="30"/>
  <c r="AH55" i="30"/>
  <c r="AH52" i="30" s="1"/>
  <c r="AH21" i="30" s="1"/>
  <c r="AH53" i="30"/>
  <c r="P55" i="35"/>
  <c r="P52" i="35" s="1"/>
  <c r="P21" i="35" s="1"/>
  <c r="P54" i="35"/>
  <c r="P53" i="35"/>
  <c r="AU5" i="29"/>
  <c r="AV5" i="29" s="1"/>
  <c r="AB55" i="21"/>
  <c r="AB52" i="21" s="1"/>
  <c r="AB21" i="21" s="1"/>
  <c r="AB54" i="21"/>
  <c r="AB53" i="21"/>
  <c r="Y53" i="35"/>
  <c r="Y55" i="35"/>
  <c r="Y52" i="35" s="1"/>
  <c r="Y21" i="35" s="1"/>
  <c r="Y54" i="35"/>
  <c r="T22" i="24"/>
  <c r="T36" i="24"/>
  <c r="BL10" i="24"/>
  <c r="K36" i="35"/>
  <c r="BL15" i="35"/>
  <c r="K22" i="35"/>
  <c r="BL6" i="26"/>
  <c r="Q36" i="26"/>
  <c r="Q22" i="26"/>
  <c r="N36" i="29"/>
  <c r="BL4" i="29"/>
  <c r="N22" i="29"/>
  <c r="AO36" i="25"/>
  <c r="BL4" i="25"/>
  <c r="AO22" i="25"/>
  <c r="AF36" i="25"/>
  <c r="BL14" i="25"/>
  <c r="AF22" i="25"/>
  <c r="W22" i="28"/>
  <c r="AB55" i="36"/>
  <c r="AB52" i="36" s="1"/>
  <c r="AB21" i="36" s="1"/>
  <c r="BE10" i="36" s="1"/>
  <c r="AB53" i="36"/>
  <c r="AB54" i="36"/>
  <c r="S55" i="33"/>
  <c r="S52" i="33" s="1"/>
  <c r="S21" i="33" s="1"/>
  <c r="S53" i="33"/>
  <c r="S54" i="33"/>
  <c r="AU9" i="1"/>
  <c r="AV9" i="1" s="1"/>
  <c r="AB53" i="31"/>
  <c r="AB55" i="31"/>
  <c r="AB52" i="31" s="1"/>
  <c r="AB21" i="31" s="1"/>
  <c r="AB54" i="31"/>
  <c r="P54" i="29"/>
  <c r="P55" i="29"/>
  <c r="P52" i="29" s="1"/>
  <c r="P21" i="29" s="1"/>
  <c r="P53" i="29"/>
  <c r="AH54" i="1"/>
  <c r="AH53" i="1"/>
  <c r="AH55" i="1"/>
  <c r="AH52" i="1" s="1"/>
  <c r="AH21" i="1" s="1"/>
  <c r="Y53" i="30"/>
  <c r="Y54" i="30"/>
  <c r="Y55" i="30"/>
  <c r="Y52" i="30" s="1"/>
  <c r="Y21" i="30" s="1"/>
  <c r="AU14" i="31"/>
  <c r="AV14" i="31" s="1"/>
  <c r="AC22" i="35"/>
  <c r="BL12" i="35"/>
  <c r="AC36" i="35"/>
  <c r="BL7" i="29"/>
  <c r="Z36" i="29"/>
  <c r="Z22" i="29"/>
  <c r="T36" i="25"/>
  <c r="BL11" i="25"/>
  <c r="T22" i="25"/>
  <c r="BL6" i="23"/>
  <c r="H36" i="23"/>
  <c r="H22" i="23"/>
  <c r="AI36" i="24"/>
  <c r="BL11" i="24"/>
  <c r="AI22" i="24"/>
  <c r="AI22" i="33"/>
  <c r="AI36" i="33"/>
  <c r="BL10" i="33"/>
  <c r="N36" i="1"/>
  <c r="BL6" i="1"/>
  <c r="N22" i="1"/>
  <c r="AF36" i="27"/>
  <c r="BL11" i="27"/>
  <c r="AF22" i="27"/>
  <c r="AC22" i="16"/>
  <c r="AB26" i="36"/>
  <c r="AB42" i="36" s="1"/>
  <c r="BQ13" i="36"/>
  <c r="AE26" i="36"/>
  <c r="AE42" i="36" s="1"/>
  <c r="Q24" i="36"/>
  <c r="Q37" i="36" s="1"/>
  <c r="G26" i="36"/>
  <c r="G42" i="36" s="1"/>
  <c r="AH27" i="36"/>
  <c r="AH26" i="36"/>
  <c r="AH42" i="36" s="1"/>
  <c r="BQ14" i="36"/>
  <c r="S26" i="36"/>
  <c r="S42" i="36" s="1"/>
  <c r="BQ10" i="36"/>
  <c r="BQ4" i="36"/>
  <c r="V26" i="36"/>
  <c r="V42" i="36" s="1"/>
  <c r="AL24" i="36"/>
  <c r="AL37" i="36" s="1"/>
  <c r="BQ11" i="36"/>
  <c r="T24" i="36"/>
  <c r="T37" i="36" s="1"/>
  <c r="P26" i="36"/>
  <c r="P42" i="36" s="1"/>
  <c r="Y26" i="36"/>
  <c r="Y42" i="36" s="1"/>
  <c r="AO24" i="36"/>
  <c r="AO37" i="36" s="1"/>
  <c r="K24" i="36"/>
  <c r="K37" i="36" s="1"/>
  <c r="BQ8" i="36"/>
  <c r="Z24" i="36"/>
  <c r="Z37" i="36" s="1"/>
  <c r="BQ7" i="36"/>
  <c r="AK26" i="36"/>
  <c r="AK42" i="36" s="1"/>
  <c r="Y27" i="36"/>
  <c r="AI24" i="36"/>
  <c r="AI37" i="36" s="1"/>
  <c r="H24" i="36"/>
  <c r="H37" i="36" s="1"/>
  <c r="BQ9" i="36"/>
  <c r="M26" i="36"/>
  <c r="M42" i="36" s="1"/>
  <c r="J26" i="36"/>
  <c r="J42" i="36" s="1"/>
  <c r="BQ12" i="36"/>
  <c r="BQ5" i="36"/>
  <c r="AC24" i="36"/>
  <c r="AC37" i="36" s="1"/>
  <c r="AF24" i="36"/>
  <c r="AF37" i="36" s="1"/>
  <c r="BQ15" i="36"/>
  <c r="AN26" i="36"/>
  <c r="AN42" i="36" s="1"/>
  <c r="N24" i="36"/>
  <c r="N37" i="36" s="1"/>
  <c r="W24" i="36"/>
  <c r="W37" i="36" s="1"/>
  <c r="BQ6" i="36"/>
  <c r="AO23" i="36"/>
  <c r="AO22" i="36" s="1"/>
  <c r="N23" i="36"/>
  <c r="N22" i="36" s="1"/>
  <c r="Q23" i="36"/>
  <c r="Q22" i="36" s="1"/>
  <c r="AF23" i="36"/>
  <c r="AF22" i="36" s="1"/>
  <c r="H23" i="36"/>
  <c r="H22" i="36" s="1"/>
  <c r="AU8" i="31"/>
  <c r="AV8" i="31" s="1"/>
  <c r="AN54" i="27"/>
  <c r="AN53" i="27"/>
  <c r="AN55" i="27"/>
  <c r="AN52" i="27" s="1"/>
  <c r="AN21" i="27" s="1"/>
  <c r="AE53" i="29"/>
  <c r="AE54" i="29"/>
  <c r="AE55" i="29"/>
  <c r="AE52" i="29" s="1"/>
  <c r="AE21" i="29" s="1"/>
  <c r="AU9" i="23"/>
  <c r="AV9" i="23" s="1"/>
  <c r="V55" i="21"/>
  <c r="V52" i="21" s="1"/>
  <c r="V21" i="21" s="1"/>
  <c r="V53" i="21"/>
  <c r="V54" i="21"/>
  <c r="AN55" i="25"/>
  <c r="AN52" i="25" s="1"/>
  <c r="AN21" i="25" s="1"/>
  <c r="AN53" i="25"/>
  <c r="AN54" i="25"/>
  <c r="AN55" i="23"/>
  <c r="AN52" i="23" s="1"/>
  <c r="AN21" i="23" s="1"/>
  <c r="AN54" i="23"/>
  <c r="AN53" i="23"/>
  <c r="AB53" i="34"/>
  <c r="AB54" i="34"/>
  <c r="AB55" i="34"/>
  <c r="AB52" i="34" s="1"/>
  <c r="AB21" i="34" s="1"/>
  <c r="AU11" i="34"/>
  <c r="AV11" i="34" s="1"/>
  <c r="AU14" i="34"/>
  <c r="AV14" i="34" s="1"/>
  <c r="BK15" i="38"/>
  <c r="AO35" i="38"/>
  <c r="V55" i="23"/>
  <c r="V52" i="23" s="1"/>
  <c r="V21" i="23" s="1"/>
  <c r="V53" i="23"/>
  <c r="V54" i="23"/>
  <c r="AE54" i="1"/>
  <c r="AE53" i="1"/>
  <c r="AE55" i="1"/>
  <c r="AE52" i="1" s="1"/>
  <c r="AE21" i="1" s="1"/>
  <c r="AL23" i="27"/>
  <c r="H22" i="24"/>
  <c r="H36" i="24"/>
  <c r="BL7" i="24"/>
  <c r="AO22" i="26"/>
  <c r="V23" i="16"/>
  <c r="AU9" i="33"/>
  <c r="AV9" i="33" s="1"/>
  <c r="Y55" i="34"/>
  <c r="Y52" i="34" s="1"/>
  <c r="Y21" i="34" s="1"/>
  <c r="Y53" i="34"/>
  <c r="Y54" i="34"/>
  <c r="J55" i="24"/>
  <c r="J52" i="24" s="1"/>
  <c r="J21" i="24" s="1"/>
  <c r="J53" i="24"/>
  <c r="J54" i="24"/>
  <c r="AE53" i="33"/>
  <c r="AE54" i="33"/>
  <c r="AE55" i="33"/>
  <c r="AE52" i="33" s="1"/>
  <c r="AE21" i="33" s="1"/>
  <c r="AN53" i="26"/>
  <c r="AN55" i="26"/>
  <c r="AN52" i="26" s="1"/>
  <c r="AN21" i="26" s="1"/>
  <c r="AN54" i="26"/>
  <c r="AH54" i="21"/>
  <c r="AH53" i="21"/>
  <c r="AH55" i="21"/>
  <c r="AH52" i="21" s="1"/>
  <c r="AH21" i="21" s="1"/>
  <c r="AU12" i="30"/>
  <c r="AV12" i="30" s="1"/>
  <c r="AU4" i="34"/>
  <c r="AL23" i="38"/>
  <c r="AU6" i="28"/>
  <c r="AV6" i="28" s="1"/>
  <c r="AE53" i="31"/>
  <c r="AE54" i="31"/>
  <c r="AE55" i="31"/>
  <c r="AE52" i="31" s="1"/>
  <c r="AE21" i="31" s="1"/>
  <c r="AU6" i="21"/>
  <c r="AV6" i="21" s="1"/>
  <c r="AU4" i="26"/>
  <c r="Z23" i="21"/>
  <c r="BL10" i="29"/>
  <c r="T36" i="29"/>
  <c r="T22" i="29"/>
  <c r="K23" i="28"/>
  <c r="K36" i="20"/>
  <c r="BL10" i="20"/>
  <c r="K22" i="20"/>
  <c r="AL23" i="23"/>
  <c r="BL5" i="20"/>
  <c r="H36" i="20"/>
  <c r="H22" i="20"/>
  <c r="Q36" i="33"/>
  <c r="BL6" i="33"/>
  <c r="Q22" i="33"/>
  <c r="AI23" i="32"/>
  <c r="AO22" i="33"/>
  <c r="BL9" i="33"/>
  <c r="AO36" i="33"/>
  <c r="BL4" i="1"/>
  <c r="AO36" i="1"/>
  <c r="AO22" i="1"/>
  <c r="AO23" i="21"/>
  <c r="AF23" i="32"/>
  <c r="W23" i="26"/>
  <c r="AI22" i="16"/>
  <c r="T22" i="16"/>
  <c r="G23" i="16"/>
  <c r="W22" i="16"/>
  <c r="AU11" i="33"/>
  <c r="AV11" i="33" s="1"/>
  <c r="AU6" i="24"/>
  <c r="AV6" i="24" s="1"/>
  <c r="AH54" i="36"/>
  <c r="AH55" i="36"/>
  <c r="AH52" i="36" s="1"/>
  <c r="AH21" i="36" s="1"/>
  <c r="BE11" i="36" s="1"/>
  <c r="AH53" i="36"/>
  <c r="AU8" i="21"/>
  <c r="AV8" i="21" s="1"/>
  <c r="S53" i="36"/>
  <c r="S58" i="36" s="1"/>
  <c r="S55" i="36"/>
  <c r="S52" i="36" s="1"/>
  <c r="S21" i="36" s="1"/>
  <c r="BE7" i="36" s="1"/>
  <c r="S54" i="36"/>
  <c r="P55" i="34"/>
  <c r="P52" i="34" s="1"/>
  <c r="P21" i="34" s="1"/>
  <c r="P54" i="34"/>
  <c r="P53" i="34"/>
  <c r="G53" i="24"/>
  <c r="G54" i="24"/>
  <c r="G55" i="24"/>
  <c r="G52" i="24" s="1"/>
  <c r="G21" i="24" s="1"/>
  <c r="AB54" i="1"/>
  <c r="AB55" i="1"/>
  <c r="AB52" i="1" s="1"/>
  <c r="AB21" i="1" s="1"/>
  <c r="AB53" i="1"/>
  <c r="AE53" i="28"/>
  <c r="AE55" i="28"/>
  <c r="AE52" i="28" s="1"/>
  <c r="AE21" i="28" s="1"/>
  <c r="AE54" i="28"/>
  <c r="S55" i="26"/>
  <c r="S52" i="26" s="1"/>
  <c r="S21" i="26" s="1"/>
  <c r="S54" i="26"/>
  <c r="S53" i="26"/>
  <c r="AU15" i="33"/>
  <c r="AV15" i="33" s="1"/>
  <c r="AU18" i="23"/>
  <c r="AV18" i="23" s="1"/>
  <c r="AE53" i="27"/>
  <c r="AE55" i="27"/>
  <c r="AE52" i="27" s="1"/>
  <c r="AE21" i="27" s="1"/>
  <c r="AE54" i="27"/>
  <c r="AU8" i="20"/>
  <c r="AV8" i="20" s="1"/>
  <c r="AU5" i="23"/>
  <c r="AV5" i="23" s="1"/>
  <c r="AU4" i="23"/>
  <c r="AU11" i="32"/>
  <c r="AV11" i="32" s="1"/>
  <c r="S53" i="32"/>
  <c r="S55" i="32"/>
  <c r="S52" i="32" s="1"/>
  <c r="S21" i="32" s="1"/>
  <c r="S54" i="32"/>
  <c r="AU5" i="28"/>
  <c r="AV5" i="28" s="1"/>
  <c r="AU8" i="26"/>
  <c r="AV8" i="26" s="1"/>
  <c r="AB55" i="29"/>
  <c r="AB52" i="29" s="1"/>
  <c r="AB21" i="29" s="1"/>
  <c r="AB53" i="29"/>
  <c r="AB54" i="29"/>
  <c r="AU13" i="31"/>
  <c r="AV13" i="31" s="1"/>
  <c r="G54" i="32"/>
  <c r="G55" i="32"/>
  <c r="G52" i="32" s="1"/>
  <c r="G21" i="32" s="1"/>
  <c r="G53" i="32"/>
  <c r="F46" i="31"/>
  <c r="AB54" i="30"/>
  <c r="AB53" i="30"/>
  <c r="AB55" i="30"/>
  <c r="AB52" i="30" s="1"/>
  <c r="AB21" i="30" s="1"/>
  <c r="AU13" i="26"/>
  <c r="AV13" i="26" s="1"/>
  <c r="AU9" i="29"/>
  <c r="AV9" i="29" s="1"/>
  <c r="AU11" i="27"/>
  <c r="AV11" i="27" s="1"/>
  <c r="N23" i="38"/>
  <c r="Z23" i="38"/>
  <c r="J53" i="21"/>
  <c r="J54" i="21"/>
  <c r="J55" i="21"/>
  <c r="J52" i="21" s="1"/>
  <c r="J21" i="21" s="1"/>
  <c r="AU13" i="35"/>
  <c r="AV13" i="35" s="1"/>
  <c r="AU13" i="33"/>
  <c r="AV13" i="33" s="1"/>
  <c r="P54" i="26"/>
  <c r="P53" i="26"/>
  <c r="P55" i="26"/>
  <c r="P52" i="26" s="1"/>
  <c r="P21" i="26" s="1"/>
  <c r="AB55" i="35"/>
  <c r="AB52" i="35" s="1"/>
  <c r="AB21" i="35" s="1"/>
  <c r="AB53" i="35"/>
  <c r="AB54" i="35"/>
  <c r="AU9" i="26"/>
  <c r="AV9" i="26" s="1"/>
  <c r="M55" i="36"/>
  <c r="M52" i="36" s="1"/>
  <c r="M21" i="36" s="1"/>
  <c r="BE5" i="36" s="1"/>
  <c r="M53" i="36"/>
  <c r="M54" i="36"/>
  <c r="M54" i="20"/>
  <c r="M53" i="20"/>
  <c r="M55" i="20"/>
  <c r="M52" i="20" s="1"/>
  <c r="M21" i="20" s="1"/>
  <c r="V55" i="30"/>
  <c r="V52" i="30" s="1"/>
  <c r="V21" i="30" s="1"/>
  <c r="V53" i="30"/>
  <c r="V54" i="30"/>
  <c r="AU16" i="1"/>
  <c r="AV16" i="1" s="1"/>
  <c r="AU8" i="28"/>
  <c r="AV8" i="28" s="1"/>
  <c r="F46" i="29"/>
  <c r="AU12" i="21"/>
  <c r="AV12" i="21" s="1"/>
  <c r="AU11" i="29"/>
  <c r="AV11" i="29" s="1"/>
  <c r="AU8" i="35"/>
  <c r="AV8" i="35" s="1"/>
  <c r="AH54" i="28"/>
  <c r="AH55" i="28"/>
  <c r="AH52" i="28" s="1"/>
  <c r="AH21" i="28" s="1"/>
  <c r="AH53" i="28"/>
  <c r="V55" i="26"/>
  <c r="V52" i="26" s="1"/>
  <c r="V21" i="26" s="1"/>
  <c r="V54" i="26"/>
  <c r="V53" i="26"/>
  <c r="AU19" i="24"/>
  <c r="AV19" i="24" s="1"/>
  <c r="AK54" i="30"/>
  <c r="AK53" i="30"/>
  <c r="AK55" i="30"/>
  <c r="AK52" i="30" s="1"/>
  <c r="AK21" i="30" s="1"/>
  <c r="AU7" i="27"/>
  <c r="AV7" i="27" s="1"/>
  <c r="AE55" i="26"/>
  <c r="AE52" i="26" s="1"/>
  <c r="AE21" i="26" s="1"/>
  <c r="AE54" i="26"/>
  <c r="AE53" i="26"/>
  <c r="AU17" i="35"/>
  <c r="AV17" i="35" s="1"/>
  <c r="AU10" i="20"/>
  <c r="AV10" i="20" s="1"/>
  <c r="AU8" i="23"/>
  <c r="AV8" i="23" s="1"/>
  <c r="AC23" i="24"/>
  <c r="AC23" i="27"/>
  <c r="Z23" i="24"/>
  <c r="Z23" i="34"/>
  <c r="T23" i="33"/>
  <c r="T23" i="27"/>
  <c r="K23" i="32"/>
  <c r="K23" i="33"/>
  <c r="AL23" i="24"/>
  <c r="AL23" i="34"/>
  <c r="H23" i="31"/>
  <c r="H23" i="34"/>
  <c r="H23" i="30"/>
  <c r="BL11" i="1"/>
  <c r="Q36" i="1"/>
  <c r="Q22" i="1"/>
  <c r="Q23" i="30"/>
  <c r="AI23" i="21"/>
  <c r="AI23" i="31"/>
  <c r="N23" i="34"/>
  <c r="N36" i="26"/>
  <c r="BL4" i="26"/>
  <c r="N22" i="26"/>
  <c r="AO23" i="35"/>
  <c r="AO23" i="28"/>
  <c r="AO23" i="24"/>
  <c r="AF23" i="28"/>
  <c r="AF23" i="23"/>
  <c r="BL14" i="32"/>
  <c r="W36" i="32"/>
  <c r="W22" i="32"/>
  <c r="W36" i="20"/>
  <c r="BL9" i="20"/>
  <c r="W22" i="20"/>
  <c r="Y54" i="24"/>
  <c r="Y55" i="24"/>
  <c r="Y52" i="24" s="1"/>
  <c r="Y21" i="24" s="1"/>
  <c r="Y53" i="24"/>
  <c r="AE53" i="35"/>
  <c r="AE54" i="35"/>
  <c r="AE55" i="35"/>
  <c r="AE52" i="35" s="1"/>
  <c r="AE21" i="35" s="1"/>
  <c r="AU17" i="31"/>
  <c r="AV17" i="31" s="1"/>
  <c r="AU12" i="1"/>
  <c r="AV12" i="1" s="1"/>
  <c r="AN54" i="35"/>
  <c r="AN53" i="35"/>
  <c r="AN55" i="35"/>
  <c r="AN52" i="35" s="1"/>
  <c r="AN21" i="35" s="1"/>
  <c r="AC23" i="30"/>
  <c r="K36" i="1"/>
  <c r="BL12" i="1"/>
  <c r="K22" i="1"/>
  <c r="AL36" i="29"/>
  <c r="BL7" i="23"/>
  <c r="Q36" i="23"/>
  <c r="Q22" i="23"/>
  <c r="N22" i="25"/>
  <c r="N36" i="25"/>
  <c r="BL5" i="25"/>
  <c r="BL15" i="21"/>
  <c r="AF36" i="21"/>
  <c r="AF22" i="21"/>
  <c r="H22" i="16"/>
  <c r="AU8" i="29"/>
  <c r="AV8" i="29" s="1"/>
  <c r="AU12" i="23"/>
  <c r="AV12" i="23" s="1"/>
  <c r="AU10" i="31"/>
  <c r="AV10" i="31" s="1"/>
  <c r="Y54" i="25"/>
  <c r="Y55" i="25"/>
  <c r="Y52" i="25" s="1"/>
  <c r="Y21" i="25" s="1"/>
  <c r="Y53" i="25"/>
  <c r="K35" i="38"/>
  <c r="BK5" i="38"/>
  <c r="AH53" i="34"/>
  <c r="AH54" i="34"/>
  <c r="AH55" i="34"/>
  <c r="AH52" i="34" s="1"/>
  <c r="AH21" i="34" s="1"/>
  <c r="AU18" i="35"/>
  <c r="AV18" i="35" s="1"/>
  <c r="J53" i="20"/>
  <c r="J55" i="20"/>
  <c r="J52" i="20" s="1"/>
  <c r="J21" i="20" s="1"/>
  <c r="J54" i="20"/>
  <c r="AK54" i="26"/>
  <c r="AK55" i="26"/>
  <c r="AK52" i="26" s="1"/>
  <c r="AK21" i="26" s="1"/>
  <c r="AK53" i="26"/>
  <c r="AC22" i="23"/>
  <c r="BL12" i="23"/>
  <c r="AC36" i="23"/>
  <c r="BL15" i="26"/>
  <c r="K36" i="26"/>
  <c r="K22" i="26"/>
  <c r="H36" i="21"/>
  <c r="BL6" i="21"/>
  <c r="BL4" i="20"/>
  <c r="AO36" i="20"/>
  <c r="AO22" i="20"/>
  <c r="W36" i="33"/>
  <c r="BL14" i="33"/>
  <c r="W22" i="33"/>
  <c r="Y54" i="36"/>
  <c r="Y53" i="36"/>
  <c r="Y55" i="36"/>
  <c r="Y52" i="36" s="1"/>
  <c r="Y21" i="36" s="1"/>
  <c r="BE9" i="36" s="1"/>
  <c r="F46" i="24"/>
  <c r="V21" i="24"/>
  <c r="BE15" i="24" s="1"/>
  <c r="AU9" i="21"/>
  <c r="AV9" i="21" s="1"/>
  <c r="M54" i="27"/>
  <c r="M55" i="27"/>
  <c r="M52" i="27" s="1"/>
  <c r="M21" i="27" s="1"/>
  <c r="M53" i="27"/>
  <c r="G55" i="20"/>
  <c r="G52" i="20" s="1"/>
  <c r="G21" i="20" s="1"/>
  <c r="G53" i="20"/>
  <c r="G54" i="20"/>
  <c r="P54" i="21"/>
  <c r="P55" i="21"/>
  <c r="P52" i="21" s="1"/>
  <c r="P21" i="21" s="1"/>
  <c r="P53" i="21"/>
  <c r="AB21" i="27"/>
  <c r="BE15" i="27" s="1"/>
  <c r="F46" i="27"/>
  <c r="AU7" i="33"/>
  <c r="AV7" i="33" s="1"/>
  <c r="AU4" i="32"/>
  <c r="AU7" i="34"/>
  <c r="AV7" i="34" s="1"/>
  <c r="AH54" i="24"/>
  <c r="AH53" i="24"/>
  <c r="AH55" i="24"/>
  <c r="AH52" i="24" s="1"/>
  <c r="AH21" i="24" s="1"/>
  <c r="G54" i="23"/>
  <c r="G53" i="23"/>
  <c r="G55" i="23"/>
  <c r="G52" i="23" s="1"/>
  <c r="G21" i="23" s="1"/>
  <c r="J21" i="26"/>
  <c r="BE15" i="26" s="1"/>
  <c r="F46" i="26"/>
  <c r="P54" i="32"/>
  <c r="P53" i="32"/>
  <c r="P55" i="32"/>
  <c r="P52" i="32" s="1"/>
  <c r="P21" i="32" s="1"/>
  <c r="AU19" i="31"/>
  <c r="AV19" i="31" s="1"/>
  <c r="AU12" i="31"/>
  <c r="AV12" i="31" s="1"/>
  <c r="AU5" i="34"/>
  <c r="AV5" i="34" s="1"/>
  <c r="K36" i="24"/>
  <c r="BL15" i="24"/>
  <c r="K22" i="24"/>
  <c r="AI36" i="34"/>
  <c r="BL10" i="34"/>
  <c r="AI22" i="34"/>
  <c r="N23" i="24"/>
  <c r="BL13" i="29"/>
  <c r="W36" i="29"/>
  <c r="W22" i="29"/>
  <c r="AU18" i="34"/>
  <c r="AV18" i="34" s="1"/>
  <c r="AU9" i="36"/>
  <c r="AV9" i="36" s="1"/>
  <c r="F46" i="20"/>
  <c r="AE21" i="20"/>
  <c r="BE15" i="20" s="1"/>
  <c r="AB21" i="20"/>
  <c r="BE14" i="20" s="1"/>
  <c r="AU7" i="24"/>
  <c r="AV7" i="24" s="1"/>
  <c r="AU15" i="1"/>
  <c r="AV15" i="1" s="1"/>
  <c r="AU12" i="25"/>
  <c r="AV12" i="25" s="1"/>
  <c r="V53" i="31"/>
  <c r="V54" i="31"/>
  <c r="V55" i="31"/>
  <c r="V52" i="31" s="1"/>
  <c r="V21" i="31" s="1"/>
  <c r="AU14" i="33"/>
  <c r="AV14" i="33" s="1"/>
  <c r="AU12" i="36"/>
  <c r="AV12" i="36" s="1"/>
  <c r="AU6" i="20"/>
  <c r="AV6" i="20" s="1"/>
  <c r="BL15" i="38"/>
  <c r="AO36" i="38"/>
  <c r="P54" i="20"/>
  <c r="P55" i="20"/>
  <c r="P52" i="20" s="1"/>
  <c r="P21" i="20" s="1"/>
  <c r="P53" i="20"/>
  <c r="AU18" i="20"/>
  <c r="AV18" i="20" s="1"/>
  <c r="AU10" i="35"/>
  <c r="AV10" i="35" s="1"/>
  <c r="AU8" i="36"/>
  <c r="AV8" i="36" s="1"/>
  <c r="S55" i="20"/>
  <c r="S52" i="20" s="1"/>
  <c r="S21" i="20" s="1"/>
  <c r="S54" i="20"/>
  <c r="S53" i="20"/>
  <c r="AU7" i="20"/>
  <c r="AV7" i="20" s="1"/>
  <c r="AU15" i="35"/>
  <c r="AV15" i="35" s="1"/>
  <c r="BL10" i="25"/>
  <c r="AC36" i="25"/>
  <c r="AC22" i="25"/>
  <c r="Z23" i="27"/>
  <c r="AU19" i="35"/>
  <c r="AV19" i="35" s="1"/>
  <c r="AU10" i="1"/>
  <c r="AV10" i="1" s="1"/>
  <c r="P53" i="36"/>
  <c r="P55" i="36"/>
  <c r="P52" i="36" s="1"/>
  <c r="P21" i="36" s="1"/>
  <c r="BE6" i="36" s="1"/>
  <c r="P54" i="36"/>
  <c r="AU5" i="25"/>
  <c r="AV5" i="25" s="1"/>
  <c r="AU4" i="25"/>
  <c r="AU6" i="25"/>
  <c r="AV6" i="25" s="1"/>
  <c r="G53" i="34"/>
  <c r="G54" i="34"/>
  <c r="G55" i="34"/>
  <c r="G52" i="34" s="1"/>
  <c r="G21" i="34" s="1"/>
  <c r="Y53" i="1"/>
  <c r="Y54" i="1"/>
  <c r="Y55" i="1"/>
  <c r="Y52" i="1" s="1"/>
  <c r="Y21" i="1" s="1"/>
  <c r="M53" i="23"/>
  <c r="M54" i="23"/>
  <c r="M55" i="23"/>
  <c r="M52" i="23" s="1"/>
  <c r="M21" i="23" s="1"/>
  <c r="P54" i="31"/>
  <c r="P53" i="31"/>
  <c r="P55" i="31"/>
  <c r="P52" i="31" s="1"/>
  <c r="P21" i="31" s="1"/>
  <c r="AU18" i="27"/>
  <c r="AV18" i="27" s="1"/>
  <c r="F46" i="30"/>
  <c r="AU8" i="1"/>
  <c r="AV8" i="1" s="1"/>
  <c r="AU11" i="25"/>
  <c r="AV11" i="25" s="1"/>
  <c r="F46" i="21"/>
  <c r="AK54" i="33"/>
  <c r="AK53" i="33"/>
  <c r="AK55" i="33"/>
  <c r="AK52" i="33" s="1"/>
  <c r="AK21" i="33" s="1"/>
  <c r="F46" i="32"/>
  <c r="AB54" i="33"/>
  <c r="AB53" i="33"/>
  <c r="AB55" i="33"/>
  <c r="AB52" i="33" s="1"/>
  <c r="AB21" i="33" s="1"/>
  <c r="AU18" i="21"/>
  <c r="AV18" i="21" s="1"/>
  <c r="V54" i="36"/>
  <c r="V55" i="36"/>
  <c r="V52" i="36" s="1"/>
  <c r="V21" i="36" s="1"/>
  <c r="BE8" i="36" s="1"/>
  <c r="V53" i="36"/>
  <c r="Y55" i="27"/>
  <c r="Y52" i="27" s="1"/>
  <c r="Y21" i="27" s="1"/>
  <c r="Y53" i="27"/>
  <c r="Y54" i="27"/>
  <c r="G55" i="1"/>
  <c r="G52" i="1" s="1"/>
  <c r="G21" i="1" s="1"/>
  <c r="G53" i="1"/>
  <c r="G54" i="1"/>
  <c r="AU19" i="26"/>
  <c r="AV19" i="26" s="1"/>
  <c r="AU4" i="27"/>
  <c r="Y55" i="26"/>
  <c r="Y52" i="26" s="1"/>
  <c r="Y21" i="26" s="1"/>
  <c r="Y54" i="26"/>
  <c r="Y53" i="26"/>
  <c r="AK55" i="29"/>
  <c r="AK52" i="29" s="1"/>
  <c r="AK21" i="29" s="1"/>
  <c r="AK53" i="29"/>
  <c r="AK54" i="29"/>
  <c r="AU16" i="30"/>
  <c r="AV16" i="30" s="1"/>
  <c r="W22" i="38"/>
  <c r="BL9" i="38"/>
  <c r="W36" i="38"/>
  <c r="AI22" i="38"/>
  <c r="BL13" i="38"/>
  <c r="AI36" i="38"/>
  <c r="AU11" i="26"/>
  <c r="AV11" i="26" s="1"/>
  <c r="AU16" i="23"/>
  <c r="AV16" i="23" s="1"/>
  <c r="AU12" i="24"/>
  <c r="AV12" i="24" s="1"/>
  <c r="AU13" i="30"/>
  <c r="AV13" i="30" s="1"/>
  <c r="AE54" i="21"/>
  <c r="AE53" i="21"/>
  <c r="AE55" i="21"/>
  <c r="AE52" i="21" s="1"/>
  <c r="AE21" i="21" s="1"/>
  <c r="M55" i="26"/>
  <c r="M52" i="26" s="1"/>
  <c r="M21" i="26" s="1"/>
  <c r="M53" i="26"/>
  <c r="M54" i="26"/>
  <c r="AN54" i="20"/>
  <c r="AN53" i="20"/>
  <c r="AN55" i="20"/>
  <c r="AN52" i="20" s="1"/>
  <c r="AN21" i="20" s="1"/>
  <c r="AU7" i="29"/>
  <c r="AV7" i="29" s="1"/>
  <c r="AU16" i="31"/>
  <c r="AV16" i="31" s="1"/>
  <c r="AU13" i="20"/>
  <c r="AV13" i="20" s="1"/>
  <c r="AU16" i="29"/>
  <c r="AV16" i="29" s="1"/>
  <c r="AU10" i="34"/>
  <c r="AV10" i="34" s="1"/>
  <c r="AU17" i="36"/>
  <c r="AV17" i="36" s="1"/>
  <c r="V54" i="34"/>
  <c r="V55" i="34"/>
  <c r="V52" i="34" s="1"/>
  <c r="V21" i="34" s="1"/>
  <c r="V53" i="34"/>
  <c r="Y55" i="33"/>
  <c r="Y52" i="33" s="1"/>
  <c r="Y21" i="33" s="1"/>
  <c r="Y54" i="33"/>
  <c r="Y53" i="33"/>
  <c r="AN53" i="1"/>
  <c r="AN55" i="1"/>
  <c r="AN52" i="1" s="1"/>
  <c r="AN21" i="1" s="1"/>
  <c r="AN54" i="1"/>
  <c r="G54" i="35"/>
  <c r="G53" i="35"/>
  <c r="G55" i="35"/>
  <c r="G52" i="35" s="1"/>
  <c r="G21" i="35" s="1"/>
  <c r="AU16" i="20"/>
  <c r="AV16" i="20" s="1"/>
  <c r="AU14" i="24"/>
  <c r="AV14" i="24" s="1"/>
  <c r="S53" i="30"/>
  <c r="S58" i="30" s="1"/>
  <c r="S55" i="30"/>
  <c r="S52" i="30" s="1"/>
  <c r="S21" i="30" s="1"/>
  <c r="S54" i="30"/>
  <c r="V53" i="1"/>
  <c r="V54" i="1"/>
  <c r="V55" i="1"/>
  <c r="V52" i="1" s="1"/>
  <c r="V21" i="1" s="1"/>
  <c r="AB55" i="23"/>
  <c r="AB52" i="23" s="1"/>
  <c r="AB21" i="23" s="1"/>
  <c r="AB54" i="23"/>
  <c r="AB53" i="23"/>
  <c r="AC23" i="29"/>
  <c r="AC36" i="1"/>
  <c r="BL13" i="1"/>
  <c r="AC22" i="1"/>
  <c r="Z36" i="35"/>
  <c r="BL8" i="35"/>
  <c r="Z22" i="35"/>
  <c r="Z23" i="23"/>
  <c r="T23" i="34"/>
  <c r="BL10" i="1"/>
  <c r="T36" i="1"/>
  <c r="T22" i="1"/>
  <c r="T23" i="21"/>
  <c r="K23" i="23"/>
  <c r="K23" i="30"/>
  <c r="K36" i="27"/>
  <c r="BL14" i="27"/>
  <c r="K22" i="27"/>
  <c r="AL23" i="25"/>
  <c r="AL23" i="35"/>
  <c r="AL36" i="26"/>
  <c r="BL9" i="26"/>
  <c r="H23" i="32"/>
  <c r="Q23" i="28"/>
  <c r="Q23" i="24"/>
  <c r="Q23" i="31"/>
  <c r="AI36" i="20"/>
  <c r="BL13" i="20"/>
  <c r="AI22" i="20"/>
  <c r="AI23" i="23"/>
  <c r="N36" i="32"/>
  <c r="BL4" i="32"/>
  <c r="N22" i="32"/>
  <c r="N36" i="20"/>
  <c r="BL8" i="20"/>
  <c r="N22" i="20"/>
  <c r="AO23" i="30"/>
  <c r="BL14" i="1"/>
  <c r="AF36" i="1"/>
  <c r="AF22" i="1"/>
  <c r="AF23" i="33"/>
  <c r="BL10" i="23"/>
  <c r="W36" i="23"/>
  <c r="W22" i="23"/>
  <c r="W23" i="35"/>
  <c r="W23" i="21"/>
  <c r="AH53" i="35"/>
  <c r="AH54" i="35"/>
  <c r="AH55" i="35"/>
  <c r="AH52" i="35" s="1"/>
  <c r="AH21" i="35" s="1"/>
  <c r="S53" i="25"/>
  <c r="S55" i="25"/>
  <c r="S52" i="25" s="1"/>
  <c r="S21" i="25" s="1"/>
  <c r="S54" i="25"/>
  <c r="F46" i="28"/>
  <c r="AK53" i="24"/>
  <c r="AK54" i="24"/>
  <c r="AK55" i="24"/>
  <c r="AK52" i="24" s="1"/>
  <c r="AK21" i="24" s="1"/>
  <c r="AB54" i="28"/>
  <c r="AB55" i="28"/>
  <c r="AB52" i="28" s="1"/>
  <c r="AB21" i="28" s="1"/>
  <c r="AB53" i="28"/>
  <c r="AF36" i="38"/>
  <c r="BL12" i="38"/>
  <c r="F46" i="33"/>
  <c r="J21" i="33"/>
  <c r="BE15" i="33" s="1"/>
  <c r="P54" i="25"/>
  <c r="P55" i="25"/>
  <c r="P52" i="25" s="1"/>
  <c r="P21" i="25" s="1"/>
  <c r="P53" i="25"/>
  <c r="AK54" i="20"/>
  <c r="AK55" i="20"/>
  <c r="AK52" i="20" s="1"/>
  <c r="AK21" i="20" s="1"/>
  <c r="AK53" i="20"/>
  <c r="BL10" i="21"/>
  <c r="AL36" i="21"/>
  <c r="AL22" i="21"/>
  <c r="Q36" i="32"/>
  <c r="BL6" i="32"/>
  <c r="Q22" i="32"/>
  <c r="BL12" i="27"/>
  <c r="AI36" i="27"/>
  <c r="AI22" i="27"/>
  <c r="BL4" i="31"/>
  <c r="N36" i="31"/>
  <c r="N22" i="31"/>
  <c r="J54" i="32"/>
  <c r="J55" i="32"/>
  <c r="J52" i="32" s="1"/>
  <c r="J21" i="32" s="1"/>
  <c r="J53" i="32"/>
  <c r="AU15" i="29"/>
  <c r="AV15" i="29" s="1"/>
  <c r="AU5" i="32"/>
  <c r="AV5" i="32" s="1"/>
  <c r="AU9" i="32"/>
  <c r="AV9" i="32" s="1"/>
  <c r="AU16" i="35"/>
  <c r="AV16" i="35" s="1"/>
  <c r="AU15" i="31"/>
  <c r="AV15" i="31" s="1"/>
  <c r="AU12" i="34"/>
  <c r="AV12" i="34" s="1"/>
  <c r="AE55" i="30"/>
  <c r="AE52" i="30" s="1"/>
  <c r="AE21" i="30" s="1"/>
  <c r="AE53" i="30"/>
  <c r="AE54" i="30"/>
  <c r="AU10" i="33"/>
  <c r="AV10" i="33" s="1"/>
  <c r="AE54" i="34"/>
  <c r="AE55" i="34"/>
  <c r="AE52" i="34" s="1"/>
  <c r="AE21" i="34" s="1"/>
  <c r="AE53" i="34"/>
  <c r="AE58" i="34" s="1"/>
  <c r="AK54" i="31"/>
  <c r="AK53" i="31"/>
  <c r="AK55" i="31"/>
  <c r="AK52" i="31" s="1"/>
  <c r="AK21" i="31" s="1"/>
  <c r="AU15" i="23"/>
  <c r="AV15" i="23" s="1"/>
  <c r="Z36" i="30"/>
  <c r="BL7" i="30"/>
  <c r="Z22" i="30"/>
  <c r="Q36" i="29"/>
  <c r="BL5" i="29"/>
  <c r="Q22" i="29"/>
  <c r="AI23" i="26"/>
  <c r="AF36" i="20"/>
  <c r="BL15" i="20"/>
  <c r="AF22" i="20"/>
  <c r="S54" i="34"/>
  <c r="S55" i="34"/>
  <c r="S52" i="34" s="1"/>
  <c r="S21" i="34" s="1"/>
  <c r="S53" i="34"/>
  <c r="AU14" i="25"/>
  <c r="AV14" i="25" s="1"/>
  <c r="AU4" i="24"/>
  <c r="AU4" i="21"/>
  <c r="AH55" i="20"/>
  <c r="AH52" i="20" s="1"/>
  <c r="AH21" i="20" s="1"/>
  <c r="AH53" i="20"/>
  <c r="AH54" i="20"/>
  <c r="K36" i="38"/>
  <c r="BL5" i="38"/>
  <c r="J53" i="27"/>
  <c r="J54" i="27"/>
  <c r="J55" i="27"/>
  <c r="J52" i="27" s="1"/>
  <c r="J21" i="27" s="1"/>
  <c r="AK54" i="21"/>
  <c r="AK55" i="21"/>
  <c r="AK52" i="21" s="1"/>
  <c r="AK21" i="21" s="1"/>
  <c r="AK53" i="21"/>
  <c r="AU7" i="31"/>
  <c r="AV7" i="31" s="1"/>
  <c r="J55" i="30"/>
  <c r="J52" i="30" s="1"/>
  <c r="J21" i="30" s="1"/>
  <c r="J53" i="30"/>
  <c r="J54" i="30"/>
  <c r="H22" i="28"/>
  <c r="Q36" i="35"/>
  <c r="BL7" i="35"/>
  <c r="Q22" i="35"/>
  <c r="BL4" i="23"/>
  <c r="N36" i="23"/>
  <c r="N22" i="23"/>
  <c r="BL12" i="34"/>
  <c r="AF36" i="34"/>
  <c r="AF22" i="34"/>
  <c r="BL15" i="1"/>
  <c r="W36" i="1"/>
  <c r="W22" i="1"/>
  <c r="AF22" i="16"/>
  <c r="AN55" i="36"/>
  <c r="AN52" i="36" s="1"/>
  <c r="AN21" i="36" s="1"/>
  <c r="BE13" i="36" s="1"/>
  <c r="AN54" i="36"/>
  <c r="AN53" i="36"/>
  <c r="AU9" i="28"/>
  <c r="AV9" i="28" s="1"/>
  <c r="AB53" i="32"/>
  <c r="AB55" i="32"/>
  <c r="AB52" i="32" s="1"/>
  <c r="AB21" i="32" s="1"/>
  <c r="AB54" i="32"/>
  <c r="AU12" i="33"/>
  <c r="AV12" i="33" s="1"/>
  <c r="M53" i="28"/>
  <c r="M54" i="28"/>
  <c r="M55" i="28"/>
  <c r="M52" i="28" s="1"/>
  <c r="M21" i="28" s="1"/>
  <c r="AU19" i="34"/>
  <c r="AV19" i="34" s="1"/>
  <c r="AU5" i="24"/>
  <c r="AV5" i="24" s="1"/>
  <c r="AK54" i="35"/>
  <c r="AK53" i="35"/>
  <c r="AK55" i="35"/>
  <c r="AK52" i="35" s="1"/>
  <c r="AK21" i="35" s="1"/>
  <c r="AU13" i="32"/>
  <c r="AV13" i="32" s="1"/>
  <c r="AH55" i="32"/>
  <c r="AH52" i="32" s="1"/>
  <c r="AH21" i="32" s="1"/>
  <c r="AH53" i="32"/>
  <c r="AH54" i="32"/>
  <c r="J21" i="23"/>
  <c r="BE15" i="23" s="1"/>
  <c r="F46" i="23"/>
  <c r="G54" i="29"/>
  <c r="G53" i="29"/>
  <c r="G55" i="29"/>
  <c r="G52" i="29" s="1"/>
  <c r="G21" i="29" s="1"/>
  <c r="AU16" i="34"/>
  <c r="AV16" i="34" s="1"/>
  <c r="AB53" i="26"/>
  <c r="AB55" i="26"/>
  <c r="AB52" i="26" s="1"/>
  <c r="AB21" i="26" s="1"/>
  <c r="AB54" i="26"/>
  <c r="AU19" i="23"/>
  <c r="AV19" i="23" s="1"/>
  <c r="V55" i="29"/>
  <c r="V52" i="29" s="1"/>
  <c r="V21" i="29" s="1"/>
  <c r="V53" i="29"/>
  <c r="V54" i="29"/>
  <c r="M54" i="24"/>
  <c r="M55" i="24"/>
  <c r="M52" i="24" s="1"/>
  <c r="M21" i="24" s="1"/>
  <c r="M53" i="24"/>
  <c r="M58" i="24" s="1"/>
  <c r="M53" i="29"/>
  <c r="M55" i="29"/>
  <c r="M52" i="29" s="1"/>
  <c r="M21" i="29" s="1"/>
  <c r="M54" i="29"/>
  <c r="AC36" i="28"/>
  <c r="AC22" i="28"/>
  <c r="BL12" i="20"/>
  <c r="T36" i="20"/>
  <c r="T22" i="20"/>
  <c r="T23" i="23"/>
  <c r="BL6" i="27"/>
  <c r="H36" i="27"/>
  <c r="H22" i="27"/>
  <c r="E22" i="16"/>
  <c r="Y23" i="16"/>
  <c r="AK23" i="16"/>
  <c r="AU32" i="38"/>
  <c r="AV4" i="38"/>
  <c r="AV21" i="38" s="1"/>
  <c r="AV34" i="38" s="1"/>
  <c r="AU21" i="38" s="1"/>
  <c r="AH53" i="25"/>
  <c r="AH54" i="25"/>
  <c r="AH55" i="25"/>
  <c r="AH52" i="25" s="1"/>
  <c r="AH21" i="25" s="1"/>
  <c r="P55" i="27"/>
  <c r="P52" i="27" s="1"/>
  <c r="P21" i="27" s="1"/>
  <c r="P53" i="27"/>
  <c r="P54" i="27"/>
  <c r="AU11" i="24"/>
  <c r="AV11" i="24" s="1"/>
  <c r="AU13" i="24"/>
  <c r="AV13" i="24" s="1"/>
  <c r="AU18" i="36"/>
  <c r="AV18" i="36" s="1"/>
  <c r="J53" i="29"/>
  <c r="J55" i="29"/>
  <c r="J52" i="29" s="1"/>
  <c r="J21" i="29" s="1"/>
  <c r="J54" i="29"/>
  <c r="AK53" i="36"/>
  <c r="AK58" i="36" s="1"/>
  <c r="AK54" i="36"/>
  <c r="AK55" i="36"/>
  <c r="AK52" i="36" s="1"/>
  <c r="AK21" i="36" s="1"/>
  <c r="BE12" i="36" s="1"/>
  <c r="AK54" i="25"/>
  <c r="AK55" i="25"/>
  <c r="AK52" i="25" s="1"/>
  <c r="AK21" i="25" s="1"/>
  <c r="AK53" i="25"/>
  <c r="AK53" i="32"/>
  <c r="AK58" i="32" s="1"/>
  <c r="AK55" i="32"/>
  <c r="AK52" i="32" s="1"/>
  <c r="AK21" i="32" s="1"/>
  <c r="AK54" i="32"/>
  <c r="G55" i="31"/>
  <c r="G52" i="31" s="1"/>
  <c r="G21" i="31" s="1"/>
  <c r="G53" i="31"/>
  <c r="G54" i="31"/>
  <c r="J23" i="16"/>
  <c r="P23" i="16"/>
  <c r="Z22" i="16"/>
  <c r="AU5" i="36"/>
  <c r="AV5" i="36" s="1"/>
  <c r="AU14" i="30"/>
  <c r="AV14" i="30" s="1"/>
  <c r="G55" i="36"/>
  <c r="G52" i="36" s="1"/>
  <c r="G21" i="36" s="1"/>
  <c r="BE4" i="36" s="1"/>
  <c r="G54" i="36"/>
  <c r="G53" i="36"/>
  <c r="AU10" i="29"/>
  <c r="AV10" i="29" s="1"/>
  <c r="AE55" i="32"/>
  <c r="AE52" i="32" s="1"/>
  <c r="AE21" i="32" s="1"/>
  <c r="AE54" i="32"/>
  <c r="AE53" i="32"/>
  <c r="AE58" i="32" s="1"/>
  <c r="AU5" i="30"/>
  <c r="AV5" i="30" s="1"/>
  <c r="AU7" i="30"/>
  <c r="AV7" i="30" s="1"/>
  <c r="AU6" i="30"/>
  <c r="AV6" i="30" s="1"/>
  <c r="AU9" i="30"/>
  <c r="AV9" i="30" s="1"/>
  <c r="AU15" i="30"/>
  <c r="AV15" i="30" s="1"/>
  <c r="AU4" i="30"/>
  <c r="F46" i="34"/>
  <c r="AN54" i="33"/>
  <c r="AN55" i="33"/>
  <c r="AN52" i="33" s="1"/>
  <c r="AN21" i="33" s="1"/>
  <c r="AN53" i="33"/>
  <c r="V54" i="25"/>
  <c r="V53" i="25"/>
  <c r="V55" i="25"/>
  <c r="V52" i="25" s="1"/>
  <c r="V21" i="25" s="1"/>
  <c r="AU7" i="32"/>
  <c r="AV7" i="32" s="1"/>
  <c r="AU7" i="21"/>
  <c r="AV7" i="21" s="1"/>
  <c r="AU19" i="36"/>
  <c r="AV19" i="36" s="1"/>
  <c r="S53" i="29"/>
  <c r="S58" i="29" s="1"/>
  <c r="S55" i="29"/>
  <c r="S52" i="29" s="1"/>
  <c r="S21" i="29" s="1"/>
  <c r="S54" i="29"/>
  <c r="AU7" i="35"/>
  <c r="AV7" i="35" s="1"/>
  <c r="AE55" i="23"/>
  <c r="AE52" i="23" s="1"/>
  <c r="AE21" i="23" s="1"/>
  <c r="AE54" i="23"/>
  <c r="AE53" i="23"/>
  <c r="AU14" i="35"/>
  <c r="AV14" i="35" s="1"/>
  <c r="AN53" i="21"/>
  <c r="AN55" i="21"/>
  <c r="AN52" i="21" s="1"/>
  <c r="AN21" i="21" s="1"/>
  <c r="AN54" i="21"/>
  <c r="AU14" i="28"/>
  <c r="AV14" i="28" s="1"/>
  <c r="P53" i="28"/>
  <c r="P55" i="28"/>
  <c r="P52" i="28" s="1"/>
  <c r="P21" i="28" s="1"/>
  <c r="P54" i="28"/>
  <c r="G55" i="30"/>
  <c r="G52" i="30" s="1"/>
  <c r="G21" i="30" s="1"/>
  <c r="G53" i="30"/>
  <c r="AH58" i="30" s="1"/>
  <c r="G54" i="30"/>
  <c r="AU11" i="30"/>
  <c r="AV11" i="30" s="1"/>
  <c r="G54" i="21"/>
  <c r="G55" i="21"/>
  <c r="G52" i="21" s="1"/>
  <c r="G21" i="21" s="1"/>
  <c r="G53" i="21"/>
  <c r="J58" i="21" s="1"/>
  <c r="G58" i="21"/>
  <c r="AU19" i="1"/>
  <c r="AV19" i="1" s="1"/>
  <c r="AU4" i="35"/>
  <c r="AU17" i="27"/>
  <c r="AV17" i="27" s="1"/>
  <c r="M55" i="34"/>
  <c r="M52" i="34" s="1"/>
  <c r="M21" i="34" s="1"/>
  <c r="M54" i="34"/>
  <c r="M53" i="34"/>
  <c r="G53" i="25"/>
  <c r="G54" i="25"/>
  <c r="G55" i="25"/>
  <c r="G52" i="25" s="1"/>
  <c r="G21" i="25" s="1"/>
  <c r="F46" i="1"/>
  <c r="J55" i="28"/>
  <c r="J52" i="28" s="1"/>
  <c r="J21" i="28" s="1"/>
  <c r="J53" i="28"/>
  <c r="J54" i="28"/>
  <c r="AU13" i="21"/>
  <c r="AV13" i="21" s="1"/>
  <c r="P55" i="23"/>
  <c r="P52" i="23" s="1"/>
  <c r="P21" i="23" s="1"/>
  <c r="P54" i="23"/>
  <c r="P53" i="23"/>
  <c r="AU5" i="27"/>
  <c r="AV5" i="27" s="1"/>
  <c r="S54" i="31"/>
  <c r="S53" i="31"/>
  <c r="S55" i="31"/>
  <c r="S52" i="31" s="1"/>
  <c r="S21" i="31" s="1"/>
  <c r="AC23" i="38"/>
  <c r="T23" i="38"/>
  <c r="AU15" i="34"/>
  <c r="AV15" i="34" s="1"/>
  <c r="AU10" i="25"/>
  <c r="AV10" i="25" s="1"/>
  <c r="AU14" i="1"/>
  <c r="AV14" i="1" s="1"/>
  <c r="AU14" i="20"/>
  <c r="AV14" i="20" s="1"/>
  <c r="AU14" i="32"/>
  <c r="AV14" i="32" s="1"/>
  <c r="AN53" i="32"/>
  <c r="AN58" i="32" s="1"/>
  <c r="AN54" i="32"/>
  <c r="AN55" i="32"/>
  <c r="AN52" i="32" s="1"/>
  <c r="AN21" i="32" s="1"/>
  <c r="AU17" i="33"/>
  <c r="AV17" i="33" s="1"/>
  <c r="AU4" i="31"/>
  <c r="AN54" i="31"/>
  <c r="AN53" i="31"/>
  <c r="AN55" i="31"/>
  <c r="AN52" i="31" s="1"/>
  <c r="AN21" i="31" s="1"/>
  <c r="AU6" i="31"/>
  <c r="AV6" i="31" s="1"/>
  <c r="AK53" i="34"/>
  <c r="AK55" i="34"/>
  <c r="AK52" i="34" s="1"/>
  <c r="AK21" i="34" s="1"/>
  <c r="AK54" i="34"/>
  <c r="AU17" i="25"/>
  <c r="AV17" i="25" s="1"/>
  <c r="AU15" i="20"/>
  <c r="AV15" i="20" s="1"/>
  <c r="M54" i="31"/>
  <c r="M55" i="31"/>
  <c r="M52" i="31" s="1"/>
  <c r="M21" i="31" s="1"/>
  <c r="M53" i="31"/>
  <c r="AE58" i="31" s="1"/>
  <c r="J54" i="34"/>
  <c r="J55" i="34"/>
  <c r="J52" i="34" s="1"/>
  <c r="J21" i="34" s="1"/>
  <c r="J53" i="34"/>
  <c r="P53" i="30"/>
  <c r="P55" i="30"/>
  <c r="P52" i="30" s="1"/>
  <c r="P21" i="30" s="1"/>
  <c r="P54" i="30"/>
  <c r="P58" i="30"/>
  <c r="F46" i="35"/>
  <c r="J21" i="35"/>
  <c r="BE15" i="35" s="1"/>
  <c r="AU15" i="27"/>
  <c r="AV15" i="27" s="1"/>
  <c r="Y53" i="32"/>
  <c r="Y55" i="32"/>
  <c r="Y52" i="32" s="1"/>
  <c r="Y21" i="32" s="1"/>
  <c r="Y54" i="32"/>
  <c r="AU6" i="29"/>
  <c r="AV6" i="29" s="1"/>
  <c r="AH55" i="29"/>
  <c r="AH52" i="29" s="1"/>
  <c r="AH21" i="29" s="1"/>
  <c r="AH54" i="29"/>
  <c r="AH53" i="29"/>
  <c r="AC23" i="33"/>
  <c r="AC23" i="31"/>
  <c r="BL14" i="20"/>
  <c r="AC36" i="20"/>
  <c r="AC22" i="20"/>
  <c r="BL6" i="20"/>
  <c r="Z36" i="20"/>
  <c r="Z22" i="20"/>
  <c r="Z23" i="32"/>
  <c r="BL11" i="32"/>
  <c r="T36" i="32"/>
  <c r="T22" i="32"/>
  <c r="K23" i="31"/>
  <c r="AL23" i="30"/>
  <c r="AL23" i="31"/>
  <c r="H36" i="29"/>
  <c r="BL6" i="29"/>
  <c r="H22" i="29"/>
  <c r="H23" i="35"/>
  <c r="Q23" i="21"/>
  <c r="AI23" i="29"/>
  <c r="N23" i="21"/>
  <c r="N23" i="30"/>
  <c r="N23" i="33"/>
  <c r="AF23" i="31"/>
  <c r="AF36" i="24"/>
  <c r="BL14" i="24"/>
  <c r="AF22" i="24"/>
  <c r="W23" i="31"/>
  <c r="BA37" i="16"/>
  <c r="BB37" i="16" s="1"/>
  <c r="AY37" i="16"/>
  <c r="AZ37" i="16" s="1"/>
  <c r="S54" i="21"/>
  <c r="S53" i="21"/>
  <c r="S55" i="21"/>
  <c r="S52" i="21" s="1"/>
  <c r="S21" i="21" s="1"/>
  <c r="V53" i="27"/>
  <c r="V54" i="27"/>
  <c r="V55" i="27"/>
  <c r="V52" i="27" s="1"/>
  <c r="V21" i="27" s="1"/>
  <c r="M55" i="33"/>
  <c r="M52" i="33" s="1"/>
  <c r="M21" i="33" s="1"/>
  <c r="M54" i="33"/>
  <c r="M53" i="33"/>
  <c r="AU9" i="35"/>
  <c r="AV9" i="35" s="1"/>
  <c r="AU5" i="33"/>
  <c r="AV5" i="33" s="1"/>
  <c r="G55" i="26"/>
  <c r="G52" i="26" s="1"/>
  <c r="G21" i="26" s="1"/>
  <c r="G53" i="26"/>
  <c r="G54" i="26"/>
  <c r="AU16" i="25"/>
  <c r="AV16" i="25" s="1"/>
  <c r="AU8" i="33"/>
  <c r="AV8" i="33" s="1"/>
  <c r="Z23" i="28"/>
  <c r="BL7" i="32"/>
  <c r="AL36" i="32"/>
  <c r="AL22" i="32"/>
  <c r="H36" i="25"/>
  <c r="BL6" i="25"/>
  <c r="H22" i="25"/>
  <c r="BL7" i="1"/>
  <c r="H36" i="1"/>
  <c r="H22" i="1"/>
  <c r="AI36" i="30"/>
  <c r="BL10" i="30"/>
  <c r="AI22" i="30"/>
  <c r="W36" i="27"/>
  <c r="BL13" i="27"/>
  <c r="AN54" i="34"/>
  <c r="AN55" i="34"/>
  <c r="AN52" i="34" s="1"/>
  <c r="AN21" i="34" s="1"/>
  <c r="AN53" i="34"/>
  <c r="V53" i="32"/>
  <c r="V55" i="32"/>
  <c r="V52" i="32" s="1"/>
  <c r="V21" i="32" s="1"/>
  <c r="V54" i="32"/>
  <c r="V58" i="32"/>
  <c r="J55" i="31"/>
  <c r="J52" i="31" s="1"/>
  <c r="J21" i="31" s="1"/>
  <c r="J54" i="31"/>
  <c r="J53" i="31"/>
  <c r="G54" i="27"/>
  <c r="G53" i="27"/>
  <c r="G55" i="27"/>
  <c r="G52" i="27" s="1"/>
  <c r="G21" i="27" s="1"/>
  <c r="AU6" i="23"/>
  <c r="AV6" i="23" s="1"/>
  <c r="AK53" i="1"/>
  <c r="AK55" i="1"/>
  <c r="AK52" i="1" s="1"/>
  <c r="AK21" i="1" s="1"/>
  <c r="AK54" i="1"/>
  <c r="AU9" i="24"/>
  <c r="AV9" i="24" s="1"/>
  <c r="AU19" i="25"/>
  <c r="AV19" i="25" s="1"/>
  <c r="S55" i="27"/>
  <c r="S52" i="27" s="1"/>
  <c r="S21" i="27" s="1"/>
  <c r="S53" i="27"/>
  <c r="S58" i="27" s="1"/>
  <c r="S54" i="27"/>
  <c r="AH53" i="23"/>
  <c r="AH54" i="23"/>
  <c r="AH55" i="23"/>
  <c r="AH52" i="23" s="1"/>
  <c r="AH21" i="23" s="1"/>
  <c r="AU6" i="1"/>
  <c r="AV6" i="1" s="1"/>
  <c r="AU4" i="1"/>
  <c r="AU5" i="1"/>
  <c r="AV5" i="1" s="1"/>
  <c r="AU16" i="33"/>
  <c r="AV16" i="33" s="1"/>
  <c r="J54" i="25"/>
  <c r="J53" i="25"/>
  <c r="J55" i="25"/>
  <c r="J52" i="25" s="1"/>
  <c r="J21" i="25" s="1"/>
  <c r="AB53" i="25"/>
  <c r="AB54" i="25"/>
  <c r="AB55" i="25"/>
  <c r="AB52" i="25" s="1"/>
  <c r="AB21" i="25" s="1"/>
  <c r="AE54" i="25"/>
  <c r="AE55" i="25"/>
  <c r="AE52" i="25" s="1"/>
  <c r="AE21" i="25" s="1"/>
  <c r="AE53" i="25"/>
  <c r="M54" i="32"/>
  <c r="M55" i="32"/>
  <c r="M52" i="32" s="1"/>
  <c r="M21" i="32" s="1"/>
  <c r="M53" i="32"/>
  <c r="AC23" i="26"/>
  <c r="Z36" i="33"/>
  <c r="BL8" i="33"/>
  <c r="Z22" i="33"/>
  <c r="T36" i="30"/>
  <c r="BL11" i="30"/>
  <c r="T22" i="30"/>
  <c r="N22" i="27"/>
  <c r="AO36" i="29"/>
  <c r="BL9" i="29"/>
  <c r="AO22" i="29"/>
  <c r="BL13" i="25"/>
  <c r="W36" i="25"/>
  <c r="W22" i="25"/>
  <c r="M55" i="25"/>
  <c r="M52" i="25" s="1"/>
  <c r="M21" i="25" s="1"/>
  <c r="M54" i="25"/>
  <c r="M53" i="25"/>
  <c r="AU10" i="36"/>
  <c r="AV10" i="36" s="1"/>
  <c r="AU16" i="24"/>
  <c r="AV16" i="24" s="1"/>
  <c r="V54" i="28"/>
  <c r="V53" i="28"/>
  <c r="V55" i="28"/>
  <c r="V52" i="28" s="1"/>
  <c r="V21" i="28" s="1"/>
  <c r="AU10" i="21"/>
  <c r="AV10" i="21" s="1"/>
  <c r="AH55" i="26"/>
  <c r="AH52" i="26" s="1"/>
  <c r="AH21" i="26" s="1"/>
  <c r="AH53" i="26"/>
  <c r="AH54" i="26"/>
  <c r="AU17" i="23"/>
  <c r="AV17" i="23" s="1"/>
  <c r="H36" i="38"/>
  <c r="BL4" i="38"/>
  <c r="Y55" i="21"/>
  <c r="Y52" i="21" s="1"/>
  <c r="Y21" i="21" s="1"/>
  <c r="Y53" i="21"/>
  <c r="Y54" i="21"/>
  <c r="AU13" i="25"/>
  <c r="AV13" i="25" s="1"/>
  <c r="AU4" i="36"/>
  <c r="AU11" i="31"/>
  <c r="AV11" i="31" s="1"/>
  <c r="AU11" i="23"/>
  <c r="AV11" i="23" s="1"/>
  <c r="AB54" i="24"/>
  <c r="AB53" i="24"/>
  <c r="AB55" i="24"/>
  <c r="AB52" i="24" s="1"/>
  <c r="AB21" i="24" s="1"/>
  <c r="AU5" i="21"/>
  <c r="AV5" i="21" s="1"/>
  <c r="AH54" i="31"/>
  <c r="AH55" i="31"/>
  <c r="AH52" i="31" s="1"/>
  <c r="AH21" i="31" s="1"/>
  <c r="AH53" i="31"/>
  <c r="AK53" i="28"/>
  <c r="AK55" i="28"/>
  <c r="AK52" i="28" s="1"/>
  <c r="AK21" i="28" s="1"/>
  <c r="AK54" i="28"/>
  <c r="AC36" i="21"/>
  <c r="BL14" i="21"/>
  <c r="AC22" i="21"/>
  <c r="BL8" i="25"/>
  <c r="AL36" i="28"/>
  <c r="BL8" i="28"/>
  <c r="AL22" i="28"/>
  <c r="BL7" i="20"/>
  <c r="Q36" i="20"/>
  <c r="Q22" i="20"/>
  <c r="AI23" i="35"/>
  <c r="W23" i="24"/>
  <c r="L23" i="16"/>
  <c r="AN54" i="24"/>
  <c r="AN53" i="24"/>
  <c r="AN55" i="24"/>
  <c r="AN52" i="24" s="1"/>
  <c r="AN21" i="24" s="1"/>
  <c r="AU5" i="20"/>
  <c r="AV5" i="20" s="1"/>
  <c r="V54" i="35"/>
  <c r="V53" i="35"/>
  <c r="V55" i="35"/>
  <c r="V52" i="35" s="1"/>
  <c r="V21" i="35" s="1"/>
  <c r="AU4" i="28"/>
  <c r="AU8" i="24"/>
  <c r="AV8" i="24" s="1"/>
  <c r="AK53" i="23"/>
  <c r="AK55" i="23"/>
  <c r="AK52" i="23" s="1"/>
  <c r="AK21" i="23" s="1"/>
  <c r="AK54" i="23"/>
  <c r="AK58" i="23"/>
  <c r="Y55" i="29"/>
  <c r="Y52" i="29" s="1"/>
  <c r="Y21" i="29" s="1"/>
  <c r="Y53" i="29"/>
  <c r="Y54" i="29"/>
  <c r="O23" i="16"/>
  <c r="AU14" i="29"/>
  <c r="AV14" i="29" s="1"/>
  <c r="S55" i="24"/>
  <c r="S52" i="24" s="1"/>
  <c r="S21" i="24" s="1"/>
  <c r="S53" i="24"/>
  <c r="S54" i="24"/>
  <c r="AU15" i="26"/>
  <c r="AV15" i="26" s="1"/>
  <c r="P54" i="24"/>
  <c r="P55" i="24"/>
  <c r="P52" i="24" s="1"/>
  <c r="P21" i="24" s="1"/>
  <c r="P53" i="24"/>
  <c r="F46" i="36"/>
  <c r="J21" i="36"/>
  <c r="BE14" i="36" s="1"/>
  <c r="AE21" i="36"/>
  <c r="BE15" i="36" s="1"/>
  <c r="AU16" i="36"/>
  <c r="AV16" i="36" s="1"/>
  <c r="V55" i="33"/>
  <c r="V52" i="33" s="1"/>
  <c r="V21" i="33" s="1"/>
  <c r="V53" i="33"/>
  <c r="V54" i="33"/>
  <c r="AU10" i="24"/>
  <c r="AV10" i="24" s="1"/>
  <c r="S54" i="28"/>
  <c r="S55" i="28"/>
  <c r="S52" i="28" s="1"/>
  <c r="S21" i="28" s="1"/>
  <c r="S53" i="28"/>
  <c r="J58" i="28" s="1"/>
  <c r="M55" i="30"/>
  <c r="M52" i="30" s="1"/>
  <c r="M21" i="30" s="1"/>
  <c r="M54" i="30"/>
  <c r="M53" i="30"/>
  <c r="AU13" i="23"/>
  <c r="AV13" i="23" s="1"/>
  <c r="AU13" i="1"/>
  <c r="AV13" i="1" s="1"/>
  <c r="AU9" i="27"/>
  <c r="AV9" i="27" s="1"/>
  <c r="AU11" i="1"/>
  <c r="AV11" i="1" s="1"/>
  <c r="S54" i="35"/>
  <c r="S55" i="35"/>
  <c r="S52" i="35" s="1"/>
  <c r="S21" i="35" s="1"/>
  <c r="S53" i="35"/>
  <c r="AU8" i="32"/>
  <c r="AV8" i="32" s="1"/>
  <c r="S55" i="1"/>
  <c r="S52" i="1" s="1"/>
  <c r="S21" i="1" s="1"/>
  <c r="S54" i="1"/>
  <c r="S53" i="1"/>
  <c r="J54" i="1"/>
  <c r="J53" i="1"/>
  <c r="J55" i="1"/>
  <c r="J52" i="1" s="1"/>
  <c r="J21" i="1" s="1"/>
  <c r="Y55" i="31"/>
  <c r="Y52" i="31" s="1"/>
  <c r="Y21" i="31" s="1"/>
  <c r="Y53" i="31"/>
  <c r="Y54" i="31"/>
  <c r="AU14" i="26"/>
  <c r="AV14" i="26" s="1"/>
  <c r="AU6" i="32"/>
  <c r="AV6" i="32" s="1"/>
  <c r="AK53" i="27"/>
  <c r="AK55" i="27"/>
  <c r="AK52" i="27" s="1"/>
  <c r="AK21" i="27" s="1"/>
  <c r="AK54" i="27"/>
  <c r="V53" i="20"/>
  <c r="V55" i="20"/>
  <c r="V52" i="20" s="1"/>
  <c r="V21" i="20" s="1"/>
  <c r="V54" i="20"/>
  <c r="Y53" i="23"/>
  <c r="Y55" i="23"/>
  <c r="Y52" i="23" s="1"/>
  <c r="Y21" i="23" s="1"/>
  <c r="Y54" i="23"/>
  <c r="AU15" i="21"/>
  <c r="AV15" i="21" s="1"/>
  <c r="AU10" i="28"/>
  <c r="AV10" i="28" s="1"/>
  <c r="AU12" i="32"/>
  <c r="AV12" i="32" s="1"/>
  <c r="G54" i="28"/>
  <c r="G55" i="28"/>
  <c r="G52" i="28" s="1"/>
  <c r="G21" i="28" s="1"/>
  <c r="G53" i="28"/>
  <c r="AU6" i="35"/>
  <c r="AV6" i="35" s="1"/>
  <c r="P55" i="33"/>
  <c r="P52" i="33" s="1"/>
  <c r="P21" i="33" s="1"/>
  <c r="P54" i="33"/>
  <c r="P53" i="33"/>
  <c r="F46" i="25"/>
  <c r="AU6" i="33"/>
  <c r="AV6" i="33" s="1"/>
  <c r="AU17" i="21"/>
  <c r="AV17" i="21" s="1"/>
  <c r="Q23" i="38"/>
  <c r="AH55" i="27"/>
  <c r="AH52" i="27" s="1"/>
  <c r="AH21" i="27" s="1"/>
  <c r="AH53" i="27"/>
  <c r="AH54" i="27"/>
  <c r="P53" i="1"/>
  <c r="P54" i="1"/>
  <c r="P55" i="1"/>
  <c r="P52" i="1" s="1"/>
  <c r="P21" i="1" s="1"/>
  <c r="M55" i="21"/>
  <c r="M52" i="21" s="1"/>
  <c r="M21" i="21" s="1"/>
  <c r="M54" i="21"/>
  <c r="M53" i="21"/>
  <c r="AU13" i="29"/>
  <c r="AV13" i="29" s="1"/>
  <c r="AU18" i="31"/>
  <c r="AV18" i="31" s="1"/>
  <c r="AU11" i="36"/>
  <c r="AV11" i="36" s="1"/>
  <c r="AU14" i="36"/>
  <c r="AV14" i="36" s="1"/>
  <c r="AN55" i="28"/>
  <c r="AN52" i="28" s="1"/>
  <c r="AN21" i="28" s="1"/>
  <c r="AN54" i="28"/>
  <c r="AN53" i="28"/>
  <c r="AU12" i="20"/>
  <c r="AV12" i="20" s="1"/>
  <c r="AU5" i="31"/>
  <c r="AV5" i="31" s="1"/>
  <c r="G53" i="33"/>
  <c r="G55" i="33"/>
  <c r="G52" i="33" s="1"/>
  <c r="G21" i="33" s="1"/>
  <c r="G54" i="33"/>
  <c r="M53" i="1"/>
  <c r="M54" i="1"/>
  <c r="M55" i="1"/>
  <c r="M52" i="1" s="1"/>
  <c r="M21" i="1" s="1"/>
  <c r="AH55" i="33"/>
  <c r="AH52" i="33" s="1"/>
  <c r="AH21" i="33" s="1"/>
  <c r="AH54" i="33"/>
  <c r="AH53" i="33"/>
  <c r="AH58" i="33" s="1"/>
  <c r="Y55" i="28"/>
  <c r="Y52" i="28" s="1"/>
  <c r="Y21" i="28" s="1"/>
  <c r="Y53" i="28"/>
  <c r="Y54" i="28"/>
  <c r="M54" i="35"/>
  <c r="M53" i="35"/>
  <c r="M55" i="35"/>
  <c r="M52" i="35" s="1"/>
  <c r="M21" i="35" s="1"/>
  <c r="M58" i="35"/>
  <c r="AU10" i="27"/>
  <c r="AV10" i="27" s="1"/>
  <c r="AU19" i="29"/>
  <c r="AV19" i="29" s="1"/>
  <c r="AU12" i="35"/>
  <c r="AV12" i="35" s="1"/>
  <c r="AC23" i="32"/>
  <c r="Z23" i="26"/>
  <c r="Z36" i="1"/>
  <c r="BL5" i="1"/>
  <c r="Z22" i="1"/>
  <c r="Z23" i="31"/>
  <c r="T23" i="31"/>
  <c r="T23" i="26"/>
  <c r="T23" i="35"/>
  <c r="K23" i="29"/>
  <c r="AL36" i="1"/>
  <c r="BL9" i="1"/>
  <c r="AL22" i="1"/>
  <c r="AL36" i="20"/>
  <c r="BL11" i="20"/>
  <c r="AL22" i="20"/>
  <c r="H23" i="33"/>
  <c r="H23" i="26"/>
  <c r="BL5" i="27"/>
  <c r="Q36" i="27"/>
  <c r="Q22" i="27"/>
  <c r="Q22" i="25"/>
  <c r="BL7" i="25"/>
  <c r="Q36" i="25"/>
  <c r="AI23" i="25"/>
  <c r="AI23" i="28"/>
  <c r="AI36" i="1"/>
  <c r="BL8" i="1"/>
  <c r="AI22" i="1"/>
  <c r="BL4" i="35"/>
  <c r="N36" i="35"/>
  <c r="N22" i="35"/>
  <c r="N23" i="28"/>
  <c r="AO36" i="27"/>
  <c r="BL9" i="27"/>
  <c r="AO22" i="27"/>
  <c r="AO36" i="34"/>
  <c r="BL9" i="34"/>
  <c r="AO22" i="34"/>
  <c r="AO23" i="23"/>
  <c r="AO23" i="32"/>
  <c r="AF23" i="29"/>
  <c r="AF23" i="26"/>
  <c r="AF23" i="30"/>
  <c r="AF23" i="35"/>
  <c r="BL14" i="34"/>
  <c r="W36" i="34"/>
  <c r="W22" i="34"/>
  <c r="W36" i="30"/>
  <c r="BL15" i="30"/>
  <c r="W22" i="30"/>
  <c r="W19" i="16"/>
  <c r="Q17" i="16"/>
  <c r="E8" i="16"/>
  <c r="T14" i="16"/>
  <c r="AC10" i="16"/>
  <c r="H5" i="16"/>
  <c r="E7" i="16"/>
  <c r="E18" i="16"/>
  <c r="K7" i="16"/>
  <c r="Z12" i="16"/>
  <c r="N9" i="16"/>
  <c r="H16" i="16"/>
  <c r="AF5" i="16"/>
  <c r="H14" i="16"/>
  <c r="K12" i="16"/>
  <c r="E15" i="16"/>
  <c r="Q15" i="16"/>
  <c r="H18" i="16"/>
  <c r="T11" i="16"/>
  <c r="E10" i="16"/>
  <c r="H15" i="16"/>
  <c r="K16" i="16"/>
  <c r="T19" i="16"/>
  <c r="W13" i="16"/>
  <c r="Q8" i="16"/>
  <c r="W12" i="16"/>
  <c r="AC15" i="16"/>
  <c r="AF18" i="16"/>
  <c r="AI5" i="16"/>
  <c r="AI15" i="16"/>
  <c r="AI6" i="16"/>
  <c r="AC9" i="16"/>
  <c r="T6" i="16"/>
  <c r="E4" i="16"/>
  <c r="W17" i="16"/>
  <c r="H9" i="16"/>
  <c r="AI7" i="16"/>
  <c r="AL14" i="16"/>
  <c r="H8" i="16"/>
  <c r="Z13" i="16"/>
  <c r="K8" i="16"/>
  <c r="K14" i="16"/>
  <c r="K6" i="16"/>
  <c r="AC8" i="16"/>
  <c r="AL10" i="16"/>
  <c r="E14" i="16"/>
  <c r="AI12" i="16"/>
  <c r="AL13" i="16"/>
  <c r="AL9" i="16"/>
  <c r="T7" i="16"/>
  <c r="AC11" i="16"/>
  <c r="Q16" i="16"/>
  <c r="N10" i="16"/>
  <c r="K11" i="16"/>
  <c r="N6" i="16"/>
  <c r="W11" i="16"/>
  <c r="AC6" i="16"/>
  <c r="AL5" i="16"/>
  <c r="T4" i="16"/>
  <c r="AC14" i="16"/>
  <c r="H11" i="16"/>
  <c r="AF16" i="16"/>
  <c r="E13" i="16"/>
  <c r="T13" i="16"/>
  <c r="N11" i="16"/>
  <c r="H13" i="16"/>
  <c r="AI9" i="16"/>
  <c r="AC7" i="16"/>
  <c r="E9" i="16"/>
  <c r="N7" i="16"/>
  <c r="Z9" i="16"/>
  <c r="H4" i="16"/>
  <c r="E12" i="16"/>
  <c r="AF8" i="16"/>
  <c r="Q14" i="16"/>
  <c r="N12" i="16"/>
  <c r="AL16" i="16"/>
  <c r="N14" i="16"/>
  <c r="N4" i="16"/>
  <c r="AL7" i="16"/>
  <c r="Z10" i="16"/>
  <c r="E6" i="16"/>
  <c r="W6" i="16"/>
  <c r="E11" i="16"/>
  <c r="N8" i="16"/>
  <c r="AC4" i="16"/>
  <c r="AF9" i="16"/>
  <c r="Q11" i="16"/>
  <c r="N13" i="16"/>
  <c r="AC13" i="16"/>
  <c r="W18" i="16"/>
  <c r="N18" i="16"/>
  <c r="Q10" i="16"/>
  <c r="Z14" i="16"/>
  <c r="W8" i="16"/>
  <c r="Z17" i="16"/>
  <c r="T18" i="16"/>
  <c r="AL4" i="16"/>
  <c r="Q18" i="16"/>
  <c r="Z16" i="16"/>
  <c r="K13" i="16"/>
  <c r="AL17" i="16"/>
  <c r="AL15" i="16"/>
  <c r="K17" i="16"/>
  <c r="AI4" i="16"/>
  <c r="AI11" i="16"/>
  <c r="W7" i="16"/>
  <c r="K4" i="16"/>
  <c r="AF6" i="16"/>
  <c r="AI10" i="16"/>
  <c r="E5" i="16"/>
  <c r="W4" i="16"/>
  <c r="AF19" i="16"/>
  <c r="H12" i="16"/>
  <c r="K15" i="16"/>
  <c r="AI14" i="16"/>
  <c r="N5" i="16"/>
  <c r="AI16" i="16"/>
  <c r="Q13" i="16"/>
  <c r="AF7" i="16"/>
  <c r="T17" i="16"/>
  <c r="E17" i="16"/>
  <c r="W5" i="16"/>
  <c r="Z15" i="16"/>
  <c r="AL11" i="16"/>
  <c r="T10" i="16"/>
  <c r="AI18" i="16"/>
  <c r="AF11" i="16"/>
  <c r="K19" i="16"/>
  <c r="AC19" i="16"/>
  <c r="AI13" i="16"/>
  <c r="Q9" i="16"/>
  <c r="AC18" i="16"/>
  <c r="AL6" i="16"/>
  <c r="Z8" i="16"/>
  <c r="Q7" i="16"/>
  <c r="AF14" i="16"/>
  <c r="Z6" i="16"/>
  <c r="W14" i="16"/>
  <c r="Z18" i="16"/>
  <c r="Z4" i="16"/>
  <c r="H6" i="16"/>
  <c r="Z19" i="16"/>
  <c r="AF12" i="16"/>
  <c r="Q5" i="16"/>
  <c r="W10" i="16"/>
  <c r="K10" i="16"/>
  <c r="Z7" i="16"/>
  <c r="K18" i="16"/>
  <c r="W16" i="16"/>
  <c r="T16" i="16"/>
  <c r="K9" i="16"/>
  <c r="T12" i="16"/>
  <c r="AF15" i="16"/>
  <c r="AL8" i="16"/>
  <c r="Q12" i="16"/>
  <c r="Q4" i="16"/>
  <c r="W15" i="16"/>
  <c r="AC17" i="16"/>
  <c r="E16" i="16"/>
  <c r="W9" i="16"/>
  <c r="N15" i="16"/>
  <c r="Q6" i="16"/>
  <c r="AF17" i="16"/>
  <c r="AL19" i="16"/>
  <c r="T15" i="16"/>
  <c r="AI17" i="16"/>
  <c r="AI8" i="16"/>
  <c r="N17" i="16"/>
  <c r="N19" i="16"/>
  <c r="K5" i="16"/>
  <c r="N16" i="16"/>
  <c r="AI19" i="16"/>
  <c r="AC16" i="16"/>
  <c r="AF10" i="16"/>
  <c r="T5" i="16"/>
  <c r="AL12" i="16"/>
  <c r="AF4" i="16"/>
  <c r="AC12" i="16"/>
  <c r="E19" i="16"/>
  <c r="T9" i="16"/>
  <c r="AF13" i="16"/>
  <c r="AL18" i="16"/>
  <c r="Q19" i="16"/>
  <c r="M58" i="20" l="1"/>
  <c r="V58" i="36"/>
  <c r="V58" i="21"/>
  <c r="Q22" i="34"/>
  <c r="P58" i="26"/>
  <c r="AH58" i="36"/>
  <c r="AN58" i="23"/>
  <c r="J58" i="31"/>
  <c r="W23" i="36"/>
  <c r="W22" i="36" s="1"/>
  <c r="Q36" i="34"/>
  <c r="T22" i="28"/>
  <c r="AN58" i="28"/>
  <c r="G58" i="28"/>
  <c r="P58" i="24"/>
  <c r="AB58" i="24"/>
  <c r="N36" i="27"/>
  <c r="AB58" i="25"/>
  <c r="AN58" i="34"/>
  <c r="V58" i="25"/>
  <c r="J58" i="29"/>
  <c r="G58" i="29"/>
  <c r="BL5" i="28"/>
  <c r="AE58" i="30"/>
  <c r="K36" i="34"/>
  <c r="AK58" i="29"/>
  <c r="G58" i="1"/>
  <c r="AB58" i="34"/>
  <c r="K22" i="25"/>
  <c r="AC22" i="34"/>
  <c r="G58" i="20"/>
  <c r="BL7" i="33"/>
  <c r="Y58" i="30"/>
  <c r="AE58" i="27"/>
  <c r="AE58" i="28"/>
  <c r="Z23" i="36"/>
  <c r="Z22" i="36" s="1"/>
  <c r="AH58" i="1"/>
  <c r="W36" i="28"/>
  <c r="AO22" i="31"/>
  <c r="AO35" i="31" s="1"/>
  <c r="AN58" i="33"/>
  <c r="J58" i="1"/>
  <c r="AN58" i="36"/>
  <c r="P58" i="21"/>
  <c r="BL8" i="29"/>
  <c r="G58" i="32"/>
  <c r="Y58" i="20"/>
  <c r="Y58" i="21"/>
  <c r="AK58" i="25"/>
  <c r="BL11" i="28"/>
  <c r="M58" i="1"/>
  <c r="AH58" i="25"/>
  <c r="K22" i="21"/>
  <c r="BL15" i="34"/>
  <c r="BL15" i="25"/>
  <c r="AE58" i="35"/>
  <c r="S58" i="32"/>
  <c r="K23" i="36"/>
  <c r="K22" i="36" s="1"/>
  <c r="K35" i="36" s="1"/>
  <c r="BL9" i="31"/>
  <c r="Y58" i="35"/>
  <c r="P58" i="33"/>
  <c r="AN58" i="20"/>
  <c r="Y58" i="27"/>
  <c r="AH58" i="27"/>
  <c r="V58" i="31"/>
  <c r="AK58" i="30"/>
  <c r="G58" i="24"/>
  <c r="AN58" i="26"/>
  <c r="P58" i="35"/>
  <c r="V58" i="27"/>
  <c r="AH58" i="28"/>
  <c r="M58" i="28"/>
  <c r="S58" i="25"/>
  <c r="Y58" i="33"/>
  <c r="AC36" i="34"/>
  <c r="AL36" i="33"/>
  <c r="G58" i="33"/>
  <c r="M58" i="30"/>
  <c r="V58" i="33"/>
  <c r="Z22" i="25"/>
  <c r="Z35" i="25" s="1"/>
  <c r="AK58" i="28"/>
  <c r="AU32" i="20"/>
  <c r="G58" i="30"/>
  <c r="AN58" i="21"/>
  <c r="AN58" i="27"/>
  <c r="BL11" i="21"/>
  <c r="V58" i="1"/>
  <c r="AE58" i="21"/>
  <c r="S58" i="26"/>
  <c r="M58" i="23"/>
  <c r="AE58" i="26"/>
  <c r="AO36" i="26"/>
  <c r="AE58" i="1"/>
  <c r="BK12" i="38"/>
  <c r="AE58" i="25"/>
  <c r="P58" i="32"/>
  <c r="M58" i="27"/>
  <c r="Y58" i="26"/>
  <c r="M58" i="34"/>
  <c r="P58" i="20"/>
  <c r="Y58" i="32"/>
  <c r="AH58" i="32"/>
  <c r="M58" i="21"/>
  <c r="AB58" i="31"/>
  <c r="V58" i="20"/>
  <c r="S58" i="35"/>
  <c r="V58" i="35"/>
  <c r="AK58" i="34"/>
  <c r="M58" i="29"/>
  <c r="J58" i="23"/>
  <c r="V58" i="26"/>
  <c r="AB58" i="29"/>
  <c r="AK58" i="24"/>
  <c r="AL23" i="36"/>
  <c r="BL6" i="36" s="1"/>
  <c r="AN58" i="30"/>
  <c r="AE58" i="24"/>
  <c r="BY19" i="16"/>
  <c r="CT18" i="16"/>
  <c r="CN13" i="16"/>
  <c r="CB9" i="16"/>
  <c r="BM19" i="16"/>
  <c r="CK12" i="16"/>
  <c r="AF23" i="16"/>
  <c r="CL43" i="16" s="1"/>
  <c r="AF25" i="16"/>
  <c r="AF26" i="16"/>
  <c r="AF24" i="16"/>
  <c r="AW42" i="16" s="1"/>
  <c r="AX42" i="16" s="1"/>
  <c r="CN4" i="16"/>
  <c r="BR14" i="24"/>
  <c r="BS14" i="24" s="1"/>
  <c r="BR13" i="35"/>
  <c r="BS13" i="35" s="1"/>
  <c r="BR14" i="25"/>
  <c r="BS14" i="25" s="1"/>
  <c r="BR14" i="26"/>
  <c r="BS14" i="26" s="1"/>
  <c r="BR14" i="27"/>
  <c r="BS14" i="27" s="1"/>
  <c r="BR14" i="1"/>
  <c r="BS14" i="1" s="1"/>
  <c r="BR14" i="23"/>
  <c r="BS14" i="23" s="1"/>
  <c r="BR10" i="28"/>
  <c r="BS10" i="28" s="1"/>
  <c r="BR11" i="33"/>
  <c r="BS11" i="33" s="1"/>
  <c r="BR11" i="30"/>
  <c r="BS11" i="30" s="1"/>
  <c r="BR11" i="31"/>
  <c r="BS11" i="31" s="1"/>
  <c r="BR13" i="36"/>
  <c r="BS13" i="36" s="1"/>
  <c r="BR12" i="34"/>
  <c r="BS12" i="34" s="1"/>
  <c r="BR10" i="29"/>
  <c r="BS10" i="29" s="1"/>
  <c r="BR14" i="21"/>
  <c r="BS14" i="21" s="1"/>
  <c r="BR14" i="20"/>
  <c r="BS14" i="20" s="1"/>
  <c r="BR13" i="38"/>
  <c r="BS13" i="38" s="1"/>
  <c r="BR11" i="32"/>
  <c r="BS11" i="32" s="1"/>
  <c r="AF28" i="16"/>
  <c r="CT12" i="16"/>
  <c r="CB5" i="16"/>
  <c r="CN10" i="16"/>
  <c r="CK16" i="16"/>
  <c r="CQ19" i="16"/>
  <c r="BV16" i="16"/>
  <c r="BS5" i="16"/>
  <c r="BV19" i="16"/>
  <c r="BV17" i="16"/>
  <c r="CQ8" i="16"/>
  <c r="CQ17" i="16"/>
  <c r="CB15" i="16"/>
  <c r="CT19" i="16"/>
  <c r="CN17" i="16"/>
  <c r="BY6" i="16"/>
  <c r="BV15" i="16"/>
  <c r="CE9" i="16"/>
  <c r="BM16" i="16"/>
  <c r="CK17" i="16"/>
  <c r="CE15" i="16"/>
  <c r="Q25" i="16"/>
  <c r="Q24" i="16"/>
  <c r="AW33" i="16" s="1"/>
  <c r="AX33" i="16" s="1"/>
  <c r="AU33" i="16" s="1"/>
  <c r="BY4" i="16"/>
  <c r="Q26" i="16"/>
  <c r="Q23" i="16"/>
  <c r="BW43" i="16" s="1"/>
  <c r="BR4" i="35"/>
  <c r="BS4" i="35" s="1"/>
  <c r="BR7" i="26"/>
  <c r="BS7" i="26" s="1"/>
  <c r="BR10" i="23"/>
  <c r="BS10" i="23" s="1"/>
  <c r="BR9" i="20"/>
  <c r="BS9" i="20" s="1"/>
  <c r="BR4" i="33"/>
  <c r="BS4" i="33" s="1"/>
  <c r="BR7" i="28"/>
  <c r="BS7" i="28" s="1"/>
  <c r="BR6" i="30"/>
  <c r="BS6" i="30" s="1"/>
  <c r="BR10" i="24"/>
  <c r="BS10" i="24" s="1"/>
  <c r="BR7" i="31"/>
  <c r="BS7" i="31" s="1"/>
  <c r="BR4" i="34"/>
  <c r="BS4" i="34" s="1"/>
  <c r="BR5" i="29"/>
  <c r="BS5" i="29" s="1"/>
  <c r="BR7" i="27"/>
  <c r="BS7" i="27" s="1"/>
  <c r="BR10" i="1"/>
  <c r="BS10" i="1" s="1"/>
  <c r="BR8" i="38"/>
  <c r="BS8" i="38" s="1"/>
  <c r="BR11" i="25"/>
  <c r="BS11" i="25" s="1"/>
  <c r="BR7" i="32"/>
  <c r="BS7" i="32" s="1"/>
  <c r="BR10" i="21"/>
  <c r="BS10" i="21" s="1"/>
  <c r="BR4" i="36"/>
  <c r="BS4" i="36" s="1"/>
  <c r="Q28" i="16"/>
  <c r="BY12" i="16"/>
  <c r="CT8" i="16"/>
  <c r="CN15" i="16"/>
  <c r="CB12" i="16"/>
  <c r="BS9" i="16"/>
  <c r="CB16" i="16"/>
  <c r="CE16" i="16"/>
  <c r="BS18" i="16"/>
  <c r="CH7" i="16"/>
  <c r="BS10" i="16"/>
  <c r="CE10" i="16"/>
  <c r="BY5" i="16"/>
  <c r="CN12" i="16"/>
  <c r="CH19" i="16"/>
  <c r="BP6" i="16"/>
  <c r="Z24" i="16"/>
  <c r="AW40" i="16" s="1"/>
  <c r="AX40" i="16" s="1"/>
  <c r="CH4" i="16"/>
  <c r="Z25" i="16"/>
  <c r="Z23" i="16"/>
  <c r="CF43" i="16" s="1"/>
  <c r="Z26" i="16"/>
  <c r="BR12" i="23"/>
  <c r="BS12" i="23" s="1"/>
  <c r="BR12" i="24"/>
  <c r="BS12" i="24" s="1"/>
  <c r="BR15" i="32"/>
  <c r="BS15" i="32" s="1"/>
  <c r="BR11" i="38"/>
  <c r="BS11" i="38" s="1"/>
  <c r="BR13" i="27"/>
  <c r="BS13" i="27" s="1"/>
  <c r="BR13" i="25"/>
  <c r="BS13" i="25" s="1"/>
  <c r="BR11" i="35"/>
  <c r="BS11" i="35" s="1"/>
  <c r="BR14" i="28"/>
  <c r="BS14" i="28" s="1"/>
  <c r="BR13" i="26"/>
  <c r="BS13" i="26" s="1"/>
  <c r="BR12" i="1"/>
  <c r="BS12" i="1" s="1"/>
  <c r="BR14" i="29"/>
  <c r="BS14" i="29" s="1"/>
  <c r="BR12" i="21"/>
  <c r="BS12" i="21" s="1"/>
  <c r="BR11" i="36"/>
  <c r="BS11" i="36" s="1"/>
  <c r="BR12" i="20"/>
  <c r="BS12" i="20" s="1"/>
  <c r="BR15" i="33"/>
  <c r="BS15" i="33" s="1"/>
  <c r="BR10" i="34"/>
  <c r="BS10" i="34" s="1"/>
  <c r="BR14" i="30"/>
  <c r="BS14" i="30" s="1"/>
  <c r="BR14" i="31"/>
  <c r="BS14" i="31" s="1"/>
  <c r="Z28" i="16"/>
  <c r="CH18" i="16"/>
  <c r="CE14" i="16"/>
  <c r="CH6" i="16"/>
  <c r="CN14" i="16"/>
  <c r="BY7" i="16"/>
  <c r="CH8" i="16"/>
  <c r="CT6" i="16"/>
  <c r="CK18" i="16"/>
  <c r="BY9" i="16"/>
  <c r="CQ13" i="16"/>
  <c r="CK19" i="16"/>
  <c r="BS19" i="16"/>
  <c r="CN11" i="16"/>
  <c r="CQ18" i="16"/>
  <c r="CB10" i="16"/>
  <c r="CT11" i="16"/>
  <c r="CH15" i="16"/>
  <c r="CE5" i="16"/>
  <c r="BM17" i="16"/>
  <c r="CB17" i="16"/>
  <c r="CN7" i="16"/>
  <c r="BY13" i="16"/>
  <c r="CQ16" i="16"/>
  <c r="BV5" i="16"/>
  <c r="CQ14" i="16"/>
  <c r="BS15" i="16"/>
  <c r="BP12" i="16"/>
  <c r="CN19" i="16"/>
  <c r="W23" i="16"/>
  <c r="CC43" i="16" s="1"/>
  <c r="W24" i="16"/>
  <c r="AW44" i="16" s="1"/>
  <c r="AX44" i="16" s="1"/>
  <c r="W25" i="16"/>
  <c r="CE4" i="16"/>
  <c r="W26" i="16"/>
  <c r="BR15" i="35"/>
  <c r="BS15" i="35" s="1"/>
  <c r="BR11" i="20"/>
  <c r="BS11" i="20" s="1"/>
  <c r="BR14" i="33"/>
  <c r="BS14" i="33" s="1"/>
  <c r="BR13" i="31"/>
  <c r="BS13" i="31" s="1"/>
  <c r="BR13" i="28"/>
  <c r="BS13" i="28" s="1"/>
  <c r="BR12" i="25"/>
  <c r="BS12" i="25" s="1"/>
  <c r="BR14" i="32"/>
  <c r="BS14" i="32" s="1"/>
  <c r="BR12" i="27"/>
  <c r="BS12" i="27" s="1"/>
  <c r="BR15" i="36"/>
  <c r="BS15" i="36" s="1"/>
  <c r="BR11" i="21"/>
  <c r="BS11" i="21" s="1"/>
  <c r="BR11" i="24"/>
  <c r="BS11" i="24" s="1"/>
  <c r="BR13" i="29"/>
  <c r="BS13" i="29" s="1"/>
  <c r="BR13" i="30"/>
  <c r="BS13" i="30" s="1"/>
  <c r="BR12" i="26"/>
  <c r="BS12" i="26" s="1"/>
  <c r="BR11" i="23"/>
  <c r="BS11" i="23" s="1"/>
  <c r="BR5" i="1"/>
  <c r="BS5" i="1" s="1"/>
  <c r="BR10" i="38"/>
  <c r="BS10" i="38" s="1"/>
  <c r="BR15" i="34"/>
  <c r="BS15" i="34" s="1"/>
  <c r="W28" i="16"/>
  <c r="BM5" i="16"/>
  <c r="CQ10" i="16"/>
  <c r="CN6" i="16"/>
  <c r="K25" i="16"/>
  <c r="K23" i="16"/>
  <c r="BQ43" i="16" s="1"/>
  <c r="K24" i="16"/>
  <c r="AW35" i="16" s="1"/>
  <c r="AX35" i="16" s="1"/>
  <c r="BS4" i="16"/>
  <c r="K26" i="16"/>
  <c r="BR5" i="26"/>
  <c r="BS5" i="26" s="1"/>
  <c r="BR6" i="35"/>
  <c r="BS6" i="35" s="1"/>
  <c r="BR5" i="24"/>
  <c r="BS5" i="24" s="1"/>
  <c r="BR6" i="34"/>
  <c r="BS6" i="34" s="1"/>
  <c r="BR4" i="32"/>
  <c r="BS4" i="32" s="1"/>
  <c r="BR8" i="1"/>
  <c r="BS8" i="1" s="1"/>
  <c r="BR8" i="21"/>
  <c r="BS8" i="21" s="1"/>
  <c r="BR7" i="20"/>
  <c r="BS7" i="20" s="1"/>
  <c r="BR5" i="33"/>
  <c r="BS5" i="33" s="1"/>
  <c r="BR4" i="31"/>
  <c r="BS4" i="31" s="1"/>
  <c r="BR5" i="23"/>
  <c r="BS5" i="23" s="1"/>
  <c r="BR7" i="29"/>
  <c r="BS7" i="29" s="1"/>
  <c r="BR6" i="36"/>
  <c r="BS6" i="36" s="1"/>
  <c r="BR6" i="38"/>
  <c r="BS6" i="38" s="1"/>
  <c r="BR5" i="25"/>
  <c r="BS5" i="25" s="1"/>
  <c r="BR6" i="27"/>
  <c r="BS6" i="27" s="1"/>
  <c r="BR6" i="28"/>
  <c r="BS6" i="28" s="1"/>
  <c r="BR4" i="30"/>
  <c r="BS4" i="30" s="1"/>
  <c r="K28" i="16"/>
  <c r="CE7" i="16"/>
  <c r="CQ11" i="16"/>
  <c r="AI26" i="16"/>
  <c r="AI23" i="16"/>
  <c r="CO43" i="16" s="1"/>
  <c r="AI25" i="16"/>
  <c r="CQ4" i="16"/>
  <c r="CO4" i="16" s="1"/>
  <c r="AI24" i="16"/>
  <c r="AW43" i="16" s="1"/>
  <c r="AX43" i="16" s="1"/>
  <c r="BR14" i="35"/>
  <c r="BS14" i="35" s="1"/>
  <c r="BR15" i="26"/>
  <c r="BS15" i="26" s="1"/>
  <c r="BR15" i="1"/>
  <c r="BS15" i="1" s="1"/>
  <c r="BR12" i="33"/>
  <c r="BS12" i="33" s="1"/>
  <c r="BR15" i="28"/>
  <c r="BS15" i="28" s="1"/>
  <c r="BR12" i="32"/>
  <c r="BS12" i="32" s="1"/>
  <c r="BR15" i="24"/>
  <c r="BS15" i="24" s="1"/>
  <c r="BR14" i="38"/>
  <c r="BS14" i="38" s="1"/>
  <c r="BR15" i="30"/>
  <c r="BS15" i="30" s="1"/>
  <c r="BR15" i="23"/>
  <c r="BS15" i="23" s="1"/>
  <c r="BR15" i="25"/>
  <c r="BS15" i="25" s="1"/>
  <c r="BR15" i="29"/>
  <c r="BS15" i="29" s="1"/>
  <c r="BR15" i="27"/>
  <c r="BS15" i="27" s="1"/>
  <c r="BR15" i="20"/>
  <c r="BS15" i="20" s="1"/>
  <c r="BR15" i="21"/>
  <c r="BS15" i="21" s="1"/>
  <c r="BR14" i="36"/>
  <c r="BS14" i="36" s="1"/>
  <c r="BR15" i="31"/>
  <c r="BS15" i="31" s="1"/>
  <c r="BR13" i="34"/>
  <c r="BS13" i="34" s="1"/>
  <c r="AI28" i="16"/>
  <c r="BS17" i="16"/>
  <c r="CT15" i="16"/>
  <c r="CT17" i="16"/>
  <c r="BS13" i="16"/>
  <c r="CH16" i="16"/>
  <c r="BY18" i="16"/>
  <c r="CT4" i="16"/>
  <c r="AL24" i="16"/>
  <c r="AW34" i="16" s="1"/>
  <c r="AX34" i="16" s="1"/>
  <c r="AU34" i="16" s="1"/>
  <c r="AL23" i="16"/>
  <c r="CR43" i="16" s="1"/>
  <c r="AL25" i="16"/>
  <c r="AL26" i="16"/>
  <c r="BR4" i="26"/>
  <c r="BS4" i="26" s="1"/>
  <c r="BR4" i="23"/>
  <c r="BS4" i="23" s="1"/>
  <c r="BR5" i="36"/>
  <c r="BS5" i="36" s="1"/>
  <c r="BR6" i="29"/>
  <c r="BS6" i="29" s="1"/>
  <c r="BR4" i="1"/>
  <c r="BS4" i="1" s="1"/>
  <c r="BR8" i="31"/>
  <c r="BS8" i="31" s="1"/>
  <c r="BR5" i="28"/>
  <c r="BS5" i="28" s="1"/>
  <c r="BR7" i="30"/>
  <c r="BS7" i="30" s="1"/>
  <c r="BR4" i="20"/>
  <c r="BS4" i="20" s="1"/>
  <c r="BR5" i="35"/>
  <c r="BS5" i="35" s="1"/>
  <c r="BR4" i="25"/>
  <c r="BS4" i="25" s="1"/>
  <c r="BR15" i="38"/>
  <c r="BS15" i="38" s="1"/>
  <c r="BR4" i="21"/>
  <c r="BS4" i="21" s="1"/>
  <c r="BR5" i="27"/>
  <c r="BS5" i="27" s="1"/>
  <c r="BR8" i="34"/>
  <c r="BS8" i="34" s="1"/>
  <c r="BR8" i="33"/>
  <c r="BS8" i="33" s="1"/>
  <c r="BR4" i="24"/>
  <c r="BS4" i="24" s="1"/>
  <c r="BR8" i="32"/>
  <c r="BS8" i="32" s="1"/>
  <c r="AL28" i="16"/>
  <c r="CB18" i="16"/>
  <c r="CH17" i="16"/>
  <c r="CE8" i="16"/>
  <c r="CH14" i="16"/>
  <c r="BY10" i="16"/>
  <c r="BV18" i="16"/>
  <c r="CE18" i="16"/>
  <c r="CK13" i="16"/>
  <c r="BV13" i="16"/>
  <c r="BY11" i="16"/>
  <c r="CN9" i="16"/>
  <c r="AC24" i="16"/>
  <c r="AW41" i="16" s="1"/>
  <c r="AX41" i="16" s="1"/>
  <c r="CK4" i="16"/>
  <c r="AC25" i="16"/>
  <c r="AC23" i="16"/>
  <c r="CI43" i="16" s="1"/>
  <c r="AC26" i="16"/>
  <c r="BR13" i="24"/>
  <c r="BS13" i="24" s="1"/>
  <c r="BR9" i="26"/>
  <c r="BS9" i="26" s="1"/>
  <c r="BR8" i="25"/>
  <c r="BS8" i="25" s="1"/>
  <c r="BR13" i="1"/>
  <c r="BS13" i="1" s="1"/>
  <c r="BR10" i="33"/>
  <c r="BS10" i="33" s="1"/>
  <c r="BR9" i="29"/>
  <c r="BS9" i="29" s="1"/>
  <c r="BR10" i="30"/>
  <c r="BS10" i="30" s="1"/>
  <c r="BR10" i="32"/>
  <c r="BS10" i="32" s="1"/>
  <c r="BR9" i="28"/>
  <c r="BS9" i="28" s="1"/>
  <c r="BR13" i="23"/>
  <c r="BS13" i="23" s="1"/>
  <c r="BR10" i="31"/>
  <c r="BS10" i="31" s="1"/>
  <c r="BR11" i="34"/>
  <c r="BS11" i="34" s="1"/>
  <c r="BR12" i="35"/>
  <c r="BS12" i="35" s="1"/>
  <c r="BR12" i="38"/>
  <c r="BS12" i="38" s="1"/>
  <c r="BR12" i="36"/>
  <c r="BS12" i="36" s="1"/>
  <c r="BR13" i="20"/>
  <c r="BS13" i="20" s="1"/>
  <c r="BR9" i="27"/>
  <c r="BS9" i="27" s="1"/>
  <c r="BR13" i="21"/>
  <c r="BS13" i="21" s="1"/>
  <c r="AC28" i="16"/>
  <c r="BV8" i="16"/>
  <c r="BM11" i="16"/>
  <c r="CE6" i="16"/>
  <c r="BM6" i="16"/>
  <c r="CH10" i="16"/>
  <c r="CT7" i="16"/>
  <c r="N24" i="16"/>
  <c r="AW37" i="16" s="1"/>
  <c r="AX37" i="16" s="1"/>
  <c r="AU37" i="16" s="1"/>
  <c r="N23" i="16"/>
  <c r="BT43" i="16" s="1"/>
  <c r="N25" i="16"/>
  <c r="BV4" i="16"/>
  <c r="N26" i="16"/>
  <c r="BR9" i="23"/>
  <c r="BS9" i="23" s="1"/>
  <c r="BR6" i="24"/>
  <c r="BS6" i="24" s="1"/>
  <c r="BR6" i="25"/>
  <c r="BS6" i="25" s="1"/>
  <c r="BR8" i="35"/>
  <c r="BS8" i="35" s="1"/>
  <c r="BR9" i="1"/>
  <c r="BS9" i="1" s="1"/>
  <c r="BR5" i="34"/>
  <c r="BS5" i="34" s="1"/>
  <c r="BR4" i="27"/>
  <c r="BS4" i="27" s="1"/>
  <c r="BR6" i="32"/>
  <c r="BS6" i="32" s="1"/>
  <c r="BR7" i="38"/>
  <c r="BS7" i="38" s="1"/>
  <c r="BR9" i="21"/>
  <c r="BS9" i="21" s="1"/>
  <c r="BR7" i="33"/>
  <c r="BS7" i="33" s="1"/>
  <c r="BR8" i="20"/>
  <c r="BS8" i="20" s="1"/>
  <c r="BR4" i="29"/>
  <c r="BS4" i="29" s="1"/>
  <c r="BR6" i="26"/>
  <c r="BS6" i="26" s="1"/>
  <c r="BR6" i="31"/>
  <c r="BS6" i="31" s="1"/>
  <c r="BR5" i="30"/>
  <c r="BS5" i="30" s="1"/>
  <c r="BR8" i="36"/>
  <c r="BS8" i="36" s="1"/>
  <c r="BR4" i="28"/>
  <c r="BS4" i="28" s="1"/>
  <c r="N28" i="16"/>
  <c r="BV14" i="16"/>
  <c r="CT16" i="16"/>
  <c r="BV12" i="16"/>
  <c r="BY14" i="16"/>
  <c r="CN8" i="16"/>
  <c r="BM12" i="16"/>
  <c r="H25" i="16"/>
  <c r="H24" i="16"/>
  <c r="AW36" i="16" s="1"/>
  <c r="AX36" i="16" s="1"/>
  <c r="H23" i="16"/>
  <c r="BN43" i="16" s="1"/>
  <c r="BP4" i="16"/>
  <c r="H26" i="16"/>
  <c r="BR10" i="25"/>
  <c r="BS10" i="25" s="1"/>
  <c r="BR11" i="26"/>
  <c r="BS11" i="26" s="1"/>
  <c r="BR5" i="38"/>
  <c r="BS5" i="38" s="1"/>
  <c r="BR5" i="31"/>
  <c r="BS5" i="31" s="1"/>
  <c r="BR8" i="23"/>
  <c r="BS8" i="23" s="1"/>
  <c r="BR7" i="21"/>
  <c r="BS7" i="21" s="1"/>
  <c r="BR11" i="27"/>
  <c r="BS11" i="27" s="1"/>
  <c r="BR6" i="33"/>
  <c r="BS6" i="33" s="1"/>
  <c r="BR12" i="28"/>
  <c r="BS12" i="28" s="1"/>
  <c r="BR6" i="20"/>
  <c r="BS6" i="20" s="1"/>
  <c r="BR9" i="24"/>
  <c r="BS9" i="24" s="1"/>
  <c r="BR7" i="1"/>
  <c r="BS7" i="1" s="1"/>
  <c r="BR12" i="29"/>
  <c r="BS12" i="29" s="1"/>
  <c r="BR8" i="30"/>
  <c r="BS8" i="30" s="1"/>
  <c r="BR5" i="32"/>
  <c r="BS5" i="32" s="1"/>
  <c r="BR7" i="36"/>
  <c r="BS7" i="36" s="1"/>
  <c r="BR7" i="35"/>
  <c r="BS7" i="35" s="1"/>
  <c r="BR7" i="34"/>
  <c r="BS7" i="34" s="1"/>
  <c r="H28" i="16"/>
  <c r="CH9" i="16"/>
  <c r="BV7" i="16"/>
  <c r="BM9" i="16"/>
  <c r="CK7" i="16"/>
  <c r="CQ9" i="16"/>
  <c r="BP13" i="16"/>
  <c r="BV11" i="16"/>
  <c r="CB13" i="16"/>
  <c r="BM13" i="16"/>
  <c r="CN16" i="16"/>
  <c r="BP11" i="16"/>
  <c r="CK14" i="16"/>
  <c r="CB4" i="16"/>
  <c r="T24" i="16"/>
  <c r="AW39" i="16" s="1"/>
  <c r="AX39" i="16" s="1"/>
  <c r="T23" i="16"/>
  <c r="BZ43" i="16" s="1"/>
  <c r="T25" i="16"/>
  <c r="T26" i="16"/>
  <c r="BR8" i="26"/>
  <c r="BS8" i="26" s="1"/>
  <c r="BR7" i="25"/>
  <c r="BS7" i="25" s="1"/>
  <c r="BR9" i="30"/>
  <c r="BS9" i="30" s="1"/>
  <c r="BR10" i="35"/>
  <c r="BS10" i="35" s="1"/>
  <c r="BR11" i="1"/>
  <c r="BS11" i="1" s="1"/>
  <c r="BR9" i="33"/>
  <c r="BS9" i="33" s="1"/>
  <c r="BR10" i="36"/>
  <c r="BS10" i="36" s="1"/>
  <c r="BR6" i="23"/>
  <c r="BS6" i="23" s="1"/>
  <c r="BR10" i="20"/>
  <c r="BS10" i="20" s="1"/>
  <c r="BR9" i="34"/>
  <c r="BS9" i="34" s="1"/>
  <c r="BR9" i="32"/>
  <c r="BS9" i="32" s="1"/>
  <c r="BR9" i="38"/>
  <c r="BS9" i="38" s="1"/>
  <c r="BR5" i="21"/>
  <c r="BS5" i="21" s="1"/>
  <c r="BR7" i="24"/>
  <c r="BS7" i="24" s="1"/>
  <c r="BR9" i="31"/>
  <c r="BS9" i="31" s="1"/>
  <c r="BR8" i="28"/>
  <c r="BS8" i="28" s="1"/>
  <c r="BR8" i="27"/>
  <c r="BS8" i="27" s="1"/>
  <c r="BR8" i="29"/>
  <c r="BS8" i="29" s="1"/>
  <c r="T28" i="16"/>
  <c r="CT5" i="16"/>
  <c r="CK6" i="16"/>
  <c r="CE11" i="16"/>
  <c r="BV6" i="16"/>
  <c r="BS11" i="16"/>
  <c r="BV10" i="16"/>
  <c r="BY16" i="16"/>
  <c r="CK11" i="16"/>
  <c r="CB7" i="16"/>
  <c r="CT9" i="16"/>
  <c r="CT13" i="16"/>
  <c r="CQ12" i="16"/>
  <c r="BM14" i="16"/>
  <c r="CT10" i="16"/>
  <c r="CK8" i="16"/>
  <c r="BS6" i="16"/>
  <c r="BS14" i="16"/>
  <c r="BS8" i="16"/>
  <c r="CH13" i="16"/>
  <c r="BP8" i="16"/>
  <c r="CT14" i="16"/>
  <c r="CQ7" i="16"/>
  <c r="BP9" i="16"/>
  <c r="CE17" i="16"/>
  <c r="E23" i="16"/>
  <c r="BK43" i="16" s="1"/>
  <c r="BM4" i="16"/>
  <c r="E26" i="16"/>
  <c r="E24" i="16"/>
  <c r="AW38" i="16" s="1"/>
  <c r="AX38" i="16" s="1"/>
  <c r="E25" i="16"/>
  <c r="BR8" i="24"/>
  <c r="BS8" i="24" s="1"/>
  <c r="BR7" i="23"/>
  <c r="BS7" i="23" s="1"/>
  <c r="BR5" i="20"/>
  <c r="BS5" i="20" s="1"/>
  <c r="BR9" i="35"/>
  <c r="BS9" i="35" s="1"/>
  <c r="BR6" i="1"/>
  <c r="BS6" i="1" s="1"/>
  <c r="BR11" i="29"/>
  <c r="BS11" i="29" s="1"/>
  <c r="BR6" i="21"/>
  <c r="BS6" i="21" s="1"/>
  <c r="BR12" i="31"/>
  <c r="BS12" i="31" s="1"/>
  <c r="BR14" i="34"/>
  <c r="BS14" i="34" s="1"/>
  <c r="BR9" i="36"/>
  <c r="BS9" i="36" s="1"/>
  <c r="BR4" i="38"/>
  <c r="BS4" i="38" s="1"/>
  <c r="BR10" i="27"/>
  <c r="BS10" i="27" s="1"/>
  <c r="BR9" i="25"/>
  <c r="BS9" i="25" s="1"/>
  <c r="BR11" i="28"/>
  <c r="BS11" i="28" s="1"/>
  <c r="BR10" i="26"/>
  <c r="BS10" i="26" s="1"/>
  <c r="BR13" i="33"/>
  <c r="BS13" i="33" s="1"/>
  <c r="BR13" i="32"/>
  <c r="BS13" i="32" s="1"/>
  <c r="BR12" i="30"/>
  <c r="BS12" i="30" s="1"/>
  <c r="E28" i="16"/>
  <c r="CB6" i="16"/>
  <c r="CK9" i="16"/>
  <c r="CQ6" i="16"/>
  <c r="CQ15" i="16"/>
  <c r="CQ5" i="16"/>
  <c r="CN18" i="16"/>
  <c r="CK15" i="16"/>
  <c r="CE12" i="16"/>
  <c r="BY8" i="16"/>
  <c r="CE13" i="16"/>
  <c r="CB19" i="16"/>
  <c r="BS16" i="16"/>
  <c r="BP15" i="16"/>
  <c r="BM10" i="16"/>
  <c r="CB11" i="16"/>
  <c r="BP18" i="16"/>
  <c r="BY15" i="16"/>
  <c r="BM15" i="16"/>
  <c r="BS12" i="16"/>
  <c r="BP14" i="16"/>
  <c r="CN5" i="16"/>
  <c r="BP16" i="16"/>
  <c r="BV9" i="16"/>
  <c r="CH12" i="16"/>
  <c r="BS7" i="16"/>
  <c r="BM18" i="16"/>
  <c r="BM7" i="16"/>
  <c r="BP5" i="16"/>
  <c r="CK10" i="16"/>
  <c r="CB14" i="16"/>
  <c r="BM8" i="16"/>
  <c r="BY17" i="16"/>
  <c r="CE19" i="16"/>
  <c r="AF35" i="36"/>
  <c r="BK13" i="36"/>
  <c r="Q35" i="36"/>
  <c r="BK7" i="36"/>
  <c r="AO35" i="36"/>
  <c r="BK9" i="36"/>
  <c r="BK4" i="36"/>
  <c r="N35" i="36"/>
  <c r="H36" i="26"/>
  <c r="BL5" i="26"/>
  <c r="H22" i="26"/>
  <c r="BE5" i="35"/>
  <c r="BL13" i="24"/>
  <c r="W36" i="24"/>
  <c r="W22" i="24"/>
  <c r="BE5" i="34"/>
  <c r="BL15" i="31"/>
  <c r="W36" i="31"/>
  <c r="W22" i="31"/>
  <c r="BE14" i="29"/>
  <c r="BE12" i="25"/>
  <c r="BK14" i="28"/>
  <c r="AC35" i="28"/>
  <c r="AV4" i="21"/>
  <c r="AU32" i="21"/>
  <c r="AV21" i="21"/>
  <c r="AV34" i="21" s="1"/>
  <c r="AU21" i="21" s="1"/>
  <c r="BK13" i="20"/>
  <c r="AI35" i="20"/>
  <c r="BE6" i="35"/>
  <c r="T20" i="32"/>
  <c r="N20" i="32"/>
  <c r="AL20" i="32"/>
  <c r="H20" i="32"/>
  <c r="AI20" i="32"/>
  <c r="Q20" i="32"/>
  <c r="AO20" i="32"/>
  <c r="Z20" i="32"/>
  <c r="W20" i="32"/>
  <c r="AF20" i="32"/>
  <c r="K20" i="32"/>
  <c r="AC20" i="32"/>
  <c r="BK7" i="33"/>
  <c r="AL35" i="33"/>
  <c r="BL12" i="24"/>
  <c r="AC36" i="24"/>
  <c r="AC22" i="24"/>
  <c r="BL6" i="38"/>
  <c r="N36" i="38"/>
  <c r="N22" i="38"/>
  <c r="BE13" i="28"/>
  <c r="BL12" i="32"/>
  <c r="AF36" i="32"/>
  <c r="AF22" i="32"/>
  <c r="AU32" i="26"/>
  <c r="AV4" i="26"/>
  <c r="AV21" i="26" s="1"/>
  <c r="AV34" i="26" s="1"/>
  <c r="AU21" i="26" s="1"/>
  <c r="BK14" i="36"/>
  <c r="W35" i="36"/>
  <c r="BE8" i="1"/>
  <c r="AF35" i="25"/>
  <c r="BK14" i="25"/>
  <c r="T36" i="35"/>
  <c r="BL11" i="35"/>
  <c r="T22" i="35"/>
  <c r="BE12" i="28"/>
  <c r="BE9" i="20"/>
  <c r="S58" i="1"/>
  <c r="BE14" i="26"/>
  <c r="Z35" i="33"/>
  <c r="BK8" i="33"/>
  <c r="J58" i="25"/>
  <c r="AV21" i="20"/>
  <c r="AV34" i="20" s="1"/>
  <c r="AU21" i="20" s="1"/>
  <c r="BL9" i="21"/>
  <c r="Q36" i="21"/>
  <c r="Q22" i="21"/>
  <c r="M58" i="31"/>
  <c r="BE13" i="32"/>
  <c r="BE8" i="35"/>
  <c r="H35" i="28"/>
  <c r="BK5" i="28"/>
  <c r="AU32" i="24"/>
  <c r="AV4" i="24"/>
  <c r="AV21" i="24" s="1"/>
  <c r="AV34" i="24" s="1"/>
  <c r="AU21" i="24" s="1"/>
  <c r="J58" i="35"/>
  <c r="S58" i="20"/>
  <c r="BE11" i="32"/>
  <c r="AK58" i="26"/>
  <c r="AN58" i="35"/>
  <c r="BE8" i="20"/>
  <c r="AV4" i="23"/>
  <c r="AV21" i="23" s="1"/>
  <c r="AV34" i="23" s="1"/>
  <c r="AU21" i="23" s="1"/>
  <c r="AU32" i="23"/>
  <c r="AI23" i="36"/>
  <c r="AC35" i="35"/>
  <c r="BK12" i="35"/>
  <c r="BE13" i="35"/>
  <c r="BK8" i="1"/>
  <c r="AI35" i="1"/>
  <c r="Q35" i="34"/>
  <c r="BK6" i="34"/>
  <c r="BE6" i="33"/>
  <c r="AH58" i="31"/>
  <c r="BK13" i="27"/>
  <c r="W35" i="27"/>
  <c r="BL5" i="35"/>
  <c r="H36" i="35"/>
  <c r="H22" i="35"/>
  <c r="BE8" i="24"/>
  <c r="Z35" i="35"/>
  <c r="BK8" i="35"/>
  <c r="BE8" i="33"/>
  <c r="Y58" i="1"/>
  <c r="BE6" i="31"/>
  <c r="AH58" i="24"/>
  <c r="BK4" i="20"/>
  <c r="AO35" i="20"/>
  <c r="BE4" i="35"/>
  <c r="N35" i="26"/>
  <c r="BK4" i="26"/>
  <c r="P58" i="34"/>
  <c r="BK4" i="1"/>
  <c r="AO35" i="1"/>
  <c r="AC23" i="36"/>
  <c r="BE10" i="33"/>
  <c r="Q36" i="38"/>
  <c r="BL7" i="38"/>
  <c r="Q22" i="38"/>
  <c r="BK4" i="27"/>
  <c r="N35" i="27"/>
  <c r="BE15" i="21"/>
  <c r="P58" i="23"/>
  <c r="BE13" i="31"/>
  <c r="BE11" i="25"/>
  <c r="Y58" i="24"/>
  <c r="BE7" i="32"/>
  <c r="AY44" i="16"/>
  <c r="AZ44" i="16" s="1"/>
  <c r="BA44" i="16"/>
  <c r="BB44" i="16" s="1"/>
  <c r="BE11" i="33"/>
  <c r="AN58" i="25"/>
  <c r="BK11" i="24"/>
  <c r="AI35" i="24"/>
  <c r="P58" i="29"/>
  <c r="BK4" i="25"/>
  <c r="AO35" i="25"/>
  <c r="W35" i="30"/>
  <c r="BK15" i="30"/>
  <c r="AF22" i="26"/>
  <c r="AF36" i="26"/>
  <c r="BL13" i="26"/>
  <c r="BK11" i="28"/>
  <c r="T35" i="28"/>
  <c r="AC36" i="32"/>
  <c r="BL13" i="32"/>
  <c r="AC22" i="32"/>
  <c r="Y58" i="28"/>
  <c r="BE7" i="31"/>
  <c r="BE10" i="1"/>
  <c r="BE15" i="28"/>
  <c r="S58" i="24"/>
  <c r="Y58" i="29"/>
  <c r="BE14" i="24"/>
  <c r="BE5" i="31"/>
  <c r="BE14" i="28"/>
  <c r="BE8" i="25"/>
  <c r="BL11" i="26"/>
  <c r="AC36" i="26"/>
  <c r="AC22" i="26"/>
  <c r="BE8" i="32"/>
  <c r="G58" i="26"/>
  <c r="AF36" i="31"/>
  <c r="BL12" i="31"/>
  <c r="AF22" i="31"/>
  <c r="BL8" i="32"/>
  <c r="Z36" i="32"/>
  <c r="Z22" i="32"/>
  <c r="BL13" i="33"/>
  <c r="AC36" i="33"/>
  <c r="AC22" i="33"/>
  <c r="BE12" i="32"/>
  <c r="AN58" i="31"/>
  <c r="BL8" i="38"/>
  <c r="T36" i="38"/>
  <c r="T22" i="38"/>
  <c r="K20" i="1"/>
  <c r="AL20" i="1"/>
  <c r="Z20" i="1"/>
  <c r="AI20" i="1"/>
  <c r="T20" i="1"/>
  <c r="H20" i="1"/>
  <c r="W20" i="1"/>
  <c r="AF20" i="1"/>
  <c r="Q20" i="1"/>
  <c r="AC20" i="1"/>
  <c r="AO20" i="1"/>
  <c r="N20" i="1"/>
  <c r="BE6" i="34"/>
  <c r="J58" i="36"/>
  <c r="AE58" i="36"/>
  <c r="G58" i="31"/>
  <c r="BL11" i="23"/>
  <c r="T36" i="23"/>
  <c r="T22" i="23"/>
  <c r="BA42" i="16"/>
  <c r="BB42" i="16" s="1"/>
  <c r="AY42" i="16"/>
  <c r="AZ42" i="16" s="1"/>
  <c r="J58" i="30"/>
  <c r="AH58" i="20"/>
  <c r="AF22" i="33"/>
  <c r="BL12" i="33"/>
  <c r="AF36" i="33"/>
  <c r="N35" i="32"/>
  <c r="BK4" i="32"/>
  <c r="BL8" i="24"/>
  <c r="Q36" i="24"/>
  <c r="Q22" i="24"/>
  <c r="T36" i="21"/>
  <c r="BL12" i="21"/>
  <c r="T22" i="21"/>
  <c r="BE5" i="23"/>
  <c r="BE7" i="26"/>
  <c r="BE11" i="26"/>
  <c r="AB58" i="33"/>
  <c r="AC35" i="25"/>
  <c r="BK10" i="25"/>
  <c r="BE12" i="20"/>
  <c r="K35" i="25"/>
  <c r="BK15" i="25"/>
  <c r="AC35" i="34"/>
  <c r="BK13" i="34"/>
  <c r="Z20" i="26"/>
  <c r="T20" i="26"/>
  <c r="H20" i="26"/>
  <c r="Q20" i="26"/>
  <c r="AI20" i="26"/>
  <c r="K20" i="26"/>
  <c r="W20" i="26"/>
  <c r="AF20" i="26"/>
  <c r="AL20" i="26"/>
  <c r="AO20" i="26"/>
  <c r="AC20" i="26"/>
  <c r="N20" i="26"/>
  <c r="BL5" i="30"/>
  <c r="H36" i="30"/>
  <c r="H22" i="30"/>
  <c r="T22" i="33"/>
  <c r="T36" i="33"/>
  <c r="BL11" i="33"/>
  <c r="BE4" i="28"/>
  <c r="V58" i="30"/>
  <c r="M58" i="36"/>
  <c r="BE10" i="35"/>
  <c r="BE14" i="21"/>
  <c r="AB58" i="30"/>
  <c r="BE13" i="1"/>
  <c r="H35" i="20"/>
  <c r="BK5" i="20"/>
  <c r="BK10" i="29"/>
  <c r="T35" i="29"/>
  <c r="BE4" i="34"/>
  <c r="AE58" i="29"/>
  <c r="W36" i="36"/>
  <c r="BL14" i="36"/>
  <c r="Z35" i="29"/>
  <c r="BK7" i="29"/>
  <c r="BE12" i="30"/>
  <c r="S58" i="33"/>
  <c r="BK6" i="26"/>
  <c r="Q35" i="26"/>
  <c r="BK10" i="24"/>
  <c r="T35" i="24"/>
  <c r="BE5" i="21"/>
  <c r="BE7" i="30"/>
  <c r="BE6" i="23"/>
  <c r="AV21" i="29"/>
  <c r="AV34" i="29" s="1"/>
  <c r="AU21" i="29" s="1"/>
  <c r="BE10" i="24"/>
  <c r="AV4" i="31"/>
  <c r="AV21" i="31" s="1"/>
  <c r="AV34" i="31" s="1"/>
  <c r="AU21" i="31" s="1"/>
  <c r="AU32" i="31"/>
  <c r="BE12" i="21"/>
  <c r="AK58" i="35"/>
  <c r="BK12" i="34"/>
  <c r="AF35" i="34"/>
  <c r="BE11" i="34"/>
  <c r="BE13" i="25"/>
  <c r="BE11" i="29"/>
  <c r="AU32" i="32"/>
  <c r="AV4" i="32"/>
  <c r="AV21" i="32" s="1"/>
  <c r="AV34" i="32" s="1"/>
  <c r="AU21" i="32" s="1"/>
  <c r="BE14" i="35"/>
  <c r="AL36" i="24"/>
  <c r="BL9" i="24"/>
  <c r="AL22" i="24"/>
  <c r="AI36" i="32"/>
  <c r="BL10" i="32"/>
  <c r="AI22" i="32"/>
  <c r="AV4" i="34"/>
  <c r="AV21" i="34" s="1"/>
  <c r="AV34" i="34" s="1"/>
  <c r="AU21" i="34" s="1"/>
  <c r="AU32" i="34"/>
  <c r="BE9" i="35"/>
  <c r="BE14" i="27"/>
  <c r="Y58" i="31"/>
  <c r="AH58" i="23"/>
  <c r="BE7" i="34"/>
  <c r="P58" i="28"/>
  <c r="H35" i="27"/>
  <c r="BK6" i="27"/>
  <c r="AK58" i="21"/>
  <c r="AK58" i="20"/>
  <c r="N35" i="20"/>
  <c r="BK8" i="20"/>
  <c r="AB58" i="23"/>
  <c r="BK11" i="1"/>
  <c r="Q35" i="1"/>
  <c r="BE12" i="26"/>
  <c r="BK6" i="33"/>
  <c r="Q35" i="33"/>
  <c r="BE13" i="27"/>
  <c r="H35" i="36"/>
  <c r="BK5" i="36"/>
  <c r="BE9" i="31"/>
  <c r="BE6" i="20"/>
  <c r="BL13" i="35"/>
  <c r="AF36" i="35"/>
  <c r="AF22" i="35"/>
  <c r="BE9" i="33"/>
  <c r="P58" i="1"/>
  <c r="BE13" i="33"/>
  <c r="Q35" i="20"/>
  <c r="BK7" i="20"/>
  <c r="BE8" i="23"/>
  <c r="BE4" i="29"/>
  <c r="BE4" i="32"/>
  <c r="AK58" i="31"/>
  <c r="Q20" i="33"/>
  <c r="H20" i="33"/>
  <c r="AO20" i="33"/>
  <c r="AL20" i="33"/>
  <c r="AF20" i="33"/>
  <c r="N20" i="33"/>
  <c r="Z20" i="33"/>
  <c r="AC20" i="33"/>
  <c r="AI20" i="33"/>
  <c r="T20" i="33"/>
  <c r="W20" i="33"/>
  <c r="K20" i="33"/>
  <c r="P58" i="31"/>
  <c r="BE7" i="20"/>
  <c r="K20" i="27"/>
  <c r="AF20" i="27"/>
  <c r="AC20" i="27"/>
  <c r="T20" i="27"/>
  <c r="N20" i="27"/>
  <c r="Q20" i="27"/>
  <c r="AL20" i="27"/>
  <c r="W20" i="27"/>
  <c r="H20" i="27"/>
  <c r="Z20" i="27"/>
  <c r="AO20" i="27"/>
  <c r="AI20" i="27"/>
  <c r="BE8" i="30"/>
  <c r="AB58" i="1"/>
  <c r="Y58" i="34"/>
  <c r="BK10" i="33"/>
  <c r="AI35" i="33"/>
  <c r="AO35" i="27"/>
  <c r="BK9" i="27"/>
  <c r="AK58" i="27"/>
  <c r="V58" i="28"/>
  <c r="BL14" i="31"/>
  <c r="AC36" i="31"/>
  <c r="AC22" i="31"/>
  <c r="BE12" i="31"/>
  <c r="BE10" i="28"/>
  <c r="AE58" i="23"/>
  <c r="P58" i="27"/>
  <c r="AB58" i="32"/>
  <c r="N35" i="23"/>
  <c r="BK4" i="23"/>
  <c r="S58" i="34"/>
  <c r="BE12" i="35"/>
  <c r="K36" i="23"/>
  <c r="BL15" i="23"/>
  <c r="K22" i="23"/>
  <c r="AN58" i="1"/>
  <c r="V58" i="34"/>
  <c r="BE5" i="1"/>
  <c r="BE5" i="20"/>
  <c r="BE9" i="26"/>
  <c r="BE13" i="21"/>
  <c r="AN58" i="29"/>
  <c r="AF36" i="29"/>
  <c r="BL12" i="29"/>
  <c r="AF22" i="29"/>
  <c r="BK5" i="27"/>
  <c r="Q35" i="27"/>
  <c r="AL35" i="1"/>
  <c r="BK9" i="1"/>
  <c r="BE6" i="1"/>
  <c r="BE12" i="23"/>
  <c r="BE5" i="27"/>
  <c r="AV4" i="28"/>
  <c r="AV21" i="28" s="1"/>
  <c r="AV34" i="28" s="1"/>
  <c r="AU21" i="28" s="1"/>
  <c r="AU32" i="28"/>
  <c r="BK8" i="28"/>
  <c r="AL35" i="28"/>
  <c r="AU32" i="36"/>
  <c r="AV4" i="36"/>
  <c r="AV21" i="36" s="1"/>
  <c r="AV34" i="36" s="1"/>
  <c r="AU21" i="36" s="1"/>
  <c r="W35" i="25"/>
  <c r="BK13" i="25"/>
  <c r="M58" i="32"/>
  <c r="BE9" i="1"/>
  <c r="BK10" i="30"/>
  <c r="AI35" i="30"/>
  <c r="BE5" i="33"/>
  <c r="N36" i="33"/>
  <c r="BL4" i="33"/>
  <c r="N22" i="33"/>
  <c r="Z35" i="20"/>
  <c r="BK6" i="20"/>
  <c r="AH58" i="29"/>
  <c r="J58" i="34"/>
  <c r="BE14" i="31"/>
  <c r="AC36" i="38"/>
  <c r="BL11" i="38"/>
  <c r="AC22" i="38"/>
  <c r="G58" i="25"/>
  <c r="BE14" i="33"/>
  <c r="T35" i="20"/>
  <c r="BK12" i="20"/>
  <c r="BE8" i="29"/>
  <c r="BE6" i="32"/>
  <c r="BK15" i="1"/>
  <c r="W35" i="1"/>
  <c r="J58" i="27"/>
  <c r="BE12" i="34"/>
  <c r="J58" i="32"/>
  <c r="AI35" i="27"/>
  <c r="BK12" i="27"/>
  <c r="P58" i="25"/>
  <c r="AB58" i="28"/>
  <c r="H20" i="28"/>
  <c r="AO20" i="28"/>
  <c r="AL20" i="28"/>
  <c r="N20" i="28"/>
  <c r="Q20" i="28"/>
  <c r="Z20" i="28"/>
  <c r="W20" i="28"/>
  <c r="AC20" i="28"/>
  <c r="K20" i="28"/>
  <c r="AF20" i="28"/>
  <c r="AI20" i="28"/>
  <c r="T20" i="28"/>
  <c r="BK14" i="1"/>
  <c r="AF35" i="1"/>
  <c r="BL6" i="28"/>
  <c r="Q36" i="28"/>
  <c r="Q22" i="28"/>
  <c r="BK10" i="1"/>
  <c r="T35" i="1"/>
  <c r="BK13" i="1"/>
  <c r="AC35" i="1"/>
  <c r="BE4" i="1"/>
  <c r="BE14" i="34"/>
  <c r="AV4" i="27"/>
  <c r="AV21" i="27" s="1"/>
  <c r="AV34" i="27" s="1"/>
  <c r="AU21" i="27" s="1"/>
  <c r="AU32" i="27"/>
  <c r="BE7" i="33"/>
  <c r="W20" i="21"/>
  <c r="AF20" i="21"/>
  <c r="N20" i="21"/>
  <c r="AO20" i="21"/>
  <c r="Z20" i="21"/>
  <c r="AI20" i="21"/>
  <c r="T20" i="21"/>
  <c r="K20" i="21"/>
  <c r="AC20" i="21"/>
  <c r="Q20" i="21"/>
  <c r="AL20" i="21"/>
  <c r="H20" i="21"/>
  <c r="P58" i="36"/>
  <c r="W35" i="29"/>
  <c r="BK13" i="29"/>
  <c r="BK6" i="21"/>
  <c r="H35" i="21"/>
  <c r="J58" i="20"/>
  <c r="BK12" i="1"/>
  <c r="K35" i="1"/>
  <c r="BE7" i="24"/>
  <c r="AF36" i="23"/>
  <c r="BL14" i="23"/>
  <c r="AF22" i="23"/>
  <c r="BL4" i="34"/>
  <c r="N36" i="34"/>
  <c r="N22" i="34"/>
  <c r="H36" i="34"/>
  <c r="BL5" i="34"/>
  <c r="H22" i="34"/>
  <c r="BL8" i="34"/>
  <c r="Z36" i="34"/>
  <c r="Z22" i="34"/>
  <c r="BE6" i="30"/>
  <c r="BE4" i="26"/>
  <c r="BE9" i="34"/>
  <c r="AY39" i="16"/>
  <c r="AZ39" i="16" s="1"/>
  <c r="BA39" i="16"/>
  <c r="BB39" i="16" s="1"/>
  <c r="BE8" i="34"/>
  <c r="BK7" i="24"/>
  <c r="H35" i="24"/>
  <c r="BE15" i="29"/>
  <c r="BL8" i="36"/>
  <c r="Z36" i="36"/>
  <c r="N35" i="1"/>
  <c r="BK6" i="1"/>
  <c r="BE5" i="29"/>
  <c r="W35" i="28"/>
  <c r="BK13" i="28"/>
  <c r="AU32" i="29"/>
  <c r="K36" i="29"/>
  <c r="BL15" i="29"/>
  <c r="K22" i="29"/>
  <c r="Z35" i="1"/>
  <c r="BK5" i="1"/>
  <c r="BE10" i="27"/>
  <c r="G58" i="27"/>
  <c r="BK7" i="1"/>
  <c r="H35" i="1"/>
  <c r="K22" i="31"/>
  <c r="BL13" i="31"/>
  <c r="K36" i="31"/>
  <c r="AC35" i="20"/>
  <c r="BK14" i="20"/>
  <c r="BE15" i="25"/>
  <c r="AB58" i="26"/>
  <c r="Q35" i="32"/>
  <c r="BK6" i="32"/>
  <c r="BL9" i="30"/>
  <c r="AO36" i="30"/>
  <c r="AO22" i="30"/>
  <c r="AC36" i="29"/>
  <c r="BL14" i="29"/>
  <c r="AC22" i="29"/>
  <c r="BK13" i="38"/>
  <c r="AI35" i="38"/>
  <c r="BK12" i="23"/>
  <c r="AC35" i="23"/>
  <c r="BA36" i="16"/>
  <c r="BB36" i="16" s="1"/>
  <c r="AY36" i="16"/>
  <c r="AZ36" i="16" s="1"/>
  <c r="BL14" i="30"/>
  <c r="AC36" i="30"/>
  <c r="AC22" i="30"/>
  <c r="Q36" i="30"/>
  <c r="BL6" i="30"/>
  <c r="Q22" i="30"/>
  <c r="AI20" i="31"/>
  <c r="T20" i="31"/>
  <c r="AL20" i="31"/>
  <c r="Z20" i="31"/>
  <c r="Q20" i="31"/>
  <c r="H20" i="31"/>
  <c r="W20" i="31"/>
  <c r="K20" i="31"/>
  <c r="AO20" i="31"/>
  <c r="AC20" i="31"/>
  <c r="AF20" i="31"/>
  <c r="N20" i="31"/>
  <c r="BK10" i="20"/>
  <c r="K35" i="20"/>
  <c r="BE14" i="1"/>
  <c r="AO36" i="36"/>
  <c r="BL9" i="36"/>
  <c r="AB58" i="36"/>
  <c r="BK7" i="25"/>
  <c r="Q35" i="25"/>
  <c r="BE4" i="24"/>
  <c r="M58" i="25"/>
  <c r="BE7" i="27"/>
  <c r="BL7" i="28"/>
  <c r="Z36" i="28"/>
  <c r="Z22" i="28"/>
  <c r="AF35" i="24"/>
  <c r="BK14" i="24"/>
  <c r="H20" i="23"/>
  <c r="Z20" i="23"/>
  <c r="W20" i="23"/>
  <c r="AC20" i="23"/>
  <c r="N20" i="23"/>
  <c r="AL20" i="23"/>
  <c r="K20" i="23"/>
  <c r="AO20" i="23"/>
  <c r="AI20" i="23"/>
  <c r="AF20" i="23"/>
  <c r="Q20" i="23"/>
  <c r="T20" i="23"/>
  <c r="M58" i="26"/>
  <c r="AK58" i="33"/>
  <c r="Y58" i="25"/>
  <c r="AO22" i="35"/>
  <c r="BL9" i="35"/>
  <c r="AO36" i="35"/>
  <c r="AB58" i="35"/>
  <c r="BL5" i="21"/>
  <c r="AO36" i="21"/>
  <c r="AO22" i="21"/>
  <c r="AY41" i="16"/>
  <c r="AZ41" i="16" s="1"/>
  <c r="BA41" i="16"/>
  <c r="BB41" i="16" s="1"/>
  <c r="BK4" i="29"/>
  <c r="N35" i="29"/>
  <c r="BL10" i="26"/>
  <c r="T36" i="26"/>
  <c r="T22" i="26"/>
  <c r="S58" i="28"/>
  <c r="BE10" i="21"/>
  <c r="S58" i="21"/>
  <c r="BE8" i="21"/>
  <c r="BE10" i="26"/>
  <c r="AH58" i="35"/>
  <c r="BL13" i="30"/>
  <c r="K36" i="30"/>
  <c r="K22" i="30"/>
  <c r="AI20" i="20"/>
  <c r="T20" i="20"/>
  <c r="N20" i="20"/>
  <c r="AF20" i="20"/>
  <c r="Q20" i="20"/>
  <c r="Z20" i="20"/>
  <c r="K20" i="20"/>
  <c r="AC20" i="20"/>
  <c r="AL20" i="20"/>
  <c r="W20" i="20"/>
  <c r="AO20" i="20"/>
  <c r="H20" i="20"/>
  <c r="AE58" i="20"/>
  <c r="AB58" i="20"/>
  <c r="AH58" i="34"/>
  <c r="K36" i="32"/>
  <c r="BL15" i="32"/>
  <c r="K22" i="32"/>
  <c r="AH58" i="21"/>
  <c r="BE7" i="23"/>
  <c r="Q36" i="36"/>
  <c r="BL7" i="36"/>
  <c r="AU32" i="33"/>
  <c r="AV4" i="33"/>
  <c r="AV21" i="33" s="1"/>
  <c r="AV34" i="33" s="1"/>
  <c r="AU21" i="33" s="1"/>
  <c r="Z36" i="26"/>
  <c r="BL7" i="26"/>
  <c r="Z22" i="26"/>
  <c r="BE11" i="1"/>
  <c r="Y58" i="23"/>
  <c r="AK58" i="1"/>
  <c r="BE9" i="30"/>
  <c r="BE10" i="32"/>
  <c r="BE9" i="28"/>
  <c r="G58" i="36"/>
  <c r="V58" i="29"/>
  <c r="Q35" i="29"/>
  <c r="BK5" i="29"/>
  <c r="BK10" i="21"/>
  <c r="AL35" i="21"/>
  <c r="Q36" i="31"/>
  <c r="BL6" i="31"/>
  <c r="Q22" i="31"/>
  <c r="BE14" i="30"/>
  <c r="BL7" i="27"/>
  <c r="Z36" i="27"/>
  <c r="Z22" i="27"/>
  <c r="BE12" i="24"/>
  <c r="Y58" i="36"/>
  <c r="BK15" i="26"/>
  <c r="K35" i="26"/>
  <c r="T36" i="27"/>
  <c r="BL10" i="27"/>
  <c r="T22" i="27"/>
  <c r="BL15" i="28"/>
  <c r="K36" i="28"/>
  <c r="K22" i="28"/>
  <c r="V58" i="23"/>
  <c r="BL4" i="36"/>
  <c r="N36" i="36"/>
  <c r="AI36" i="28"/>
  <c r="BL10" i="28"/>
  <c r="AI22" i="28"/>
  <c r="BL9" i="32"/>
  <c r="AO36" i="32"/>
  <c r="AO22" i="32"/>
  <c r="BL4" i="28"/>
  <c r="N36" i="28"/>
  <c r="N22" i="28"/>
  <c r="BL12" i="25"/>
  <c r="AI36" i="25"/>
  <c r="AI22" i="25"/>
  <c r="AO20" i="25"/>
  <c r="K20" i="25"/>
  <c r="T20" i="25"/>
  <c r="H20" i="25"/>
  <c r="AL20" i="25"/>
  <c r="AF20" i="25"/>
  <c r="Z20" i="25"/>
  <c r="AC20" i="25"/>
  <c r="W20" i="25"/>
  <c r="AI20" i="25"/>
  <c r="N20" i="25"/>
  <c r="Q20" i="25"/>
  <c r="BE7" i="28"/>
  <c r="BE12" i="1"/>
  <c r="AC20" i="36"/>
  <c r="H20" i="36"/>
  <c r="Z20" i="36"/>
  <c r="AL20" i="36"/>
  <c r="Q20" i="36"/>
  <c r="AO20" i="36"/>
  <c r="W20" i="36"/>
  <c r="K20" i="36"/>
  <c r="N20" i="36"/>
  <c r="AF20" i="36"/>
  <c r="T20" i="36"/>
  <c r="AI20" i="36"/>
  <c r="AH58" i="26"/>
  <c r="T35" i="30"/>
  <c r="BK11" i="30"/>
  <c r="BE5" i="25"/>
  <c r="AL35" i="32"/>
  <c r="BK7" i="32"/>
  <c r="J58" i="26"/>
  <c r="BL4" i="30"/>
  <c r="N36" i="30"/>
  <c r="N22" i="30"/>
  <c r="AL22" i="31"/>
  <c r="AL36" i="31"/>
  <c r="BL8" i="31"/>
  <c r="S58" i="31"/>
  <c r="BE10" i="23"/>
  <c r="BE7" i="25"/>
  <c r="AV4" i="35"/>
  <c r="AV21" i="35" s="1"/>
  <c r="AV34" i="35" s="1"/>
  <c r="AU21" i="35" s="1"/>
  <c r="AU32" i="35"/>
  <c r="BE13" i="23"/>
  <c r="BE9" i="25"/>
  <c r="BE12" i="29"/>
  <c r="BE4" i="27"/>
  <c r="BE13" i="29"/>
  <c r="BE7" i="29"/>
  <c r="BE9" i="32"/>
  <c r="Q35" i="35"/>
  <c r="BK7" i="35"/>
  <c r="BE8" i="27"/>
  <c r="Z35" i="30"/>
  <c r="BK7" i="30"/>
  <c r="BE11" i="30"/>
  <c r="BK11" i="21"/>
  <c r="K35" i="21"/>
  <c r="BL5" i="32"/>
  <c r="H36" i="32"/>
  <c r="H22" i="32"/>
  <c r="BK15" i="34"/>
  <c r="K35" i="34"/>
  <c r="BE15" i="1"/>
  <c r="BE4" i="20"/>
  <c r="BE9" i="21"/>
  <c r="BE6" i="27"/>
  <c r="G58" i="34"/>
  <c r="G58" i="23"/>
  <c r="BE11" i="21"/>
  <c r="BE9" i="27"/>
  <c r="BK5" i="25"/>
  <c r="N35" i="25"/>
  <c r="BL12" i="28"/>
  <c r="AF36" i="28"/>
  <c r="AF22" i="28"/>
  <c r="AI36" i="31"/>
  <c r="BL10" i="31"/>
  <c r="AI22" i="31"/>
  <c r="BL5" i="31"/>
  <c r="H36" i="31"/>
  <c r="H22" i="31"/>
  <c r="Z36" i="24"/>
  <c r="BL6" i="24"/>
  <c r="Z22" i="24"/>
  <c r="BE8" i="26"/>
  <c r="BE14" i="32"/>
  <c r="BE11" i="27"/>
  <c r="BA43" i="16"/>
  <c r="BB43" i="16" s="1"/>
  <c r="AY43" i="16"/>
  <c r="AZ43" i="16" s="1"/>
  <c r="J58" i="24"/>
  <c r="AL36" i="27"/>
  <c r="BL8" i="27"/>
  <c r="AL22" i="27"/>
  <c r="BE14" i="23"/>
  <c r="BE10" i="25"/>
  <c r="T23" i="36"/>
  <c r="H35" i="23"/>
  <c r="BK6" i="23"/>
  <c r="BE6" i="29"/>
  <c r="AO35" i="34"/>
  <c r="BK9" i="34"/>
  <c r="BE8" i="28"/>
  <c r="BK9" i="29"/>
  <c r="AO35" i="29"/>
  <c r="BL11" i="29"/>
  <c r="AI36" i="29"/>
  <c r="AI22" i="29"/>
  <c r="AC20" i="35"/>
  <c r="Q20" i="35"/>
  <c r="Z20" i="35"/>
  <c r="AL20" i="35"/>
  <c r="T20" i="35"/>
  <c r="H20" i="35"/>
  <c r="AF20" i="35"/>
  <c r="W20" i="35"/>
  <c r="AO20" i="35"/>
  <c r="K20" i="35"/>
  <c r="N20" i="35"/>
  <c r="AI20" i="35"/>
  <c r="BE5" i="30"/>
  <c r="AV4" i="30"/>
  <c r="AV21" i="30" s="1"/>
  <c r="AV34" i="30" s="1"/>
  <c r="AU21" i="30" s="1"/>
  <c r="AU32" i="30"/>
  <c r="BA38" i="16"/>
  <c r="AY38" i="16"/>
  <c r="AZ38" i="16" s="1"/>
  <c r="W36" i="35"/>
  <c r="BL14" i="35"/>
  <c r="W22" i="35"/>
  <c r="T36" i="34"/>
  <c r="BL11" i="34"/>
  <c r="T22" i="34"/>
  <c r="AC20" i="30"/>
  <c r="N20" i="30"/>
  <c r="W20" i="30"/>
  <c r="H20" i="30"/>
  <c r="AF20" i="30"/>
  <c r="Z20" i="30"/>
  <c r="AI20" i="30"/>
  <c r="T20" i="30"/>
  <c r="AL20" i="30"/>
  <c r="AO20" i="30"/>
  <c r="K20" i="30"/>
  <c r="Q20" i="30"/>
  <c r="N36" i="24"/>
  <c r="BL5" i="24"/>
  <c r="N22" i="24"/>
  <c r="AO22" i="28"/>
  <c r="AO36" i="28"/>
  <c r="BL9" i="28"/>
  <c r="BE13" i="26"/>
  <c r="AF36" i="36"/>
  <c r="BL13" i="36"/>
  <c r="BE11" i="24"/>
  <c r="BL5" i="33"/>
  <c r="H36" i="33"/>
  <c r="H22" i="33"/>
  <c r="BE6" i="21"/>
  <c r="BE10" i="30"/>
  <c r="BL10" i="35"/>
  <c r="AI36" i="35"/>
  <c r="AI22" i="35"/>
  <c r="T35" i="32"/>
  <c r="BK11" i="32"/>
  <c r="AY40" i="16"/>
  <c r="AZ40" i="16" s="1"/>
  <c r="BA40" i="16"/>
  <c r="BB40" i="16" s="1"/>
  <c r="BE5" i="24"/>
  <c r="BK10" i="23"/>
  <c r="W35" i="23"/>
  <c r="Z36" i="23"/>
  <c r="BL8" i="23"/>
  <c r="Z22" i="23"/>
  <c r="BK10" i="34"/>
  <c r="AI35" i="34"/>
  <c r="AF35" i="21"/>
  <c r="BK15" i="21"/>
  <c r="K36" i="33"/>
  <c r="BL15" i="33"/>
  <c r="K22" i="33"/>
  <c r="H20" i="29"/>
  <c r="AL20" i="29"/>
  <c r="Z20" i="29"/>
  <c r="AO20" i="29"/>
  <c r="Q20" i="29"/>
  <c r="T20" i="29"/>
  <c r="N20" i="29"/>
  <c r="K20" i="29"/>
  <c r="W20" i="29"/>
  <c r="AF20" i="29"/>
  <c r="AC20" i="29"/>
  <c r="AI20" i="29"/>
  <c r="BE10" i="29"/>
  <c r="V58" i="24"/>
  <c r="BE9" i="24"/>
  <c r="T35" i="25"/>
  <c r="BK11" i="25"/>
  <c r="AB58" i="21"/>
  <c r="BE13" i="30"/>
  <c r="AL35" i="20"/>
  <c r="BK11" i="20"/>
  <c r="BE9" i="23"/>
  <c r="BE14" i="25"/>
  <c r="AB58" i="27"/>
  <c r="M58" i="33"/>
  <c r="AI36" i="26"/>
  <c r="BL12" i="26"/>
  <c r="AI22" i="26"/>
  <c r="BK4" i="31"/>
  <c r="N35" i="31"/>
  <c r="AL36" i="35"/>
  <c r="BL6" i="35"/>
  <c r="AL22" i="35"/>
  <c r="BE12" i="33"/>
  <c r="BE7" i="1"/>
  <c r="AF20" i="24"/>
  <c r="AL20" i="24"/>
  <c r="AO20" i="24"/>
  <c r="K20" i="24"/>
  <c r="N20" i="24"/>
  <c r="AI20" i="24"/>
  <c r="T20" i="24"/>
  <c r="Q20" i="24"/>
  <c r="H20" i="24"/>
  <c r="W20" i="24"/>
  <c r="AC20" i="24"/>
  <c r="Z20" i="24"/>
  <c r="AL35" i="29"/>
  <c r="BK8" i="29"/>
  <c r="W35" i="32"/>
  <c r="BK14" i="32"/>
  <c r="AE58" i="33"/>
  <c r="AO35" i="26"/>
  <c r="BK8" i="26"/>
  <c r="BE4" i="21"/>
  <c r="AF35" i="27"/>
  <c r="BK11" i="27"/>
  <c r="S58" i="23"/>
  <c r="AF36" i="30"/>
  <c r="BL12" i="30"/>
  <c r="AF22" i="30"/>
  <c r="T36" i="31"/>
  <c r="BL11" i="31"/>
  <c r="T22" i="31"/>
  <c r="J58" i="33"/>
  <c r="AN58" i="24"/>
  <c r="AC35" i="21"/>
  <c r="BK14" i="21"/>
  <c r="BE4" i="25"/>
  <c r="H35" i="25"/>
  <c r="BK6" i="25"/>
  <c r="H35" i="29"/>
  <c r="BK6" i="29"/>
  <c r="BE7" i="21"/>
  <c r="BE8" i="31"/>
  <c r="BE11" i="20"/>
  <c r="BL9" i="25"/>
  <c r="AL36" i="25"/>
  <c r="AL22" i="25"/>
  <c r="W35" i="38"/>
  <c r="BK9" i="38"/>
  <c r="AV4" i="25"/>
  <c r="AV21" i="25"/>
  <c r="AV34" i="25" s="1"/>
  <c r="AU21" i="25" s="1"/>
  <c r="AU32" i="25"/>
  <c r="BE15" i="34"/>
  <c r="BE10" i="31"/>
  <c r="BK14" i="34"/>
  <c r="W35" i="34"/>
  <c r="AO22" i="23"/>
  <c r="AO36" i="23"/>
  <c r="BL5" i="23"/>
  <c r="N35" i="35"/>
  <c r="BK4" i="35"/>
  <c r="Z36" i="31"/>
  <c r="BL7" i="31"/>
  <c r="Z22" i="31"/>
  <c r="BE6" i="28"/>
  <c r="BE13" i="24"/>
  <c r="BE9" i="29"/>
  <c r="BE7" i="35"/>
  <c r="BE5" i="32"/>
  <c r="AU32" i="1"/>
  <c r="AV4" i="1"/>
  <c r="AV21" i="1" s="1"/>
  <c r="AV34" i="1" s="1"/>
  <c r="AU21" i="1" s="1"/>
  <c r="BE4" i="31"/>
  <c r="BE6" i="26"/>
  <c r="BE12" i="27"/>
  <c r="N36" i="21"/>
  <c r="BL8" i="21"/>
  <c r="N22" i="21"/>
  <c r="AL36" i="30"/>
  <c r="BL8" i="30"/>
  <c r="AL22" i="30"/>
  <c r="BE13" i="34"/>
  <c r="BE15" i="31"/>
  <c r="AI20" i="34"/>
  <c r="T20" i="34"/>
  <c r="W20" i="34"/>
  <c r="H20" i="34"/>
  <c r="K20" i="34"/>
  <c r="AL20" i="34"/>
  <c r="AF20" i="34"/>
  <c r="AO20" i="34"/>
  <c r="Q20" i="34"/>
  <c r="N20" i="34"/>
  <c r="AC20" i="34"/>
  <c r="Z20" i="34"/>
  <c r="BE11" i="31"/>
  <c r="BE11" i="28"/>
  <c r="BE4" i="30"/>
  <c r="BE13" i="20"/>
  <c r="BK15" i="20"/>
  <c r="BI15" i="20" s="1"/>
  <c r="AF35" i="20"/>
  <c r="BE15" i="32"/>
  <c r="BE6" i="25"/>
  <c r="BE5" i="28"/>
  <c r="W36" i="21"/>
  <c r="BL4" i="21"/>
  <c r="W22" i="21"/>
  <c r="BL13" i="23"/>
  <c r="AI36" i="23"/>
  <c r="AI22" i="23"/>
  <c r="BK9" i="26"/>
  <c r="AL35" i="26"/>
  <c r="BK14" i="27"/>
  <c r="K35" i="27"/>
  <c r="G58" i="35"/>
  <c r="BE4" i="23"/>
  <c r="BE10" i="34"/>
  <c r="K35" i="24"/>
  <c r="BK15" i="24"/>
  <c r="BE11" i="23"/>
  <c r="W35" i="33"/>
  <c r="BK14" i="33"/>
  <c r="BE10" i="20"/>
  <c r="BK7" i="23"/>
  <c r="Q35" i="23"/>
  <c r="BK9" i="20"/>
  <c r="W35" i="20"/>
  <c r="BL4" i="24"/>
  <c r="AO36" i="24"/>
  <c r="AO22" i="24"/>
  <c r="AI36" i="21"/>
  <c r="BL13" i="21"/>
  <c r="AI22" i="21"/>
  <c r="AL36" i="34"/>
  <c r="BL7" i="34"/>
  <c r="AL22" i="34"/>
  <c r="AC36" i="27"/>
  <c r="BL15" i="27"/>
  <c r="AC22" i="27"/>
  <c r="BE5" i="26"/>
  <c r="BE15" i="30"/>
  <c r="Z36" i="38"/>
  <c r="BL10" i="38"/>
  <c r="Z22" i="38"/>
  <c r="BE6" i="24"/>
  <c r="BL14" i="26"/>
  <c r="W36" i="26"/>
  <c r="W22" i="26"/>
  <c r="AO35" i="33"/>
  <c r="BK9" i="33"/>
  <c r="AL22" i="23"/>
  <c r="AL36" i="23"/>
  <c r="BL9" i="23"/>
  <c r="BL7" i="21"/>
  <c r="Z36" i="21"/>
  <c r="Z22" i="21"/>
  <c r="AL36" i="38"/>
  <c r="BL14" i="38"/>
  <c r="AL22" i="38"/>
  <c r="Z35" i="36"/>
  <c r="BK8" i="36"/>
  <c r="H36" i="36"/>
  <c r="BL5" i="36"/>
  <c r="BL15" i="36"/>
  <c r="BE4" i="33"/>
  <c r="K35" i="35"/>
  <c r="BK15" i="35"/>
  <c r="BE11" i="35"/>
  <c r="K36" i="36" l="1"/>
  <c r="AL36" i="36"/>
  <c r="CL9" i="16"/>
  <c r="CC8" i="16"/>
  <c r="CO13" i="16"/>
  <c r="AL22" i="36"/>
  <c r="BK6" i="36" s="1"/>
  <c r="BI12" i="1"/>
  <c r="AB22" i="1"/>
  <c r="AB40" i="1" s="1"/>
  <c r="CF18" i="16"/>
  <c r="BK9" i="31"/>
  <c r="CL16" i="16"/>
  <c r="BT7" i="16"/>
  <c r="BT19" i="16"/>
  <c r="BK15" i="36"/>
  <c r="BK8" i="25"/>
  <c r="BI15" i="25" s="1"/>
  <c r="AH22" i="20"/>
  <c r="BT14" i="20" s="1"/>
  <c r="BU14" i="20" s="1"/>
  <c r="CI10" i="16"/>
  <c r="CL5" i="16"/>
  <c r="BN15" i="16"/>
  <c r="CR14" i="16"/>
  <c r="BK14" i="16"/>
  <c r="BQ11" i="16"/>
  <c r="BT6" i="16"/>
  <c r="AU43" i="16"/>
  <c r="BT17" i="16"/>
  <c r="CR12" i="16"/>
  <c r="BI11" i="20"/>
  <c r="BK12" i="28"/>
  <c r="AF35" i="28"/>
  <c r="BK4" i="28"/>
  <c r="N35" i="28"/>
  <c r="BK7" i="28"/>
  <c r="BI11" i="28" s="1"/>
  <c r="Z35" i="28"/>
  <c r="BI12" i="20"/>
  <c r="H35" i="30"/>
  <c r="BK5" i="30"/>
  <c r="BK13" i="26"/>
  <c r="AF35" i="26"/>
  <c r="CO5" i="16"/>
  <c r="CF16" i="16"/>
  <c r="BK9" i="30"/>
  <c r="AO35" i="30"/>
  <c r="W35" i="31"/>
  <c r="BK15" i="31"/>
  <c r="BN5" i="16"/>
  <c r="BN8" i="16"/>
  <c r="CF9" i="16"/>
  <c r="CF15" i="16"/>
  <c r="BK5" i="31"/>
  <c r="H35" i="31"/>
  <c r="AN22" i="20"/>
  <c r="BQ12" i="16"/>
  <c r="CF10" i="16"/>
  <c r="BT13" i="16"/>
  <c r="BZ18" i="16"/>
  <c r="CR11" i="16"/>
  <c r="CF7" i="16"/>
  <c r="BK8" i="30"/>
  <c r="AL35" i="30"/>
  <c r="BK15" i="32"/>
  <c r="K35" i="32"/>
  <c r="BI5" i="1"/>
  <c r="BK5" i="35"/>
  <c r="H35" i="35"/>
  <c r="BK18" i="16"/>
  <c r="BK6" i="16"/>
  <c r="CL6" i="16"/>
  <c r="BQ18" i="16"/>
  <c r="CL17" i="16"/>
  <c r="BT16" i="16"/>
  <c r="BK19" i="16"/>
  <c r="BN19" i="16"/>
  <c r="BK14" i="38"/>
  <c r="AL35" i="38"/>
  <c r="AL35" i="23"/>
  <c r="BK9" i="23"/>
  <c r="V22" i="20"/>
  <c r="AL35" i="25"/>
  <c r="BK9" i="25"/>
  <c r="BK6" i="35"/>
  <c r="AL35" i="35"/>
  <c r="H35" i="33"/>
  <c r="BK5" i="33"/>
  <c r="BB38" i="16"/>
  <c r="AU38" i="16" s="1"/>
  <c r="AI35" i="29"/>
  <c r="BK11" i="29"/>
  <c r="BK15" i="28"/>
  <c r="K35" i="28"/>
  <c r="AB22" i="28" s="1"/>
  <c r="J22" i="20"/>
  <c r="K35" i="31"/>
  <c r="BK13" i="31"/>
  <c r="Y22" i="1"/>
  <c r="BI6" i="1"/>
  <c r="BK6" i="28"/>
  <c r="Q35" i="28"/>
  <c r="V22" i="1"/>
  <c r="BK11" i="38"/>
  <c r="AC35" i="38"/>
  <c r="N35" i="33"/>
  <c r="BK4" i="33"/>
  <c r="P22" i="20"/>
  <c r="BI11" i="1"/>
  <c r="BI5" i="20"/>
  <c r="AF35" i="33"/>
  <c r="BK12" i="33"/>
  <c r="BK8" i="38"/>
  <c r="T35" i="38"/>
  <c r="BK8" i="32"/>
  <c r="Z35" i="32"/>
  <c r="AC35" i="26"/>
  <c r="BK11" i="26"/>
  <c r="AN22" i="1"/>
  <c r="AH22" i="1"/>
  <c r="BK11" i="35"/>
  <c r="T35" i="35"/>
  <c r="CC19" i="16"/>
  <c r="BQ7" i="16"/>
  <c r="BW15" i="16"/>
  <c r="BW8" i="16"/>
  <c r="BZ6" i="16"/>
  <c r="BQ14" i="16"/>
  <c r="BZ7" i="16"/>
  <c r="CR5" i="16"/>
  <c r="AU39" i="16"/>
  <c r="BN13" i="16"/>
  <c r="CL8" i="16"/>
  <c r="CC6" i="16"/>
  <c r="CC18" i="16"/>
  <c r="BQ17" i="16"/>
  <c r="CO10" i="16"/>
  <c r="AU44" i="16"/>
  <c r="BW13" i="16"/>
  <c r="CO18" i="16"/>
  <c r="CF8" i="16"/>
  <c r="BN6" i="16"/>
  <c r="CC16" i="16"/>
  <c r="CR19" i="16"/>
  <c r="CO19" i="16"/>
  <c r="BZ9" i="16"/>
  <c r="N35" i="34"/>
  <c r="BK4" i="34"/>
  <c r="BQ15" i="16"/>
  <c r="CL15" i="16"/>
  <c r="AK22" i="20"/>
  <c r="N35" i="30"/>
  <c r="BK4" i="30"/>
  <c r="BK7" i="26"/>
  <c r="Z35" i="26"/>
  <c r="AB22" i="20"/>
  <c r="BI13" i="1"/>
  <c r="BN14" i="16"/>
  <c r="CO12" i="16"/>
  <c r="BK13" i="16"/>
  <c r="CF17" i="16"/>
  <c r="CO14" i="16"/>
  <c r="BK5" i="23"/>
  <c r="AO35" i="23"/>
  <c r="Q35" i="30"/>
  <c r="BK6" i="30"/>
  <c r="BI6" i="20"/>
  <c r="BK9" i="24"/>
  <c r="AL35" i="24"/>
  <c r="BK7" i="16"/>
  <c r="BN7" i="16"/>
  <c r="CF13" i="16"/>
  <c r="CR17" i="16"/>
  <c r="CI18" i="16"/>
  <c r="CF4" i="16"/>
  <c r="BW12" i="16"/>
  <c r="AL35" i="34"/>
  <c r="BK7" i="34"/>
  <c r="BK7" i="31"/>
  <c r="Z35" i="31"/>
  <c r="T22" i="36"/>
  <c r="BL11" i="36"/>
  <c r="T36" i="36"/>
  <c r="Y22" i="20"/>
  <c r="AF35" i="29"/>
  <c r="BK12" i="29"/>
  <c r="BI7" i="20"/>
  <c r="AC36" i="36"/>
  <c r="BL12" i="36"/>
  <c r="AC22" i="36"/>
  <c r="BQ8" i="16"/>
  <c r="BT11" i="16"/>
  <c r="BK12" i="16"/>
  <c r="BZ10" i="16"/>
  <c r="CR6" i="16"/>
  <c r="T35" i="34"/>
  <c r="BK11" i="34"/>
  <c r="BK12" i="25"/>
  <c r="BI12" i="25" s="1"/>
  <c r="AI35" i="25"/>
  <c r="AH22" i="25" s="1"/>
  <c r="BI10" i="20"/>
  <c r="G22" i="1"/>
  <c r="BK15" i="29"/>
  <c r="K35" i="29"/>
  <c r="BK5" i="34"/>
  <c r="BI13" i="34" s="1"/>
  <c r="H35" i="34"/>
  <c r="BI15" i="1"/>
  <c r="V22" i="25"/>
  <c r="K35" i="23"/>
  <c r="BK15" i="23"/>
  <c r="G22" i="20"/>
  <c r="Q35" i="24"/>
  <c r="BK8" i="24"/>
  <c r="BI4" i="25"/>
  <c r="BI4" i="1"/>
  <c r="BI8" i="1"/>
  <c r="BK12" i="24"/>
  <c r="AC35" i="24"/>
  <c r="W35" i="24"/>
  <c r="BK13" i="24"/>
  <c r="BW17" i="16"/>
  <c r="CF12" i="16"/>
  <c r="BN18" i="16"/>
  <c r="CC12" i="16"/>
  <c r="CC17" i="16"/>
  <c r="BQ6" i="16"/>
  <c r="CI11" i="16"/>
  <c r="BZ4" i="16"/>
  <c r="CO9" i="16"/>
  <c r="BW14" i="16"/>
  <c r="BT4" i="16"/>
  <c r="BK11" i="16"/>
  <c r="CF11" i="16"/>
  <c r="BT18" i="16"/>
  <c r="BK5" i="16"/>
  <c r="CI5" i="16"/>
  <c r="CF5" i="16"/>
  <c r="CL7" i="16"/>
  <c r="CL11" i="16"/>
  <c r="BW7" i="16"/>
  <c r="CF19" i="16"/>
  <c r="BZ16" i="16"/>
  <c r="CC15" i="16"/>
  <c r="BZ15" i="16"/>
  <c r="CI16" i="16"/>
  <c r="CL4" i="16"/>
  <c r="CL13" i="16"/>
  <c r="AC35" i="27"/>
  <c r="BK15" i="27"/>
  <c r="W35" i="35"/>
  <c r="BK14" i="35"/>
  <c r="BK8" i="31"/>
  <c r="AL35" i="31"/>
  <c r="AO35" i="21"/>
  <c r="BK5" i="21"/>
  <c r="BI14" i="20"/>
  <c r="BI14" i="1"/>
  <c r="AH40" i="20"/>
  <c r="BT14" i="16"/>
  <c r="CC9" i="16"/>
  <c r="W35" i="21"/>
  <c r="BK4" i="21"/>
  <c r="AI35" i="26"/>
  <c r="J22" i="26" s="1"/>
  <c r="BK12" i="26"/>
  <c r="S22" i="20"/>
  <c r="T35" i="23"/>
  <c r="BK11" i="23"/>
  <c r="AC35" i="32"/>
  <c r="BK13" i="32"/>
  <c r="BL10" i="36"/>
  <c r="AI36" i="36"/>
  <c r="AI22" i="36"/>
  <c r="BK9" i="21"/>
  <c r="Q35" i="21"/>
  <c r="BI13" i="20"/>
  <c r="H35" i="26"/>
  <c r="AK22" i="26" s="1"/>
  <c r="BK5" i="26"/>
  <c r="BI9" i="26" s="1"/>
  <c r="BQ16" i="16"/>
  <c r="CR8" i="16"/>
  <c r="BK6" i="31"/>
  <c r="Q35" i="31"/>
  <c r="BK8" i="34"/>
  <c r="Z35" i="34"/>
  <c r="S22" i="1"/>
  <c r="AZ35" i="16"/>
  <c r="AU35" i="16" s="1"/>
  <c r="BK6" i="38"/>
  <c r="N35" i="38"/>
  <c r="BZ19" i="16"/>
  <c r="CR13" i="16"/>
  <c r="CC4" i="16"/>
  <c r="BW6" i="16"/>
  <c r="CI12" i="16"/>
  <c r="BK11" i="31"/>
  <c r="T35" i="31"/>
  <c r="BK14" i="23"/>
  <c r="AF35" i="23"/>
  <c r="BI10" i="1"/>
  <c r="CC13" i="16"/>
  <c r="CI13" i="16"/>
  <c r="CR15" i="16"/>
  <c r="CO16" i="16"/>
  <c r="AU40" i="16"/>
  <c r="BI9" i="20"/>
  <c r="Z35" i="23"/>
  <c r="BK8" i="23"/>
  <c r="BI7" i="23" s="1"/>
  <c r="AO35" i="28"/>
  <c r="BK9" i="28"/>
  <c r="AI35" i="31"/>
  <c r="BK10" i="31"/>
  <c r="K35" i="30"/>
  <c r="BK13" i="30"/>
  <c r="BK14" i="30"/>
  <c r="AC35" i="30"/>
  <c r="M22" i="1"/>
  <c r="BK13" i="21"/>
  <c r="AI35" i="21"/>
  <c r="BK13" i="23"/>
  <c r="AI35" i="23"/>
  <c r="N35" i="21"/>
  <c r="AE22" i="21" s="1"/>
  <c r="BK8" i="21"/>
  <c r="BK12" i="30"/>
  <c r="AF35" i="30"/>
  <c r="BK15" i="33"/>
  <c r="K35" i="33"/>
  <c r="BK5" i="24"/>
  <c r="N35" i="24"/>
  <c r="AL35" i="27"/>
  <c r="BK8" i="27"/>
  <c r="BI12" i="27" s="1"/>
  <c r="AI35" i="28"/>
  <c r="V22" i="28" s="1"/>
  <c r="BK10" i="28"/>
  <c r="Z35" i="27"/>
  <c r="BK7" i="27"/>
  <c r="BI9" i="27" s="1"/>
  <c r="BK10" i="26"/>
  <c r="T35" i="26"/>
  <c r="BK9" i="35"/>
  <c r="AO35" i="35"/>
  <c r="AC35" i="29"/>
  <c r="S22" i="29" s="1"/>
  <c r="BK14" i="29"/>
  <c r="BI7" i="1"/>
  <c r="BI8" i="20"/>
  <c r="Q35" i="38"/>
  <c r="BK7" i="38"/>
  <c r="BK12" i="32"/>
  <c r="AF35" i="32"/>
  <c r="BK8" i="16"/>
  <c r="BZ8" i="16"/>
  <c r="BT9" i="16"/>
  <c r="BZ11" i="16"/>
  <c r="CI15" i="16"/>
  <c r="BN9" i="16"/>
  <c r="CI8" i="16"/>
  <c r="BW16" i="16"/>
  <c r="CI14" i="16"/>
  <c r="CI7" i="16"/>
  <c r="BT12" i="16"/>
  <c r="BT8" i="16"/>
  <c r="CI4" i="16"/>
  <c r="BW10" i="16"/>
  <c r="CR4" i="16"/>
  <c r="CO11" i="16"/>
  <c r="CL19" i="16"/>
  <c r="BZ17" i="16"/>
  <c r="BQ19" i="16"/>
  <c r="CL14" i="16"/>
  <c r="CL12" i="16"/>
  <c r="BQ9" i="16"/>
  <c r="CI17" i="16"/>
  <c r="CO17" i="16"/>
  <c r="CL10" i="16"/>
  <c r="AU42" i="16"/>
  <c r="CR18" i="16"/>
  <c r="AK22" i="1"/>
  <c r="BK13" i="35"/>
  <c r="AF35" i="35"/>
  <c r="CC5" i="16"/>
  <c r="CC14" i="16"/>
  <c r="CC10" i="16"/>
  <c r="BK4" i="24"/>
  <c r="AO35" i="24"/>
  <c r="AC35" i="31"/>
  <c r="BK14" i="31"/>
  <c r="BK13" i="33"/>
  <c r="AC35" i="33"/>
  <c r="CO15" i="16"/>
  <c r="AU36" i="16"/>
  <c r="CR7" i="16"/>
  <c r="BW11" i="16"/>
  <c r="BQ13" i="16"/>
  <c r="BW9" i="16"/>
  <c r="BQ10" i="16"/>
  <c r="BT15" i="16"/>
  <c r="T35" i="21"/>
  <c r="BK12" i="21"/>
  <c r="CO6" i="16"/>
  <c r="CC11" i="16"/>
  <c r="BZ13" i="16"/>
  <c r="BT5" i="16"/>
  <c r="BW4" i="16"/>
  <c r="BQ5" i="16"/>
  <c r="Z35" i="38"/>
  <c r="BK10" i="38"/>
  <c r="BK9" i="32"/>
  <c r="AO35" i="32"/>
  <c r="P22" i="1"/>
  <c r="BI4" i="20"/>
  <c r="BK15" i="16"/>
  <c r="CI9" i="16"/>
  <c r="BK4" i="16"/>
  <c r="CR9" i="16"/>
  <c r="CI6" i="16"/>
  <c r="BK7" i="21"/>
  <c r="Z35" i="21"/>
  <c r="BK14" i="26"/>
  <c r="W35" i="26"/>
  <c r="AE22" i="20"/>
  <c r="AI35" i="35"/>
  <c r="BK10" i="35"/>
  <c r="AN22" i="29"/>
  <c r="Z35" i="24"/>
  <c r="BK6" i="24"/>
  <c r="BK5" i="32"/>
  <c r="H35" i="32"/>
  <c r="BK10" i="27"/>
  <c r="T35" i="27"/>
  <c r="S22" i="27" s="1"/>
  <c r="BI5" i="29"/>
  <c r="AL35" i="36"/>
  <c r="J22" i="1"/>
  <c r="AE22" i="1"/>
  <c r="BI9" i="1"/>
  <c r="M22" i="20"/>
  <c r="BK10" i="32"/>
  <c r="AI35" i="32"/>
  <c r="BK11" i="33"/>
  <c r="T35" i="33"/>
  <c r="AF35" i="31"/>
  <c r="BK12" i="31"/>
  <c r="BI14" i="25"/>
  <c r="BZ14" i="16"/>
  <c r="BN16" i="16"/>
  <c r="BK10" i="16"/>
  <c r="BN10" i="16"/>
  <c r="CL18" i="16"/>
  <c r="CO7" i="16"/>
  <c r="CR10" i="16"/>
  <c r="BT10" i="16"/>
  <c r="BN11" i="16"/>
  <c r="BK9" i="16"/>
  <c r="BN4" i="16"/>
  <c r="CR16" i="16"/>
  <c r="AU41" i="16"/>
  <c r="CF14" i="16"/>
  <c r="BW18" i="16"/>
  <c r="CC7" i="16"/>
  <c r="BQ4" i="16"/>
  <c r="BN12" i="16"/>
  <c r="BK17" i="16"/>
  <c r="BN17" i="16"/>
  <c r="CI19" i="16"/>
  <c r="CF6" i="16"/>
  <c r="BW5" i="16"/>
  <c r="BZ12" i="16"/>
  <c r="BK16" i="16"/>
  <c r="CO8" i="16"/>
  <c r="BZ5" i="16"/>
  <c r="BW19" i="16"/>
  <c r="AB22" i="31" l="1"/>
  <c r="P22" i="25"/>
  <c r="BI10" i="38"/>
  <c r="BI8" i="24"/>
  <c r="S22" i="34"/>
  <c r="BT4" i="34" s="1"/>
  <c r="BU4" i="34" s="1"/>
  <c r="M22" i="31"/>
  <c r="M40" i="31" s="1"/>
  <c r="V22" i="32"/>
  <c r="V40" i="32" s="1"/>
  <c r="AH22" i="23"/>
  <c r="G22" i="25"/>
  <c r="AB22" i="24"/>
  <c r="AB22" i="25"/>
  <c r="M22" i="29"/>
  <c r="BI5" i="25"/>
  <c r="BI6" i="25"/>
  <c r="BV12" i="1"/>
  <c r="BW12" i="1" s="1"/>
  <c r="BI12" i="28"/>
  <c r="AH22" i="33"/>
  <c r="AK22" i="30"/>
  <c r="AI27" i="16"/>
  <c r="BI8" i="25"/>
  <c r="Y22" i="38"/>
  <c r="Y2" i="38" s="1"/>
  <c r="S22" i="24"/>
  <c r="BT10" i="24" s="1"/>
  <c r="BU10" i="24" s="1"/>
  <c r="V22" i="26"/>
  <c r="V2" i="26" s="1"/>
  <c r="Y22" i="25"/>
  <c r="AN22" i="21"/>
  <c r="BI7" i="34"/>
  <c r="BI11" i="29"/>
  <c r="BT12" i="1"/>
  <c r="BU12" i="1" s="1"/>
  <c r="AE22" i="25"/>
  <c r="AE40" i="25" s="1"/>
  <c r="BI10" i="25"/>
  <c r="BI9" i="35"/>
  <c r="BI11" i="33"/>
  <c r="BI7" i="25"/>
  <c r="AB2" i="1"/>
  <c r="AH2" i="20"/>
  <c r="AN22" i="33"/>
  <c r="AN40" i="33" s="1"/>
  <c r="BI14" i="23"/>
  <c r="BV14" i="20"/>
  <c r="BW14" i="20" s="1"/>
  <c r="BP14" i="20" s="1"/>
  <c r="BI7" i="26"/>
  <c r="S22" i="35"/>
  <c r="AH22" i="29"/>
  <c r="AE22" i="32"/>
  <c r="BI12" i="32"/>
  <c r="AH22" i="30"/>
  <c r="AH2" i="30" s="1"/>
  <c r="BI10" i="27"/>
  <c r="BI12" i="21"/>
  <c r="AH22" i="27"/>
  <c r="BV14" i="27" s="1"/>
  <c r="BW14" i="27" s="1"/>
  <c r="S22" i="25"/>
  <c r="P22" i="26"/>
  <c r="BI5" i="28"/>
  <c r="M22" i="25"/>
  <c r="BI6" i="31"/>
  <c r="P22" i="23"/>
  <c r="P2" i="23" s="1"/>
  <c r="BI4" i="30"/>
  <c r="M22" i="33"/>
  <c r="BT5" i="33" s="1"/>
  <c r="Y22" i="28"/>
  <c r="AN2" i="33"/>
  <c r="BT9" i="23"/>
  <c r="BU9" i="23" s="1"/>
  <c r="BV9" i="23"/>
  <c r="BW9" i="23" s="1"/>
  <c r="AH40" i="33"/>
  <c r="BV11" i="33"/>
  <c r="BW11" i="33" s="1"/>
  <c r="BT11" i="33"/>
  <c r="BU11" i="33" s="1"/>
  <c r="AH2" i="33"/>
  <c r="BT11" i="30"/>
  <c r="BU11" i="30" s="1"/>
  <c r="BV11" i="30"/>
  <c r="BW11" i="30" s="1"/>
  <c r="AH40" i="30"/>
  <c r="BV13" i="21"/>
  <c r="BW13" i="21" s="1"/>
  <c r="BT13" i="21"/>
  <c r="BU13" i="21" s="1"/>
  <c r="BP13" i="21" s="1"/>
  <c r="AE40" i="21"/>
  <c r="AE2" i="21"/>
  <c r="BT6" i="26"/>
  <c r="BU6" i="26" s="1"/>
  <c r="BV6" i="26"/>
  <c r="BW6" i="26" s="1"/>
  <c r="P40" i="26"/>
  <c r="P2" i="26"/>
  <c r="BT4" i="31"/>
  <c r="BV4" i="31"/>
  <c r="BW4" i="31" s="1"/>
  <c r="M40" i="29"/>
  <c r="BV7" i="29"/>
  <c r="BW7" i="29" s="1"/>
  <c r="BT7" i="29"/>
  <c r="P40" i="1"/>
  <c r="BV9" i="1"/>
  <c r="BW9" i="1" s="1"/>
  <c r="BT9" i="1"/>
  <c r="BU9" i="1" s="1"/>
  <c r="P2" i="1"/>
  <c r="BV14" i="31"/>
  <c r="BW14" i="31" s="1"/>
  <c r="AB40" i="31"/>
  <c r="BT14" i="31"/>
  <c r="BU14" i="31" s="1"/>
  <c r="BP14" i="31" s="1"/>
  <c r="AB2" i="31"/>
  <c r="AH40" i="27"/>
  <c r="G22" i="23"/>
  <c r="BT6" i="1"/>
  <c r="BU6" i="1" s="1"/>
  <c r="BV6" i="1"/>
  <c r="BW6" i="1" s="1"/>
  <c r="G40" i="1"/>
  <c r="G2" i="1"/>
  <c r="BT4" i="35"/>
  <c r="BU4" i="35" s="1"/>
  <c r="BP4" i="35" s="1"/>
  <c r="BV4" i="35"/>
  <c r="BW4" i="35" s="1"/>
  <c r="S40" i="35"/>
  <c r="S2" i="35"/>
  <c r="AK22" i="33"/>
  <c r="K27" i="16"/>
  <c r="Y22" i="33"/>
  <c r="BT7" i="27"/>
  <c r="BU7" i="27" s="1"/>
  <c r="BP7" i="27" s="1"/>
  <c r="S40" i="27"/>
  <c r="BV7" i="27"/>
  <c r="BW7" i="27" s="1"/>
  <c r="S2" i="27"/>
  <c r="M22" i="23"/>
  <c r="S22" i="21"/>
  <c r="P22" i="27"/>
  <c r="Y22" i="30"/>
  <c r="BI13" i="23"/>
  <c r="BI5" i="26"/>
  <c r="AF27" i="16"/>
  <c r="V40" i="25"/>
  <c r="BT7" i="25"/>
  <c r="BU7" i="25" s="1"/>
  <c r="BV7" i="25"/>
  <c r="BW7" i="25" s="1"/>
  <c r="V2" i="25"/>
  <c r="BI11" i="32"/>
  <c r="AK22" i="34"/>
  <c r="AB22" i="38"/>
  <c r="BI6" i="35"/>
  <c r="G22" i="35"/>
  <c r="V22" i="23"/>
  <c r="AE2" i="1"/>
  <c r="BV13" i="1"/>
  <c r="BW13" i="1" s="1"/>
  <c r="AE40" i="1"/>
  <c r="BT13" i="1"/>
  <c r="BU13" i="1" s="1"/>
  <c r="BP13" i="1" s="1"/>
  <c r="AH22" i="35"/>
  <c r="BI15" i="26"/>
  <c r="BI8" i="33"/>
  <c r="BI10" i="26"/>
  <c r="J22" i="24"/>
  <c r="AN22" i="28"/>
  <c r="BI12" i="26"/>
  <c r="BI8" i="31"/>
  <c r="T27" i="16"/>
  <c r="BI12" i="24"/>
  <c r="BK11" i="36"/>
  <c r="T35" i="36"/>
  <c r="BI6" i="30"/>
  <c r="BI11" i="38"/>
  <c r="BI8" i="29"/>
  <c r="BI5" i="31"/>
  <c r="BI6" i="33"/>
  <c r="BI7" i="28"/>
  <c r="BT7" i="1"/>
  <c r="BU7" i="1" s="1"/>
  <c r="J40" i="1"/>
  <c r="BV7" i="1"/>
  <c r="BW7" i="1" s="1"/>
  <c r="J2" i="1"/>
  <c r="Q27" i="16"/>
  <c r="V22" i="27"/>
  <c r="BI13" i="30"/>
  <c r="Y22" i="34"/>
  <c r="BI11" i="23"/>
  <c r="BI9" i="29"/>
  <c r="BI12" i="29"/>
  <c r="BI15" i="21"/>
  <c r="BI11" i="24"/>
  <c r="BI8" i="32"/>
  <c r="BT11" i="1"/>
  <c r="BU11" i="1" s="1"/>
  <c r="V40" i="1"/>
  <c r="BV11" i="1"/>
  <c r="BW11" i="1" s="1"/>
  <c r="V2" i="1"/>
  <c r="AK22" i="23"/>
  <c r="AB22" i="21"/>
  <c r="BI4" i="26"/>
  <c r="AH22" i="32"/>
  <c r="BI5" i="32"/>
  <c r="BI8" i="26"/>
  <c r="BI7" i="21"/>
  <c r="BI9" i="32"/>
  <c r="G22" i="24"/>
  <c r="BI13" i="33"/>
  <c r="AN22" i="24"/>
  <c r="AC27" i="16"/>
  <c r="BI7" i="38"/>
  <c r="AB22" i="29"/>
  <c r="BI7" i="27"/>
  <c r="AK22" i="27"/>
  <c r="BI12" i="30"/>
  <c r="AH22" i="21"/>
  <c r="J22" i="30"/>
  <c r="Y22" i="23"/>
  <c r="AE22" i="34"/>
  <c r="S22" i="31"/>
  <c r="M22" i="38"/>
  <c r="G22" i="38"/>
  <c r="AE22" i="38"/>
  <c r="AN22" i="38"/>
  <c r="J22" i="38"/>
  <c r="BI8" i="34"/>
  <c r="P22" i="21"/>
  <c r="S22" i="23"/>
  <c r="BI4" i="21"/>
  <c r="BI14" i="35"/>
  <c r="N27" i="16"/>
  <c r="BV5" i="20"/>
  <c r="G40" i="20"/>
  <c r="BT5" i="20"/>
  <c r="BU5" i="20" s="1"/>
  <c r="G22" i="34"/>
  <c r="BT14" i="25"/>
  <c r="BU14" i="25" s="1"/>
  <c r="AH40" i="25"/>
  <c r="BV14" i="25"/>
  <c r="BW14" i="25" s="1"/>
  <c r="BP14" i="25" s="1"/>
  <c r="AH2" i="25"/>
  <c r="AE22" i="29"/>
  <c r="Z27" i="16"/>
  <c r="BI8" i="28"/>
  <c r="BV15" i="20"/>
  <c r="BW15" i="20" s="1"/>
  <c r="AK40" i="20"/>
  <c r="BT15" i="20"/>
  <c r="BU15" i="20" s="1"/>
  <c r="BP15" i="20" s="1"/>
  <c r="AK2" i="20"/>
  <c r="AK22" i="28"/>
  <c r="BT4" i="1"/>
  <c r="AN40" i="1"/>
  <c r="BV4" i="1"/>
  <c r="BW4" i="1" s="1"/>
  <c r="S22" i="38"/>
  <c r="P22" i="28"/>
  <c r="AH22" i="38"/>
  <c r="BI5" i="33"/>
  <c r="AK22" i="38"/>
  <c r="BV4" i="20"/>
  <c r="BW4" i="20" s="1"/>
  <c r="AN40" i="20"/>
  <c r="BT4" i="20"/>
  <c r="BI11" i="27"/>
  <c r="BI9" i="30"/>
  <c r="M22" i="28"/>
  <c r="J22" i="35"/>
  <c r="BT6" i="29"/>
  <c r="BU6" i="29" s="1"/>
  <c r="AN40" i="29"/>
  <c r="BV6" i="29"/>
  <c r="BW6" i="29" s="1"/>
  <c r="AN2" i="29"/>
  <c r="S22" i="32"/>
  <c r="P22" i="32"/>
  <c r="P22" i="31"/>
  <c r="BT8" i="25"/>
  <c r="BU8" i="25" s="1"/>
  <c r="AE2" i="25"/>
  <c r="BT14" i="28"/>
  <c r="BU14" i="28" s="1"/>
  <c r="BP14" i="28" s="1"/>
  <c r="BV14" i="28"/>
  <c r="BW14" i="28" s="1"/>
  <c r="AB40" i="28"/>
  <c r="AB2" i="28"/>
  <c r="BV4" i="34"/>
  <c r="BW4" i="34" s="1"/>
  <c r="S2" i="34"/>
  <c r="M40" i="33"/>
  <c r="S22" i="33"/>
  <c r="AB22" i="30"/>
  <c r="BI12" i="23"/>
  <c r="BI10" i="23"/>
  <c r="AB22" i="35"/>
  <c r="BV12" i="24"/>
  <c r="BW12" i="24" s="1"/>
  <c r="BT12" i="24"/>
  <c r="BU12" i="24" s="1"/>
  <c r="BP12" i="24" s="1"/>
  <c r="AB40" i="24"/>
  <c r="AB2" i="24"/>
  <c r="BI13" i="38"/>
  <c r="BI4" i="31"/>
  <c r="AB22" i="26"/>
  <c r="BT10" i="20"/>
  <c r="BU10" i="20" s="1"/>
  <c r="V40" i="20"/>
  <c r="BV10" i="20"/>
  <c r="BW10" i="20" s="1"/>
  <c r="V2" i="20"/>
  <c r="BV13" i="28"/>
  <c r="BW13" i="28" s="1"/>
  <c r="BT13" i="28"/>
  <c r="BU13" i="28" s="1"/>
  <c r="BP13" i="28" s="1"/>
  <c r="Y40" i="28"/>
  <c r="Y2" i="28"/>
  <c r="S40" i="29"/>
  <c r="BV5" i="29"/>
  <c r="BW5" i="29" s="1"/>
  <c r="BT5" i="29"/>
  <c r="BU5" i="29" s="1"/>
  <c r="BP5" i="29" s="1"/>
  <c r="S2" i="29"/>
  <c r="BI14" i="30"/>
  <c r="BI9" i="33"/>
  <c r="J22" i="31"/>
  <c r="BI5" i="35"/>
  <c r="G22" i="30"/>
  <c r="G22" i="32"/>
  <c r="Y22" i="21"/>
  <c r="AN22" i="32"/>
  <c r="BI6" i="27"/>
  <c r="BI10" i="21"/>
  <c r="AH22" i="26"/>
  <c r="G22" i="28"/>
  <c r="V22" i="29"/>
  <c r="AH22" i="34"/>
  <c r="BI6" i="32"/>
  <c r="BI10" i="29"/>
  <c r="BI9" i="34"/>
  <c r="AN22" i="30"/>
  <c r="BI6" i="24"/>
  <c r="BI15" i="35"/>
  <c r="J22" i="21"/>
  <c r="M22" i="32"/>
  <c r="BI4" i="24"/>
  <c r="AE22" i="35"/>
  <c r="P22" i="38"/>
  <c r="BT6" i="25"/>
  <c r="BU6" i="25" s="1"/>
  <c r="BP6" i="25" s="1"/>
  <c r="BV6" i="25"/>
  <c r="BW6" i="25" s="1"/>
  <c r="P40" i="25"/>
  <c r="P2" i="25"/>
  <c r="Y22" i="27"/>
  <c r="BI9" i="31"/>
  <c r="BI4" i="35"/>
  <c r="BI13" i="21"/>
  <c r="BI7" i="32"/>
  <c r="BV11" i="25"/>
  <c r="BW11" i="25" s="1"/>
  <c r="S40" i="25"/>
  <c r="BT11" i="25"/>
  <c r="BU11" i="25" s="1"/>
  <c r="S2" i="25"/>
  <c r="G22" i="27"/>
  <c r="BI11" i="31"/>
  <c r="W27" i="16"/>
  <c r="BI6" i="38"/>
  <c r="BI12" i="38"/>
  <c r="BI5" i="38"/>
  <c r="BI4" i="38"/>
  <c r="BI15" i="38"/>
  <c r="BT12" i="25"/>
  <c r="BU12" i="25" s="1"/>
  <c r="Y40" i="25"/>
  <c r="BV12" i="25"/>
  <c r="BW12" i="25" s="1"/>
  <c r="BP12" i="25" s="1"/>
  <c r="Y2" i="25"/>
  <c r="BI9" i="21"/>
  <c r="V22" i="21"/>
  <c r="V22" i="35"/>
  <c r="Y22" i="29"/>
  <c r="BI5" i="34"/>
  <c r="BT11" i="20"/>
  <c r="BU11" i="20" s="1"/>
  <c r="BV11" i="20"/>
  <c r="BW11" i="20" s="1"/>
  <c r="Y40" i="20"/>
  <c r="Y2" i="20"/>
  <c r="G22" i="29"/>
  <c r="AK22" i="24"/>
  <c r="AN22" i="23"/>
  <c r="BI4" i="34"/>
  <c r="M22" i="27"/>
  <c r="BI8" i="38"/>
  <c r="BV8" i="20"/>
  <c r="BW8" i="20" s="1"/>
  <c r="BT8" i="20"/>
  <c r="BU8" i="20" s="1"/>
  <c r="BP8" i="20" s="1"/>
  <c r="P40" i="20"/>
  <c r="P2" i="20"/>
  <c r="BI6" i="28"/>
  <c r="BT6" i="20"/>
  <c r="BU6" i="20" s="1"/>
  <c r="BV6" i="20"/>
  <c r="BW6" i="20" s="1"/>
  <c r="J40" i="20"/>
  <c r="J2" i="20"/>
  <c r="G22" i="33"/>
  <c r="BI9" i="25"/>
  <c r="BI14" i="38"/>
  <c r="J22" i="32"/>
  <c r="V22" i="30"/>
  <c r="BI9" i="38"/>
  <c r="BI4" i="28"/>
  <c r="BT10" i="32"/>
  <c r="BU10" i="32" s="1"/>
  <c r="BV10" i="32"/>
  <c r="BW10" i="32" s="1"/>
  <c r="AE40" i="32"/>
  <c r="AE2" i="32"/>
  <c r="AH22" i="31"/>
  <c r="BV4" i="21"/>
  <c r="AN40" i="21"/>
  <c r="BT4" i="21"/>
  <c r="BU4" i="21" s="1"/>
  <c r="J22" i="23"/>
  <c r="AK22" i="35"/>
  <c r="BT15" i="30"/>
  <c r="BU15" i="30" s="1"/>
  <c r="BV15" i="30"/>
  <c r="BW15" i="30" s="1"/>
  <c r="AK40" i="30"/>
  <c r="AK2" i="30"/>
  <c r="BI13" i="26"/>
  <c r="S22" i="26"/>
  <c r="BI9" i="28"/>
  <c r="BV10" i="1"/>
  <c r="BW10" i="1" s="1"/>
  <c r="S40" i="1"/>
  <c r="BT10" i="1"/>
  <c r="BU10" i="1" s="1"/>
  <c r="BP10" i="1" s="1"/>
  <c r="S2" i="1"/>
  <c r="V40" i="28"/>
  <c r="BT8" i="28"/>
  <c r="BU8" i="28" s="1"/>
  <c r="BV8" i="28"/>
  <c r="BW8" i="28" s="1"/>
  <c r="V2" i="28"/>
  <c r="BI13" i="31"/>
  <c r="BI8" i="30"/>
  <c r="G22" i="31"/>
  <c r="Y22" i="35"/>
  <c r="BI12" i="35"/>
  <c r="BI14" i="26"/>
  <c r="BI10" i="30"/>
  <c r="AL27" i="16"/>
  <c r="BI15" i="33"/>
  <c r="BV5" i="25"/>
  <c r="BT5" i="25"/>
  <c r="BU5" i="25" s="1"/>
  <c r="M40" i="25"/>
  <c r="AB22" i="32"/>
  <c r="M22" i="30"/>
  <c r="Y22" i="32"/>
  <c r="BT10" i="29"/>
  <c r="BU10" i="29" s="1"/>
  <c r="BP10" i="29" s="1"/>
  <c r="BV10" i="29"/>
  <c r="BW10" i="29" s="1"/>
  <c r="AH40" i="29"/>
  <c r="AH2" i="29"/>
  <c r="BI10" i="24"/>
  <c r="E27" i="16"/>
  <c r="AB22" i="33"/>
  <c r="BI4" i="32"/>
  <c r="BI14" i="29"/>
  <c r="AE22" i="30"/>
  <c r="BI15" i="24"/>
  <c r="P22" i="30"/>
  <c r="P22" i="29"/>
  <c r="AH22" i="24"/>
  <c r="AE22" i="24"/>
  <c r="BI14" i="21"/>
  <c r="BI11" i="21"/>
  <c r="H27" i="16"/>
  <c r="BI12" i="31"/>
  <c r="M40" i="20"/>
  <c r="BV7" i="20"/>
  <c r="BW7" i="20" s="1"/>
  <c r="BT7" i="20"/>
  <c r="BU7" i="20" s="1"/>
  <c r="BP7" i="20" s="1"/>
  <c r="M2" i="20"/>
  <c r="Y22" i="24"/>
  <c r="M22" i="35"/>
  <c r="AE22" i="27"/>
  <c r="BI14" i="32"/>
  <c r="BI6" i="26"/>
  <c r="BI13" i="35"/>
  <c r="BI14" i="24"/>
  <c r="BI10" i="28"/>
  <c r="M22" i="24"/>
  <c r="BI8" i="21"/>
  <c r="BI7" i="30"/>
  <c r="AK22" i="29"/>
  <c r="V22" i="34"/>
  <c r="AB22" i="23"/>
  <c r="BK10" i="36"/>
  <c r="BI13" i="36" s="1"/>
  <c r="AI35" i="36"/>
  <c r="S40" i="20"/>
  <c r="BT9" i="20"/>
  <c r="BU9" i="20" s="1"/>
  <c r="BV9" i="20"/>
  <c r="BW9" i="20" s="1"/>
  <c r="S2" i="20"/>
  <c r="BI15" i="27"/>
  <c r="BI13" i="24"/>
  <c r="BI4" i="27"/>
  <c r="BI5" i="36"/>
  <c r="J22" i="29"/>
  <c r="J22" i="34"/>
  <c r="P22" i="34"/>
  <c r="BI6" i="21"/>
  <c r="Y22" i="31"/>
  <c r="BI9" i="24"/>
  <c r="BI5" i="23"/>
  <c r="BV12" i="20"/>
  <c r="BW12" i="20" s="1"/>
  <c r="AB40" i="20"/>
  <c r="BT12" i="20"/>
  <c r="BU12" i="20" s="1"/>
  <c r="AB2" i="20"/>
  <c r="M22" i="34"/>
  <c r="AN22" i="25"/>
  <c r="BI12" i="33"/>
  <c r="BI13" i="25"/>
  <c r="BI13" i="29"/>
  <c r="J22" i="28"/>
  <c r="BI10" i="34"/>
  <c r="AK22" i="25"/>
  <c r="BI15" i="32"/>
  <c r="J22" i="25"/>
  <c r="J22" i="27"/>
  <c r="BI15" i="31"/>
  <c r="S22" i="30"/>
  <c r="BI11" i="30"/>
  <c r="AK22" i="32"/>
  <c r="AH40" i="23"/>
  <c r="BV14" i="23"/>
  <c r="BW14" i="23" s="1"/>
  <c r="BT14" i="23"/>
  <c r="BU14" i="23" s="1"/>
  <c r="AH2" i="23"/>
  <c r="BI6" i="23"/>
  <c r="BI11" i="26"/>
  <c r="BT5" i="1"/>
  <c r="BU5" i="1" s="1"/>
  <c r="Y40" i="1"/>
  <c r="BV5" i="1"/>
  <c r="BV15" i="26"/>
  <c r="BW15" i="26" s="1"/>
  <c r="BT15" i="26"/>
  <c r="BU15" i="26" s="1"/>
  <c r="AK40" i="26"/>
  <c r="AK2" i="26"/>
  <c r="J40" i="26"/>
  <c r="BT11" i="26"/>
  <c r="BU11" i="26" s="1"/>
  <c r="BV11" i="26"/>
  <c r="BW11" i="26" s="1"/>
  <c r="J2" i="26"/>
  <c r="BI10" i="35"/>
  <c r="Y40" i="38"/>
  <c r="BT10" i="38"/>
  <c r="BU10" i="38" s="1"/>
  <c r="BV10" i="38"/>
  <c r="BW10" i="38" s="1"/>
  <c r="J22" i="33"/>
  <c r="BI13" i="32"/>
  <c r="AK22" i="31"/>
  <c r="BI11" i="35"/>
  <c r="BI5" i="30"/>
  <c r="BI15" i="30"/>
  <c r="BI8" i="35"/>
  <c r="BI15" i="34"/>
  <c r="G22" i="21"/>
  <c r="G22" i="26"/>
  <c r="M22" i="26"/>
  <c r="P22" i="24"/>
  <c r="AN22" i="26"/>
  <c r="BI7" i="29"/>
  <c r="BI9" i="23"/>
  <c r="BI13" i="27"/>
  <c r="BI8" i="27"/>
  <c r="BI8" i="23"/>
  <c r="AN22" i="34"/>
  <c r="AB22" i="34"/>
  <c r="BV13" i="25"/>
  <c r="BW13" i="25" s="1"/>
  <c r="BT13" i="25"/>
  <c r="BU13" i="25" s="1"/>
  <c r="BP13" i="25" s="1"/>
  <c r="AB40" i="25"/>
  <c r="AB2" i="25"/>
  <c r="AK22" i="21"/>
  <c r="BI10" i="33"/>
  <c r="AH40" i="1"/>
  <c r="BV14" i="1"/>
  <c r="BW14" i="1" s="1"/>
  <c r="BT14" i="1"/>
  <c r="BU14" i="1" s="1"/>
  <c r="AH2" i="1"/>
  <c r="BI12" i="34"/>
  <c r="P22" i="33"/>
  <c r="BI10" i="32"/>
  <c r="AE22" i="31"/>
  <c r="AN22" i="27"/>
  <c r="AN22" i="31"/>
  <c r="AE40" i="20"/>
  <c r="BV13" i="20"/>
  <c r="BW13" i="20" s="1"/>
  <c r="BT13" i="20"/>
  <c r="BU13" i="20" s="1"/>
  <c r="BP13" i="20" s="1"/>
  <c r="AE2" i="20"/>
  <c r="V22" i="33"/>
  <c r="BI7" i="33"/>
  <c r="BI6" i="29"/>
  <c r="BI14" i="31"/>
  <c r="AK40" i="1"/>
  <c r="BT15" i="1"/>
  <c r="BU15" i="1" s="1"/>
  <c r="BV15" i="1"/>
  <c r="BW15" i="1" s="1"/>
  <c r="AK2" i="1"/>
  <c r="BI14" i="28"/>
  <c r="AN22" i="35"/>
  <c r="AH22" i="28"/>
  <c r="BI5" i="24"/>
  <c r="M22" i="21"/>
  <c r="BT8" i="1"/>
  <c r="BU8" i="1" s="1"/>
  <c r="BV8" i="1"/>
  <c r="BW8" i="1" s="1"/>
  <c r="M40" i="1"/>
  <c r="M2" i="1"/>
  <c r="BI10" i="31"/>
  <c r="BT9" i="25"/>
  <c r="BU9" i="25" s="1"/>
  <c r="G40" i="25"/>
  <c r="BV9" i="25"/>
  <c r="BW9" i="25" s="1"/>
  <c r="G2" i="25"/>
  <c r="AE22" i="23"/>
  <c r="BI14" i="27"/>
  <c r="BI6" i="34"/>
  <c r="BI4" i="29"/>
  <c r="BI13" i="28"/>
  <c r="BI5" i="21"/>
  <c r="AB22" i="27"/>
  <c r="V22" i="24"/>
  <c r="BI15" i="23"/>
  <c r="BI15" i="29"/>
  <c r="BI11" i="34"/>
  <c r="AC35" i="36"/>
  <c r="BK12" i="36"/>
  <c r="BI7" i="24"/>
  <c r="BI7" i="31"/>
  <c r="BI4" i="23"/>
  <c r="BI14" i="33"/>
  <c r="Y22" i="26"/>
  <c r="BI7" i="35"/>
  <c r="S22" i="28"/>
  <c r="AE22" i="33"/>
  <c r="BI4" i="33"/>
  <c r="BI15" i="28"/>
  <c r="BI11" i="25"/>
  <c r="BI14" i="34"/>
  <c r="V22" i="38"/>
  <c r="BI5" i="27"/>
  <c r="V22" i="31"/>
  <c r="P22" i="35"/>
  <c r="AE22" i="26"/>
  <c r="AE22" i="28"/>
  <c r="X2" i="16"/>
  <c r="S2" i="24" l="1"/>
  <c r="BP12" i="1"/>
  <c r="BI4" i="36"/>
  <c r="BT8" i="26"/>
  <c r="BU8" i="26" s="1"/>
  <c r="S40" i="34"/>
  <c r="BV8" i="25"/>
  <c r="BW8" i="25" s="1"/>
  <c r="BP8" i="25" s="1"/>
  <c r="V2" i="32"/>
  <c r="S40" i="24"/>
  <c r="BP11" i="33"/>
  <c r="BT8" i="33"/>
  <c r="BU8" i="33" s="1"/>
  <c r="BP11" i="20"/>
  <c r="V40" i="26"/>
  <c r="BV8" i="26"/>
  <c r="BW8" i="26" s="1"/>
  <c r="BP8" i="26" s="1"/>
  <c r="BP9" i="25"/>
  <c r="BW5" i="1"/>
  <c r="BP5" i="1" s="1"/>
  <c r="AH2" i="27"/>
  <c r="BT9" i="32"/>
  <c r="BU9" i="32" s="1"/>
  <c r="BP9" i="32" s="1"/>
  <c r="BV10" i="24"/>
  <c r="BW10" i="24" s="1"/>
  <c r="BV8" i="33"/>
  <c r="BW8" i="33" s="1"/>
  <c r="BP8" i="28"/>
  <c r="BI12" i="36"/>
  <c r="AB22" i="36"/>
  <c r="BV11" i="36" s="1"/>
  <c r="BW11" i="36" s="1"/>
  <c r="BP12" i="20"/>
  <c r="BV5" i="33"/>
  <c r="BW5" i="33" s="1"/>
  <c r="BT14" i="27"/>
  <c r="BU14" i="27" s="1"/>
  <c r="BV9" i="32"/>
  <c r="BW9" i="32" s="1"/>
  <c r="P40" i="23"/>
  <c r="AB40" i="36"/>
  <c r="AB2" i="36"/>
  <c r="BV5" i="35"/>
  <c r="BW5" i="35" s="1"/>
  <c r="BT5" i="35"/>
  <c r="BU5" i="35" s="1"/>
  <c r="AN40" i="35"/>
  <c r="AN2" i="35"/>
  <c r="AN40" i="27"/>
  <c r="BV5" i="27"/>
  <c r="BW5" i="27" s="1"/>
  <c r="BT5" i="27"/>
  <c r="BU5" i="27" s="1"/>
  <c r="BP5" i="27" s="1"/>
  <c r="AN2" i="27"/>
  <c r="BV5" i="26"/>
  <c r="BW5" i="26" s="1"/>
  <c r="M40" i="26"/>
  <c r="BT5" i="26"/>
  <c r="BV6" i="27"/>
  <c r="BW6" i="27" s="1"/>
  <c r="M40" i="27"/>
  <c r="BT6" i="27"/>
  <c r="J40" i="34"/>
  <c r="BT7" i="34"/>
  <c r="BU7" i="34" s="1"/>
  <c r="BV7" i="34"/>
  <c r="BW7" i="34" s="1"/>
  <c r="J2" i="34"/>
  <c r="BT8" i="30"/>
  <c r="BU8" i="30" s="1"/>
  <c r="BV8" i="30"/>
  <c r="BW8" i="30" s="1"/>
  <c r="J40" i="30"/>
  <c r="J2" i="30"/>
  <c r="G40" i="21"/>
  <c r="BV6" i="21"/>
  <c r="BW6" i="21" s="1"/>
  <c r="BT6" i="21"/>
  <c r="BU6" i="21" s="1"/>
  <c r="G2" i="21"/>
  <c r="BV12" i="28"/>
  <c r="BW12" i="28" s="1"/>
  <c r="J40" i="28"/>
  <c r="BT12" i="28"/>
  <c r="BU12" i="28" s="1"/>
  <c r="BP12" i="28" s="1"/>
  <c r="J2" i="28"/>
  <c r="BT5" i="30"/>
  <c r="BU5" i="30" s="1"/>
  <c r="BP5" i="30" s="1"/>
  <c r="P40" i="30"/>
  <c r="BV5" i="30"/>
  <c r="BW5" i="30" s="1"/>
  <c r="P2" i="30"/>
  <c r="BT9" i="29"/>
  <c r="BU9" i="29" s="1"/>
  <c r="AE40" i="29"/>
  <c r="BV9" i="29"/>
  <c r="BW9" i="29" s="1"/>
  <c r="AE2" i="29"/>
  <c r="BV14" i="21"/>
  <c r="BW14" i="21" s="1"/>
  <c r="AH40" i="21"/>
  <c r="BT14" i="21"/>
  <c r="BU14" i="21" s="1"/>
  <c r="AH2" i="21"/>
  <c r="BV4" i="27"/>
  <c r="BT4" i="27"/>
  <c r="BU4" i="27" s="1"/>
  <c r="P40" i="27"/>
  <c r="BV13" i="23"/>
  <c r="BW13" i="23" s="1"/>
  <c r="AE40" i="23"/>
  <c r="BT13" i="23"/>
  <c r="BU13" i="23" s="1"/>
  <c r="AE2" i="23"/>
  <c r="S40" i="30"/>
  <c r="BV6" i="30"/>
  <c r="BW6" i="30" s="1"/>
  <c r="BT6" i="30"/>
  <c r="BU6" i="30" s="1"/>
  <c r="S2" i="30"/>
  <c r="AH22" i="36"/>
  <c r="BP4" i="34"/>
  <c r="AK40" i="38"/>
  <c r="BV14" i="38"/>
  <c r="BW14" i="38" s="1"/>
  <c r="BT14" i="38"/>
  <c r="BU14" i="38" s="1"/>
  <c r="AK2" i="38"/>
  <c r="BT15" i="28"/>
  <c r="BU15" i="28" s="1"/>
  <c r="AK40" i="28"/>
  <c r="BV15" i="28"/>
  <c r="BW15" i="28" s="1"/>
  <c r="AK2" i="28"/>
  <c r="BT12" i="38"/>
  <c r="BU12" i="38" s="1"/>
  <c r="AE40" i="38"/>
  <c r="BV12" i="38"/>
  <c r="BW12" i="38" s="1"/>
  <c r="AE2" i="38"/>
  <c r="BT8" i="24"/>
  <c r="BU8" i="24" s="1"/>
  <c r="BV8" i="24"/>
  <c r="BW8" i="24" s="1"/>
  <c r="G40" i="24"/>
  <c r="G2" i="24"/>
  <c r="BT10" i="21"/>
  <c r="BU10" i="21" s="1"/>
  <c r="S40" i="21"/>
  <c r="BV10" i="21"/>
  <c r="BW10" i="21" s="1"/>
  <c r="S2" i="21"/>
  <c r="BP6" i="1"/>
  <c r="BV7" i="24"/>
  <c r="BW7" i="24" s="1"/>
  <c r="BT7" i="24"/>
  <c r="BU7" i="24" s="1"/>
  <c r="V40" i="24"/>
  <c r="V2" i="24"/>
  <c r="BP8" i="1"/>
  <c r="BP15" i="1"/>
  <c r="BP10" i="38"/>
  <c r="BI10" i="36"/>
  <c r="BI15" i="36"/>
  <c r="BI7" i="36"/>
  <c r="M40" i="35"/>
  <c r="BV6" i="35"/>
  <c r="BW6" i="35" s="1"/>
  <c r="BT6" i="35"/>
  <c r="BV10" i="30"/>
  <c r="BW10" i="30" s="1"/>
  <c r="BT10" i="30"/>
  <c r="BU10" i="30" s="1"/>
  <c r="BP10" i="30" s="1"/>
  <c r="AE40" i="30"/>
  <c r="AE2" i="30"/>
  <c r="BP15" i="30"/>
  <c r="G40" i="29"/>
  <c r="BV11" i="29"/>
  <c r="BW11" i="29" s="1"/>
  <c r="BT11" i="29"/>
  <c r="BU11" i="29" s="1"/>
  <c r="G2" i="29"/>
  <c r="BV10" i="35"/>
  <c r="BW10" i="35" s="1"/>
  <c r="BT10" i="35"/>
  <c r="BU10" i="35" s="1"/>
  <c r="V40" i="35"/>
  <c r="V2" i="35"/>
  <c r="BP11" i="25"/>
  <c r="BV7" i="21"/>
  <c r="BW7" i="21" s="1"/>
  <c r="J40" i="21"/>
  <c r="BT7" i="21"/>
  <c r="BU7" i="21" s="1"/>
  <c r="J2" i="21"/>
  <c r="V40" i="29"/>
  <c r="BV8" i="29"/>
  <c r="BW8" i="29" s="1"/>
  <c r="BT8" i="29"/>
  <c r="BU8" i="29" s="1"/>
  <c r="V2" i="29"/>
  <c r="BT12" i="30"/>
  <c r="BU12" i="30" s="1"/>
  <c r="BV12" i="30"/>
  <c r="G40" i="30"/>
  <c r="J40" i="35"/>
  <c r="BV7" i="35"/>
  <c r="BW7" i="35" s="1"/>
  <c r="BT7" i="35"/>
  <c r="BU7" i="35" s="1"/>
  <c r="J2" i="35"/>
  <c r="G40" i="38"/>
  <c r="BV4" i="38"/>
  <c r="BT4" i="38"/>
  <c r="BU4" i="38" s="1"/>
  <c r="AK40" i="27"/>
  <c r="BV15" i="27"/>
  <c r="BW15" i="27" s="1"/>
  <c r="BT15" i="27"/>
  <c r="BU15" i="27" s="1"/>
  <c r="AK2" i="27"/>
  <c r="S22" i="36"/>
  <c r="M22" i="36"/>
  <c r="AN22" i="36"/>
  <c r="J22" i="36"/>
  <c r="V22" i="36"/>
  <c r="AE22" i="36"/>
  <c r="Y22" i="36"/>
  <c r="P22" i="36"/>
  <c r="G22" i="36"/>
  <c r="BT6" i="23"/>
  <c r="BU6" i="23" s="1"/>
  <c r="V40" i="23"/>
  <c r="BV6" i="23"/>
  <c r="BW6" i="23" s="1"/>
  <c r="V2" i="23"/>
  <c r="BP7" i="25"/>
  <c r="BV5" i="23"/>
  <c r="BW5" i="23" s="1"/>
  <c r="BT5" i="23"/>
  <c r="M40" i="23"/>
  <c r="BV7" i="23"/>
  <c r="BW7" i="23" s="1"/>
  <c r="G40" i="23"/>
  <c r="BT7" i="23"/>
  <c r="BU7" i="23" s="1"/>
  <c r="G2" i="23"/>
  <c r="BV14" i="24"/>
  <c r="BW14" i="24" s="1"/>
  <c r="BT14" i="24"/>
  <c r="BU14" i="24" s="1"/>
  <c r="BP14" i="24" s="1"/>
  <c r="AH40" i="24"/>
  <c r="AH2" i="24"/>
  <c r="BU4" i="20"/>
  <c r="BP4" i="20" s="1"/>
  <c r="BT10" i="26"/>
  <c r="BU10" i="26" s="1"/>
  <c r="BV10" i="26"/>
  <c r="G40" i="26"/>
  <c r="BV12" i="32"/>
  <c r="BW12" i="32" s="1"/>
  <c r="BT12" i="32"/>
  <c r="BU12" i="32" s="1"/>
  <c r="BP12" i="32" s="1"/>
  <c r="AK40" i="32"/>
  <c r="AK2" i="32"/>
  <c r="BP9" i="20"/>
  <c r="BP6" i="20"/>
  <c r="BV12" i="35"/>
  <c r="BW12" i="35" s="1"/>
  <c r="BT12" i="35"/>
  <c r="BU12" i="35" s="1"/>
  <c r="BP12" i="35" s="1"/>
  <c r="AE40" i="35"/>
  <c r="AE2" i="35"/>
  <c r="Y40" i="33"/>
  <c r="BT14" i="33"/>
  <c r="BU14" i="33" s="1"/>
  <c r="BV14" i="33"/>
  <c r="BW14" i="33" s="1"/>
  <c r="Y2" i="33"/>
  <c r="BT10" i="27"/>
  <c r="BU10" i="27" s="1"/>
  <c r="BV10" i="27"/>
  <c r="BW10" i="27" s="1"/>
  <c r="G40" i="27"/>
  <c r="G2" i="27"/>
  <c r="BT11" i="21"/>
  <c r="BU11" i="21" s="1"/>
  <c r="BV11" i="21"/>
  <c r="BW11" i="21" s="1"/>
  <c r="Y40" i="21"/>
  <c r="Y2" i="21"/>
  <c r="BW5" i="20"/>
  <c r="BP5" i="20" s="1"/>
  <c r="BT12" i="21"/>
  <c r="BU12" i="21" s="1"/>
  <c r="AB40" i="21"/>
  <c r="BV12" i="21"/>
  <c r="BW12" i="21" s="1"/>
  <c r="AB2" i="21"/>
  <c r="BT12" i="27"/>
  <c r="BU12" i="27" s="1"/>
  <c r="BV12" i="27"/>
  <c r="BW12" i="27" s="1"/>
  <c r="Y40" i="27"/>
  <c r="Y2" i="27"/>
  <c r="BT13" i="32"/>
  <c r="BU13" i="32" s="1"/>
  <c r="BV13" i="32"/>
  <c r="G40" i="32"/>
  <c r="AB40" i="27"/>
  <c r="BV13" i="27"/>
  <c r="BW13" i="27" s="1"/>
  <c r="BT13" i="27"/>
  <c r="BU13" i="27" s="1"/>
  <c r="BP13" i="27" s="1"/>
  <c r="AB2" i="27"/>
  <c r="J40" i="27"/>
  <c r="BT11" i="27"/>
  <c r="BU11" i="27" s="1"/>
  <c r="BP11" i="27" s="1"/>
  <c r="BV11" i="27"/>
  <c r="BW11" i="27" s="1"/>
  <c r="J2" i="27"/>
  <c r="BV12" i="23"/>
  <c r="BW12" i="23" s="1"/>
  <c r="BT12" i="23"/>
  <c r="BU12" i="23" s="1"/>
  <c r="BP12" i="23" s="1"/>
  <c r="AB40" i="23"/>
  <c r="AB2" i="23"/>
  <c r="BI9" i="36"/>
  <c r="BV11" i="24"/>
  <c r="BW11" i="24" s="1"/>
  <c r="BT11" i="24"/>
  <c r="BU11" i="24" s="1"/>
  <c r="Y40" i="24"/>
  <c r="Y2" i="24"/>
  <c r="AK40" i="35"/>
  <c r="BT14" i="35"/>
  <c r="BU14" i="35" s="1"/>
  <c r="BP14" i="35" s="1"/>
  <c r="BV14" i="35"/>
  <c r="BW14" i="35" s="1"/>
  <c r="AK2" i="35"/>
  <c r="BV13" i="33"/>
  <c r="BT13" i="33"/>
  <c r="BU13" i="33" s="1"/>
  <c r="G40" i="33"/>
  <c r="V40" i="21"/>
  <c r="BV5" i="21"/>
  <c r="BW5" i="21" s="1"/>
  <c r="BT5" i="21"/>
  <c r="BV11" i="28"/>
  <c r="G40" i="28"/>
  <c r="BT11" i="28"/>
  <c r="BU11" i="28" s="1"/>
  <c r="BP10" i="20"/>
  <c r="BT11" i="35"/>
  <c r="BU11" i="35" s="1"/>
  <c r="AB40" i="35"/>
  <c r="BV11" i="35"/>
  <c r="BW11" i="35" s="1"/>
  <c r="AB2" i="35"/>
  <c r="S40" i="33"/>
  <c r="BT4" i="33"/>
  <c r="BU4" i="33" s="1"/>
  <c r="BV4" i="33"/>
  <c r="BW4" i="33" s="1"/>
  <c r="S2" i="33"/>
  <c r="P40" i="31"/>
  <c r="BV6" i="31"/>
  <c r="BW6" i="31" s="1"/>
  <c r="BT6" i="31"/>
  <c r="BU6" i="31" s="1"/>
  <c r="P2" i="31"/>
  <c r="BT6" i="28"/>
  <c r="BV6" i="28"/>
  <c r="BW6" i="28" s="1"/>
  <c r="M40" i="28"/>
  <c r="AH2" i="38"/>
  <c r="BT13" i="38"/>
  <c r="BU13" i="38" s="1"/>
  <c r="BV13" i="38"/>
  <c r="BW13" i="38" s="1"/>
  <c r="AH40" i="38"/>
  <c r="BT6" i="38"/>
  <c r="BV6" i="38"/>
  <c r="BW6" i="38" s="1"/>
  <c r="M40" i="38"/>
  <c r="BP7" i="1"/>
  <c r="BI11" i="36"/>
  <c r="BT9" i="35"/>
  <c r="BU9" i="35" s="1"/>
  <c r="BV9" i="35"/>
  <c r="G40" i="35"/>
  <c r="BV9" i="31"/>
  <c r="BW9" i="31" s="1"/>
  <c r="BT9" i="31"/>
  <c r="BU9" i="31" s="1"/>
  <c r="V40" i="31"/>
  <c r="V2" i="31"/>
  <c r="BV7" i="28"/>
  <c r="BW7" i="28" s="1"/>
  <c r="BT7" i="28"/>
  <c r="BU7" i="28" s="1"/>
  <c r="BP7" i="28" s="1"/>
  <c r="S40" i="28"/>
  <c r="S2" i="28"/>
  <c r="AN40" i="34"/>
  <c r="BT8" i="34"/>
  <c r="BU8" i="34" s="1"/>
  <c r="BV8" i="34"/>
  <c r="BW8" i="34" s="1"/>
  <c r="AN2" i="34"/>
  <c r="BV15" i="31"/>
  <c r="BW15" i="31" s="1"/>
  <c r="AK40" i="31"/>
  <c r="BT15" i="31"/>
  <c r="BU15" i="31" s="1"/>
  <c r="BP15" i="31" s="1"/>
  <c r="AK2" i="31"/>
  <c r="BN7" i="20"/>
  <c r="P40" i="38"/>
  <c r="BT7" i="38"/>
  <c r="BU7" i="38" s="1"/>
  <c r="BV7" i="38"/>
  <c r="BW7" i="38" s="1"/>
  <c r="P2" i="38"/>
  <c r="AB40" i="30"/>
  <c r="BT14" i="30"/>
  <c r="BU14" i="30" s="1"/>
  <c r="BV14" i="30"/>
  <c r="BW14" i="30" s="1"/>
  <c r="AB2" i="30"/>
  <c r="BV11" i="23"/>
  <c r="BW11" i="23" s="1"/>
  <c r="Y40" i="23"/>
  <c r="BT11" i="23"/>
  <c r="BU11" i="23" s="1"/>
  <c r="Y2" i="23"/>
  <c r="BV8" i="27"/>
  <c r="BW8" i="27" s="1"/>
  <c r="V40" i="27"/>
  <c r="BT8" i="27"/>
  <c r="BU8" i="27" s="1"/>
  <c r="BP8" i="27" s="1"/>
  <c r="V2" i="27"/>
  <c r="BT13" i="34"/>
  <c r="BU13" i="34" s="1"/>
  <c r="AK40" i="34"/>
  <c r="BV13" i="34"/>
  <c r="BW13" i="34" s="1"/>
  <c r="AK2" i="34"/>
  <c r="V40" i="33"/>
  <c r="BV9" i="33"/>
  <c r="BW9" i="33" s="1"/>
  <c r="BT9" i="33"/>
  <c r="BU9" i="33" s="1"/>
  <c r="BP9" i="33" s="1"/>
  <c r="V2" i="33"/>
  <c r="P40" i="29"/>
  <c r="BV4" i="29"/>
  <c r="BT4" i="29"/>
  <c r="BU4" i="29" s="1"/>
  <c r="V40" i="30"/>
  <c r="BV9" i="30"/>
  <c r="BW9" i="30" s="1"/>
  <c r="BT9" i="30"/>
  <c r="BU9" i="30" s="1"/>
  <c r="BP9" i="30" s="1"/>
  <c r="V2" i="30"/>
  <c r="AR40" i="20"/>
  <c r="AN2" i="20" s="1"/>
  <c r="AR41" i="20"/>
  <c r="G2" i="20" s="1"/>
  <c r="BV12" i="26"/>
  <c r="BW12" i="26" s="1"/>
  <c r="Y40" i="26"/>
  <c r="BT12" i="26"/>
  <c r="BU12" i="26" s="1"/>
  <c r="BP12" i="26" s="1"/>
  <c r="Y2" i="26"/>
  <c r="BP11" i="26"/>
  <c r="BV5" i="24"/>
  <c r="BT5" i="24"/>
  <c r="BU5" i="24" s="1"/>
  <c r="M40" i="24"/>
  <c r="BT5" i="32"/>
  <c r="BU5" i="32" s="1"/>
  <c r="J40" i="32"/>
  <c r="BV5" i="32"/>
  <c r="BW5" i="32" s="1"/>
  <c r="J2" i="32"/>
  <c r="BV13" i="29"/>
  <c r="BW13" i="29" s="1"/>
  <c r="BT13" i="29"/>
  <c r="BU13" i="29" s="1"/>
  <c r="Y40" i="29"/>
  <c r="Y2" i="29"/>
  <c r="BT5" i="28"/>
  <c r="BU5" i="28" s="1"/>
  <c r="BV5" i="28"/>
  <c r="BW5" i="28" s="1"/>
  <c r="AN40" i="28"/>
  <c r="AN2" i="28"/>
  <c r="BP9" i="23"/>
  <c r="BT12" i="31"/>
  <c r="BU12" i="31" s="1"/>
  <c r="BV12" i="31"/>
  <c r="G40" i="31"/>
  <c r="AH40" i="34"/>
  <c r="BV12" i="34"/>
  <c r="BW12" i="34" s="1"/>
  <c r="BT12" i="34"/>
  <c r="BU12" i="34" s="1"/>
  <c r="AH2" i="34"/>
  <c r="BV15" i="23"/>
  <c r="BW15" i="23" s="1"/>
  <c r="BT15" i="23"/>
  <c r="BU15" i="23" s="1"/>
  <c r="AK40" i="23"/>
  <c r="AK2" i="23"/>
  <c r="BV9" i="24"/>
  <c r="BW9" i="24" s="1"/>
  <c r="BT9" i="24"/>
  <c r="BU9" i="24" s="1"/>
  <c r="BP9" i="24" s="1"/>
  <c r="J40" i="24"/>
  <c r="J2" i="24"/>
  <c r="AK2" i="33"/>
  <c r="BV12" i="33"/>
  <c r="BW12" i="33" s="1"/>
  <c r="BT12" i="33"/>
  <c r="BU12" i="33" s="1"/>
  <c r="BP12" i="33" s="1"/>
  <c r="AK40" i="33"/>
  <c r="BP11" i="30"/>
  <c r="BT9" i="28"/>
  <c r="BU9" i="28" s="1"/>
  <c r="AE40" i="28"/>
  <c r="BV9" i="28"/>
  <c r="BW9" i="28" s="1"/>
  <c r="AE2" i="28"/>
  <c r="BV8" i="21"/>
  <c r="BW8" i="21" s="1"/>
  <c r="BT8" i="21"/>
  <c r="BU8" i="21" s="1"/>
  <c r="BP8" i="21" s="1"/>
  <c r="M40" i="21"/>
  <c r="M2" i="21"/>
  <c r="BT9" i="26"/>
  <c r="BU9" i="26" s="1"/>
  <c r="AE40" i="26"/>
  <c r="BV9" i="26"/>
  <c r="BW9" i="26" s="1"/>
  <c r="BP9" i="26" s="1"/>
  <c r="AE2" i="26"/>
  <c r="BV8" i="31"/>
  <c r="BW8" i="31" s="1"/>
  <c r="BT8" i="31"/>
  <c r="BU8" i="31" s="1"/>
  <c r="BP8" i="31" s="1"/>
  <c r="AN40" i="31"/>
  <c r="AN2" i="31"/>
  <c r="BP14" i="1"/>
  <c r="BV4" i="26"/>
  <c r="BW4" i="26" s="1"/>
  <c r="BT4" i="26"/>
  <c r="BU4" i="26" s="1"/>
  <c r="BP4" i="26" s="1"/>
  <c r="AN40" i="26"/>
  <c r="AN2" i="26"/>
  <c r="BP15" i="26"/>
  <c r="BP14" i="23"/>
  <c r="J40" i="25"/>
  <c r="BT10" i="25"/>
  <c r="BU10" i="25" s="1"/>
  <c r="BP10" i="25" s="1"/>
  <c r="BV10" i="25"/>
  <c r="BW10" i="25" s="1"/>
  <c r="J2" i="25"/>
  <c r="BT4" i="25"/>
  <c r="BU4" i="25" s="1"/>
  <c r="AN40" i="25"/>
  <c r="AR41" i="25" s="1"/>
  <c r="M2" i="25" s="1"/>
  <c r="BV4" i="25"/>
  <c r="BW4" i="25" s="1"/>
  <c r="BV13" i="31"/>
  <c r="BW13" i="31" s="1"/>
  <c r="BT13" i="31"/>
  <c r="BU13" i="31" s="1"/>
  <c r="Y40" i="31"/>
  <c r="Y2" i="31"/>
  <c r="V40" i="34"/>
  <c r="BV9" i="34"/>
  <c r="BW9" i="34" s="1"/>
  <c r="BT9" i="34"/>
  <c r="BU9" i="34" s="1"/>
  <c r="BP9" i="34" s="1"/>
  <c r="V2" i="34"/>
  <c r="BI6" i="36"/>
  <c r="Y40" i="32"/>
  <c r="BT14" i="32"/>
  <c r="BU14" i="32" s="1"/>
  <c r="BP14" i="32" s="1"/>
  <c r="BV14" i="32"/>
  <c r="BW14" i="32" s="1"/>
  <c r="Y2" i="32"/>
  <c r="J40" i="23"/>
  <c r="BV8" i="23"/>
  <c r="BW8" i="23" s="1"/>
  <c r="BT8" i="23"/>
  <c r="BU8" i="23" s="1"/>
  <c r="BP8" i="23" s="1"/>
  <c r="J2" i="23"/>
  <c r="BP10" i="32"/>
  <c r="BT14" i="26"/>
  <c r="BU14" i="26" s="1"/>
  <c r="BP14" i="26" s="1"/>
  <c r="BV14" i="26"/>
  <c r="BW14" i="26" s="1"/>
  <c r="AH40" i="26"/>
  <c r="AH2" i="26"/>
  <c r="BT5" i="31"/>
  <c r="BU5" i="31" s="1"/>
  <c r="BP5" i="31" s="1"/>
  <c r="J40" i="31"/>
  <c r="BV5" i="31"/>
  <c r="BW5" i="31" s="1"/>
  <c r="J2" i="31"/>
  <c r="BT13" i="26"/>
  <c r="BU13" i="26" s="1"/>
  <c r="AB40" i="26"/>
  <c r="BV13" i="26"/>
  <c r="BW13" i="26" s="1"/>
  <c r="AB2" i="26"/>
  <c r="BT6" i="32"/>
  <c r="BU6" i="32" s="1"/>
  <c r="BV6" i="32"/>
  <c r="BW6" i="32" s="1"/>
  <c r="P40" i="32"/>
  <c r="P2" i="32"/>
  <c r="P40" i="28"/>
  <c r="BT4" i="28"/>
  <c r="BU4" i="28" s="1"/>
  <c r="BV4" i="28"/>
  <c r="BT10" i="23"/>
  <c r="BU10" i="23" s="1"/>
  <c r="BV10" i="23"/>
  <c r="BW10" i="23" s="1"/>
  <c r="S40" i="23"/>
  <c r="S2" i="23"/>
  <c r="BT7" i="31"/>
  <c r="BU7" i="31" s="1"/>
  <c r="BV7" i="31"/>
  <c r="BW7" i="31" s="1"/>
  <c r="S40" i="31"/>
  <c r="S2" i="31"/>
  <c r="BV14" i="29"/>
  <c r="BW14" i="29" s="1"/>
  <c r="AB40" i="29"/>
  <c r="BT14" i="29"/>
  <c r="BU14" i="29" s="1"/>
  <c r="AB2" i="29"/>
  <c r="BT15" i="34"/>
  <c r="BU15" i="34" s="1"/>
  <c r="Y40" i="34"/>
  <c r="BV15" i="34"/>
  <c r="BW15" i="34" s="1"/>
  <c r="Y2" i="34"/>
  <c r="BP14" i="27"/>
  <c r="BP9" i="1"/>
  <c r="BP10" i="24"/>
  <c r="BT15" i="25"/>
  <c r="BU15" i="25" s="1"/>
  <c r="BV15" i="25"/>
  <c r="BW15" i="25" s="1"/>
  <c r="AK40" i="25"/>
  <c r="AK2" i="25"/>
  <c r="BT5" i="34"/>
  <c r="BU5" i="34" s="1"/>
  <c r="BV5" i="34"/>
  <c r="P40" i="34"/>
  <c r="AH40" i="32"/>
  <c r="BV11" i="32"/>
  <c r="BW11" i="32" s="1"/>
  <c r="BT11" i="32"/>
  <c r="BU11" i="32" s="1"/>
  <c r="AH2" i="32"/>
  <c r="BT10" i="31"/>
  <c r="BU10" i="31" s="1"/>
  <c r="AE40" i="31"/>
  <c r="BV10" i="31"/>
  <c r="BW10" i="31" s="1"/>
  <c r="AE2" i="31"/>
  <c r="AB40" i="32"/>
  <c r="BV15" i="32"/>
  <c r="BW15" i="32" s="1"/>
  <c r="BT15" i="32"/>
  <c r="BU15" i="32" s="1"/>
  <c r="AB2" i="32"/>
  <c r="BV8" i="32"/>
  <c r="BW8" i="32" s="1"/>
  <c r="BT8" i="32"/>
  <c r="BU8" i="32" s="1"/>
  <c r="AN40" i="32"/>
  <c r="AN2" i="32"/>
  <c r="J2" i="38"/>
  <c r="BT5" i="38"/>
  <c r="BU5" i="38" s="1"/>
  <c r="BV5" i="38"/>
  <c r="BW5" i="38" s="1"/>
  <c r="J40" i="38"/>
  <c r="BV4" i="24"/>
  <c r="BW4" i="24" s="1"/>
  <c r="BT4" i="24"/>
  <c r="AN40" i="24"/>
  <c r="BV13" i="30"/>
  <c r="BW13" i="30" s="1"/>
  <c r="BT13" i="30"/>
  <c r="BU13" i="30" s="1"/>
  <c r="Y40" i="30"/>
  <c r="Y2" i="30"/>
  <c r="AR40" i="1"/>
  <c r="AN2" i="1" s="1"/>
  <c r="AR41" i="1"/>
  <c r="Y2" i="1" s="1"/>
  <c r="BT9" i="38"/>
  <c r="BU9" i="38" s="1"/>
  <c r="V40" i="38"/>
  <c r="BV9" i="38"/>
  <c r="BW9" i="38" s="1"/>
  <c r="V2" i="38"/>
  <c r="AK40" i="21"/>
  <c r="BT15" i="21"/>
  <c r="BU15" i="21" s="1"/>
  <c r="BV15" i="21"/>
  <c r="BW15" i="21" s="1"/>
  <c r="AK2" i="21"/>
  <c r="BV6" i="33"/>
  <c r="BW6" i="33" s="1"/>
  <c r="J40" i="33"/>
  <c r="BT6" i="33"/>
  <c r="BU6" i="33" s="1"/>
  <c r="J2" i="33"/>
  <c r="BT12" i="29"/>
  <c r="BU12" i="29" s="1"/>
  <c r="J40" i="29"/>
  <c r="BV12" i="29"/>
  <c r="BW12" i="29" s="1"/>
  <c r="J2" i="29"/>
  <c r="BT15" i="35"/>
  <c r="BU15" i="35" s="1"/>
  <c r="BV15" i="35"/>
  <c r="BW15" i="35" s="1"/>
  <c r="Y40" i="35"/>
  <c r="Y2" i="35"/>
  <c r="BV11" i="31"/>
  <c r="BW11" i="31" s="1"/>
  <c r="BT11" i="31"/>
  <c r="BU11" i="31" s="1"/>
  <c r="BP11" i="31" s="1"/>
  <c r="AH40" i="31"/>
  <c r="AH2" i="31"/>
  <c r="BT4" i="23"/>
  <c r="BU4" i="23" s="1"/>
  <c r="AN40" i="23"/>
  <c r="BV4" i="23"/>
  <c r="BU4" i="1"/>
  <c r="BP4" i="1" s="1"/>
  <c r="BN13" i="1" s="1"/>
  <c r="AN40" i="38"/>
  <c r="BT15" i="38"/>
  <c r="BU15" i="38" s="1"/>
  <c r="BV15" i="38"/>
  <c r="BW15" i="38" s="1"/>
  <c r="AN2" i="38"/>
  <c r="BP6" i="26"/>
  <c r="BV7" i="33"/>
  <c r="BW7" i="33" s="1"/>
  <c r="P40" i="33"/>
  <c r="BT7" i="33"/>
  <c r="BU7" i="33" s="1"/>
  <c r="BP7" i="33" s="1"/>
  <c r="P2" i="33"/>
  <c r="AE40" i="27"/>
  <c r="BT9" i="27"/>
  <c r="BU9" i="27" s="1"/>
  <c r="BV9" i="27"/>
  <c r="BW9" i="27" s="1"/>
  <c r="AE2" i="27"/>
  <c r="BT15" i="24"/>
  <c r="BU15" i="24" s="1"/>
  <c r="AK40" i="24"/>
  <c r="BV15" i="24"/>
  <c r="BW15" i="24" s="1"/>
  <c r="AK2" i="24"/>
  <c r="M40" i="32"/>
  <c r="BV4" i="32"/>
  <c r="BW4" i="32" s="1"/>
  <c r="BT4" i="32"/>
  <c r="BP6" i="29"/>
  <c r="BT8" i="35"/>
  <c r="BU8" i="35" s="1"/>
  <c r="BV8" i="35"/>
  <c r="BW8" i="35" s="1"/>
  <c r="P40" i="35"/>
  <c r="P2" i="35"/>
  <c r="BV10" i="33"/>
  <c r="BW10" i="33" s="1"/>
  <c r="BT10" i="33"/>
  <c r="BU10" i="33" s="1"/>
  <c r="BP10" i="33" s="1"/>
  <c r="AE40" i="33"/>
  <c r="AE2" i="33"/>
  <c r="BT10" i="28"/>
  <c r="BU10" i="28" s="1"/>
  <c r="AH40" i="28"/>
  <c r="BV10" i="28"/>
  <c r="BW10" i="28" s="1"/>
  <c r="AH2" i="28"/>
  <c r="AK22" i="36"/>
  <c r="BV10" i="34"/>
  <c r="BW10" i="34" s="1"/>
  <c r="AB40" i="34"/>
  <c r="BT10" i="34"/>
  <c r="BU10" i="34" s="1"/>
  <c r="AB2" i="34"/>
  <c r="P40" i="24"/>
  <c r="BT6" i="24"/>
  <c r="BU6" i="24" s="1"/>
  <c r="BV6" i="24"/>
  <c r="BW6" i="24" s="1"/>
  <c r="P2" i="24"/>
  <c r="M40" i="34"/>
  <c r="BV6" i="34"/>
  <c r="BW6" i="34" s="1"/>
  <c r="BT6" i="34"/>
  <c r="BT15" i="29"/>
  <c r="BU15" i="29" s="1"/>
  <c r="BV15" i="29"/>
  <c r="BW15" i="29" s="1"/>
  <c r="AK40" i="29"/>
  <c r="AK2" i="29"/>
  <c r="BI8" i="36"/>
  <c r="BT13" i="24"/>
  <c r="BU13" i="24" s="1"/>
  <c r="AE40" i="24"/>
  <c r="BV13" i="24"/>
  <c r="BW13" i="24" s="1"/>
  <c r="AE2" i="24"/>
  <c r="BV15" i="33"/>
  <c r="BW15" i="33" s="1"/>
  <c r="BT15" i="33"/>
  <c r="BU15" i="33" s="1"/>
  <c r="BP15" i="33" s="1"/>
  <c r="AB40" i="33"/>
  <c r="AB2" i="33"/>
  <c r="M40" i="30"/>
  <c r="BT4" i="30"/>
  <c r="BV4" i="30"/>
  <c r="BW4" i="30" s="1"/>
  <c r="BT7" i="26"/>
  <c r="BU7" i="26" s="1"/>
  <c r="S40" i="26"/>
  <c r="BV7" i="26"/>
  <c r="BW7" i="26" s="1"/>
  <c r="S2" i="26"/>
  <c r="BT7" i="30"/>
  <c r="BU7" i="30" s="1"/>
  <c r="AN40" i="30"/>
  <c r="BV7" i="30"/>
  <c r="BW7" i="30" s="1"/>
  <c r="AN2" i="30"/>
  <c r="BV7" i="32"/>
  <c r="BW7" i="32" s="1"/>
  <c r="BT7" i="32"/>
  <c r="BU7" i="32" s="1"/>
  <c r="BP7" i="32" s="1"/>
  <c r="S40" i="32"/>
  <c r="S2" i="32"/>
  <c r="BV8" i="38"/>
  <c r="BW8" i="38" s="1"/>
  <c r="S40" i="38"/>
  <c r="BT8" i="38"/>
  <c r="BU8" i="38" s="1"/>
  <c r="S2" i="38"/>
  <c r="G40" i="34"/>
  <c r="BV14" i="34"/>
  <c r="BW14" i="34" s="1"/>
  <c r="BT14" i="34"/>
  <c r="BU14" i="34" s="1"/>
  <c r="BV9" i="21"/>
  <c r="BW9" i="21" s="1"/>
  <c r="BT9" i="21"/>
  <c r="BU9" i="21" s="1"/>
  <c r="P40" i="21"/>
  <c r="P2" i="21"/>
  <c r="AE40" i="34"/>
  <c r="BV11" i="34"/>
  <c r="BW11" i="34" s="1"/>
  <c r="BT11" i="34"/>
  <c r="BU11" i="34" s="1"/>
  <c r="BP11" i="34" s="1"/>
  <c r="AE2" i="34"/>
  <c r="BP11" i="1"/>
  <c r="AH40" i="35"/>
  <c r="BT13" i="35"/>
  <c r="BU13" i="35" s="1"/>
  <c r="BV13" i="35"/>
  <c r="BW13" i="35" s="1"/>
  <c r="AH2" i="35"/>
  <c r="BV11" i="38"/>
  <c r="BW11" i="38" s="1"/>
  <c r="AB40" i="38"/>
  <c r="BT11" i="38"/>
  <c r="BU11" i="38" s="1"/>
  <c r="BP11" i="38" s="1"/>
  <c r="AB2" i="38"/>
  <c r="BI14" i="36"/>
  <c r="AM2" i="16"/>
  <c r="AA2" i="16"/>
  <c r="O2" i="16"/>
  <c r="U2" i="16"/>
  <c r="R2" i="16"/>
  <c r="AD2" i="16"/>
  <c r="AJ2" i="16"/>
  <c r="AG2" i="16"/>
  <c r="I2" i="16"/>
  <c r="BP8" i="35" l="1"/>
  <c r="BP13" i="38"/>
  <c r="BP10" i="31"/>
  <c r="BP12" i="34"/>
  <c r="BP10" i="35"/>
  <c r="BP6" i="30"/>
  <c r="BT11" i="36"/>
  <c r="BU11" i="36" s="1"/>
  <c r="BP11" i="36" s="1"/>
  <c r="BP13" i="35"/>
  <c r="BP9" i="27"/>
  <c r="BP9" i="28"/>
  <c r="BU5" i="26"/>
  <c r="BP5" i="26" s="1"/>
  <c r="BN9" i="1"/>
  <c r="BP11" i="35"/>
  <c r="BP15" i="32"/>
  <c r="BP11" i="32"/>
  <c r="BP7" i="38"/>
  <c r="BP7" i="23"/>
  <c r="BP7" i="21"/>
  <c r="BP14" i="38"/>
  <c r="BP8" i="33"/>
  <c r="BP13" i="34"/>
  <c r="BP8" i="34"/>
  <c r="BP11" i="29"/>
  <c r="BP8" i="38"/>
  <c r="BP7" i="26"/>
  <c r="BP15" i="29"/>
  <c r="BP10" i="28"/>
  <c r="BW4" i="23"/>
  <c r="BP4" i="23" s="1"/>
  <c r="BP6" i="33"/>
  <c r="BP9" i="38"/>
  <c r="BP13" i="30"/>
  <c r="BP7" i="31"/>
  <c r="BP15" i="23"/>
  <c r="BW12" i="31"/>
  <c r="BP12" i="31" s="1"/>
  <c r="BP5" i="28"/>
  <c r="BP5" i="32"/>
  <c r="BW4" i="29"/>
  <c r="BP4" i="29" s="1"/>
  <c r="BP11" i="23"/>
  <c r="BU6" i="38"/>
  <c r="BP6" i="38" s="1"/>
  <c r="BU6" i="28"/>
  <c r="BP6" i="28" s="1"/>
  <c r="AR41" i="28"/>
  <c r="AR40" i="28"/>
  <c r="M2" i="28" s="1"/>
  <c r="BW13" i="33"/>
  <c r="BP13" i="33" s="1"/>
  <c r="BP11" i="24"/>
  <c r="BW13" i="32"/>
  <c r="BP13" i="32" s="1"/>
  <c r="AR41" i="27"/>
  <c r="P2" i="27" s="1"/>
  <c r="AR40" i="27"/>
  <c r="M2" i="27" s="1"/>
  <c r="BV9" i="36"/>
  <c r="BT9" i="36"/>
  <c r="BU9" i="36" s="1"/>
  <c r="G40" i="36"/>
  <c r="S40" i="36"/>
  <c r="BV4" i="36"/>
  <c r="BW4" i="36" s="1"/>
  <c r="BT4" i="36"/>
  <c r="BU4" i="36" s="1"/>
  <c r="BP4" i="36" s="1"/>
  <c r="S2" i="36"/>
  <c r="BU6" i="35"/>
  <c r="BP6" i="35" s="1"/>
  <c r="BN8" i="1"/>
  <c r="BW4" i="27"/>
  <c r="BP4" i="27" s="1"/>
  <c r="BP9" i="29"/>
  <c r="BV14" i="36"/>
  <c r="BW14" i="36" s="1"/>
  <c r="AK40" i="36"/>
  <c r="BT14" i="36"/>
  <c r="BU14" i="36" s="1"/>
  <c r="BP14" i="36" s="1"/>
  <c r="AK2" i="36"/>
  <c r="BN4" i="20"/>
  <c r="BN14" i="20"/>
  <c r="V40" i="36"/>
  <c r="BT10" i="36"/>
  <c r="BU10" i="36" s="1"/>
  <c r="BP10" i="36" s="1"/>
  <c r="BV10" i="36"/>
  <c r="BW10" i="36" s="1"/>
  <c r="V2" i="36"/>
  <c r="BN10" i="1"/>
  <c r="BP15" i="38"/>
  <c r="BP15" i="21"/>
  <c r="BW5" i="34"/>
  <c r="BP5" i="34" s="1"/>
  <c r="BN4" i="34" s="1"/>
  <c r="BP10" i="23"/>
  <c r="BP14" i="30"/>
  <c r="BP8" i="24"/>
  <c r="AR40" i="21"/>
  <c r="V2" i="21" s="1"/>
  <c r="AR41" i="21"/>
  <c r="AN2" i="21" s="1"/>
  <c r="AR40" i="34"/>
  <c r="M2" i="34" s="1"/>
  <c r="AR41" i="34"/>
  <c r="AR40" i="25"/>
  <c r="AN2" i="25" s="1"/>
  <c r="AN40" i="36"/>
  <c r="BT5" i="36"/>
  <c r="BU5" i="36" s="1"/>
  <c r="BV5" i="36"/>
  <c r="BW5" i="36" s="1"/>
  <c r="AN2" i="36"/>
  <c r="BP5" i="35"/>
  <c r="BW4" i="28"/>
  <c r="BP4" i="28" s="1"/>
  <c r="BP4" i="33"/>
  <c r="BN15" i="33" s="1"/>
  <c r="AR40" i="32"/>
  <c r="M2" i="32" s="1"/>
  <c r="AR41" i="32"/>
  <c r="G2" i="32" s="1"/>
  <c r="BV6" i="36"/>
  <c r="BW6" i="36" s="1"/>
  <c r="BT6" i="36"/>
  <c r="M40" i="36"/>
  <c r="AR40" i="38"/>
  <c r="M2" i="38" s="1"/>
  <c r="AR41" i="38"/>
  <c r="G2" i="38" s="1"/>
  <c r="BU6" i="34"/>
  <c r="BP6" i="34" s="1"/>
  <c r="BP10" i="34"/>
  <c r="BP15" i="24"/>
  <c r="BP15" i="34"/>
  <c r="BP13" i="26"/>
  <c r="BN14" i="1"/>
  <c r="AR40" i="35"/>
  <c r="M2" i="35" s="1"/>
  <c r="AR41" i="35"/>
  <c r="G2" i="35" s="1"/>
  <c r="BN15" i="20"/>
  <c r="BW11" i="28"/>
  <c r="BP11" i="28" s="1"/>
  <c r="BP12" i="21"/>
  <c r="AR41" i="26"/>
  <c r="G2" i="26" s="1"/>
  <c r="AR40" i="26"/>
  <c r="M2" i="26" s="1"/>
  <c r="BU5" i="23"/>
  <c r="BP5" i="23" s="1"/>
  <c r="P40" i="36"/>
  <c r="BT8" i="36"/>
  <c r="BU8" i="36" s="1"/>
  <c r="BV8" i="36"/>
  <c r="BW8" i="36" s="1"/>
  <c r="P2" i="36"/>
  <c r="AR41" i="29"/>
  <c r="P2" i="29" s="1"/>
  <c r="AR40" i="29"/>
  <c r="M2" i="29" s="1"/>
  <c r="BP10" i="21"/>
  <c r="BP12" i="38"/>
  <c r="BU6" i="27"/>
  <c r="BP6" i="27" s="1"/>
  <c r="BN13" i="27" s="1"/>
  <c r="BN9" i="20"/>
  <c r="BP14" i="34"/>
  <c r="BP6" i="32"/>
  <c r="BN7" i="1"/>
  <c r="BN10" i="20"/>
  <c r="BN6" i="1"/>
  <c r="BV13" i="36"/>
  <c r="BW13" i="36" s="1"/>
  <c r="BT13" i="36"/>
  <c r="BU13" i="36" s="1"/>
  <c r="BP13" i="36" s="1"/>
  <c r="AH40" i="36"/>
  <c r="AH2" i="36"/>
  <c r="BP6" i="24"/>
  <c r="BP11" i="21"/>
  <c r="BW4" i="38"/>
  <c r="BP4" i="38" s="1"/>
  <c r="AR40" i="30"/>
  <c r="M2" i="30" s="1"/>
  <c r="AR41" i="30"/>
  <c r="G2" i="30" s="1"/>
  <c r="BP7" i="34"/>
  <c r="BP5" i="38"/>
  <c r="AR41" i="31"/>
  <c r="G2" i="31" s="1"/>
  <c r="AR40" i="31"/>
  <c r="M2" i="31" s="1"/>
  <c r="BP6" i="23"/>
  <c r="BN15" i="1"/>
  <c r="BP9" i="21"/>
  <c r="BU4" i="30"/>
  <c r="BP4" i="30" s="1"/>
  <c r="BN4" i="30" s="1"/>
  <c r="BP15" i="35"/>
  <c r="BP15" i="25"/>
  <c r="BP13" i="31"/>
  <c r="BN13" i="20"/>
  <c r="BN12" i="20"/>
  <c r="BW9" i="35"/>
  <c r="BP9" i="35" s="1"/>
  <c r="BP6" i="31"/>
  <c r="BU5" i="21"/>
  <c r="BP5" i="21" s="1"/>
  <c r="BN5" i="20"/>
  <c r="BP10" i="27"/>
  <c r="BW10" i="26"/>
  <c r="BP10" i="26" s="1"/>
  <c r="BN10" i="26" s="1"/>
  <c r="BT15" i="36"/>
  <c r="BU15" i="36" s="1"/>
  <c r="Y40" i="36"/>
  <c r="BV15" i="36"/>
  <c r="BW15" i="36" s="1"/>
  <c r="Y2" i="36"/>
  <c r="BP15" i="27"/>
  <c r="BP7" i="35"/>
  <c r="BN11" i="35" s="1"/>
  <c r="BP8" i="29"/>
  <c r="BP14" i="21"/>
  <c r="BP8" i="30"/>
  <c r="BN8" i="20"/>
  <c r="BP12" i="27"/>
  <c r="BP14" i="33"/>
  <c r="BT7" i="36"/>
  <c r="BU7" i="36" s="1"/>
  <c r="BP7" i="36" s="1"/>
  <c r="BV7" i="36"/>
  <c r="BW7" i="36" s="1"/>
  <c r="J40" i="36"/>
  <c r="J2" i="36"/>
  <c r="BP12" i="29"/>
  <c r="BP4" i="25"/>
  <c r="AR41" i="33"/>
  <c r="G2" i="33" s="1"/>
  <c r="AR40" i="33"/>
  <c r="M2" i="33" s="1"/>
  <c r="BN11" i="20"/>
  <c r="AR40" i="23"/>
  <c r="M2" i="23" s="1"/>
  <c r="AR41" i="23"/>
  <c r="AN2" i="23" s="1"/>
  <c r="BU7" i="29"/>
  <c r="BP7" i="29" s="1"/>
  <c r="BU5" i="33"/>
  <c r="BP5" i="33" s="1"/>
  <c r="BN4" i="1"/>
  <c r="BN12" i="1"/>
  <c r="BW12" i="30"/>
  <c r="BP12" i="30" s="1"/>
  <c r="BN11" i="1"/>
  <c r="BP7" i="30"/>
  <c r="BP13" i="24"/>
  <c r="BU4" i="32"/>
  <c r="BP4" i="32" s="1"/>
  <c r="BN12" i="32" s="1"/>
  <c r="BU4" i="31"/>
  <c r="BP4" i="31" s="1"/>
  <c r="BU4" i="24"/>
  <c r="BP4" i="24" s="1"/>
  <c r="BP8" i="32"/>
  <c r="BP14" i="29"/>
  <c r="BP13" i="29"/>
  <c r="BW5" i="24"/>
  <c r="BP5" i="24" s="1"/>
  <c r="BP9" i="31"/>
  <c r="BN6" i="20"/>
  <c r="BN5" i="1"/>
  <c r="BT12" i="36"/>
  <c r="BU12" i="36" s="1"/>
  <c r="AE40" i="36"/>
  <c r="BV12" i="36"/>
  <c r="BW12" i="36" s="1"/>
  <c r="AE2" i="36"/>
  <c r="BW5" i="25"/>
  <c r="BP5" i="25" s="1"/>
  <c r="BN5" i="25" s="1"/>
  <c r="BP7" i="24"/>
  <c r="BN7" i="24" s="1"/>
  <c r="AR40" i="24"/>
  <c r="AN2" i="24" s="1"/>
  <c r="AR41" i="24"/>
  <c r="M2" i="24" s="1"/>
  <c r="BP15" i="28"/>
  <c r="BP13" i="23"/>
  <c r="BP6" i="21"/>
  <c r="BW4" i="21"/>
  <c r="BP4" i="21" s="1"/>
  <c r="L2" i="16"/>
  <c r="F2" i="16"/>
  <c r="BN15" i="21" l="1"/>
  <c r="BN11" i="38"/>
  <c r="BN14" i="32"/>
  <c r="BP12" i="36"/>
  <c r="BN14" i="29"/>
  <c r="BN12" i="23"/>
  <c r="BN9" i="31"/>
  <c r="BN8" i="21"/>
  <c r="BN10" i="25"/>
  <c r="BN10" i="38"/>
  <c r="BN11" i="29"/>
  <c r="BN8" i="32"/>
  <c r="BP15" i="36"/>
  <c r="BN11" i="28"/>
  <c r="BN6" i="35"/>
  <c r="BN9" i="33"/>
  <c r="BN11" i="23"/>
  <c r="BN9" i="24"/>
  <c r="BN14" i="34"/>
  <c r="BN6" i="38"/>
  <c r="BN11" i="25"/>
  <c r="BN12" i="27"/>
  <c r="BP8" i="36"/>
  <c r="BN6" i="34"/>
  <c r="BN15" i="30"/>
  <c r="BN8" i="26"/>
  <c r="BN11" i="26"/>
  <c r="BN13" i="31"/>
  <c r="BN4" i="26"/>
  <c r="BN9" i="30"/>
  <c r="BN14" i="38"/>
  <c r="BN4" i="33"/>
  <c r="BN11" i="33"/>
  <c r="BN8" i="33"/>
  <c r="BN5" i="30"/>
  <c r="BN6" i="33"/>
  <c r="BN8" i="34"/>
  <c r="BN5" i="31"/>
  <c r="BN12" i="34"/>
  <c r="BN10" i="32"/>
  <c r="BN12" i="26"/>
  <c r="BN7" i="28"/>
  <c r="BN8" i="24"/>
  <c r="BN13" i="38"/>
  <c r="BN5" i="32"/>
  <c r="BN13" i="23"/>
  <c r="BN5" i="24"/>
  <c r="BN4" i="31"/>
  <c r="BN14" i="31"/>
  <c r="BN14" i="27"/>
  <c r="BN15" i="26"/>
  <c r="BN15" i="27"/>
  <c r="BN5" i="21"/>
  <c r="BN15" i="25"/>
  <c r="BN5" i="38"/>
  <c r="BN15" i="32"/>
  <c r="BN8" i="23"/>
  <c r="BN15" i="34"/>
  <c r="BN12" i="33"/>
  <c r="BN8" i="27"/>
  <c r="BN13" i="33"/>
  <c r="BN5" i="28"/>
  <c r="BN10" i="28"/>
  <c r="BN4" i="21"/>
  <c r="BN13" i="21"/>
  <c r="BN10" i="27"/>
  <c r="BN14" i="26"/>
  <c r="BN4" i="23"/>
  <c r="BN15" i="28"/>
  <c r="BN13" i="29"/>
  <c r="BN4" i="32"/>
  <c r="BN9" i="32"/>
  <c r="BN5" i="33"/>
  <c r="BN15" i="31"/>
  <c r="BN11" i="31"/>
  <c r="BN6" i="31"/>
  <c r="BN15" i="35"/>
  <c r="BN7" i="34"/>
  <c r="BN6" i="24"/>
  <c r="BN10" i="33"/>
  <c r="BN7" i="38"/>
  <c r="BN15" i="24"/>
  <c r="BN4" i="28"/>
  <c r="BN13" i="28"/>
  <c r="BN14" i="28"/>
  <c r="BN8" i="28"/>
  <c r="BN14" i="30"/>
  <c r="BN9" i="29"/>
  <c r="AR40" i="36"/>
  <c r="M2" i="36" s="1"/>
  <c r="AR41" i="36"/>
  <c r="G2" i="36" s="1"/>
  <c r="BN12" i="31"/>
  <c r="BN15" i="29"/>
  <c r="BN9" i="27"/>
  <c r="BN13" i="30"/>
  <c r="BN14" i="35"/>
  <c r="BN10" i="24"/>
  <c r="BN5" i="26"/>
  <c r="BN9" i="21"/>
  <c r="BN12" i="38"/>
  <c r="BN13" i="35"/>
  <c r="BN11" i="30"/>
  <c r="BN5" i="23"/>
  <c r="BN7" i="32"/>
  <c r="BN4" i="29"/>
  <c r="BN5" i="29"/>
  <c r="BN10" i="29"/>
  <c r="BN4" i="24"/>
  <c r="BN12" i="24"/>
  <c r="BN7" i="35"/>
  <c r="BN6" i="30"/>
  <c r="BP5" i="36"/>
  <c r="BN11" i="24"/>
  <c r="BN7" i="25"/>
  <c r="BN9" i="23"/>
  <c r="BN13" i="24"/>
  <c r="BN7" i="29"/>
  <c r="BN4" i="25"/>
  <c r="BN12" i="25"/>
  <c r="BN13" i="25"/>
  <c r="BN6" i="25"/>
  <c r="BN8" i="25"/>
  <c r="BN9" i="25"/>
  <c r="BN14" i="25"/>
  <c r="BN11" i="34"/>
  <c r="BN8" i="30"/>
  <c r="BN9" i="35"/>
  <c r="BN6" i="26"/>
  <c r="BN6" i="23"/>
  <c r="BN10" i="30"/>
  <c r="BN9" i="34"/>
  <c r="BN12" i="35"/>
  <c r="BN9" i="26"/>
  <c r="BN8" i="35"/>
  <c r="BU6" i="36"/>
  <c r="BP6" i="36" s="1"/>
  <c r="BN7" i="33"/>
  <c r="G2" i="34"/>
  <c r="P2" i="34"/>
  <c r="BN10" i="23"/>
  <c r="BN8" i="31"/>
  <c r="BN4" i="27"/>
  <c r="BN7" i="27"/>
  <c r="P2" i="28"/>
  <c r="G2" i="28"/>
  <c r="BN15" i="23"/>
  <c r="BN7" i="26"/>
  <c r="BN6" i="27"/>
  <c r="BN11" i="27"/>
  <c r="BN12" i="30"/>
  <c r="BN4" i="38"/>
  <c r="BN15" i="38"/>
  <c r="BN9" i="38"/>
  <c r="BN8" i="29"/>
  <c r="BN12" i="28"/>
  <c r="BN11" i="21"/>
  <c r="BN10" i="21"/>
  <c r="BN13" i="32"/>
  <c r="BN6" i="21"/>
  <c r="BN11" i="32"/>
  <c r="BN7" i="23"/>
  <c r="BN9" i="28"/>
  <c r="BN14" i="24"/>
  <c r="BN13" i="26"/>
  <c r="BN14" i="23"/>
  <c r="BN7" i="30"/>
  <c r="BN7" i="21"/>
  <c r="BN12" i="29"/>
  <c r="BN14" i="33"/>
  <c r="BN10" i="35"/>
  <c r="BN14" i="21"/>
  <c r="BN13" i="34"/>
  <c r="BN6" i="29"/>
  <c r="BN6" i="32"/>
  <c r="BN5" i="27"/>
  <c r="BN12" i="21"/>
  <c r="BN10" i="34"/>
  <c r="BN5" i="35"/>
  <c r="BN4" i="35"/>
  <c r="BN5" i="34"/>
  <c r="BN10" i="31"/>
  <c r="BW9" i="36"/>
  <c r="BP9" i="36" s="1"/>
  <c r="BN6" i="28"/>
  <c r="BN7" i="31"/>
  <c r="BN8" i="38"/>
  <c r="BN6" i="36" l="1"/>
  <c r="BN5" i="36"/>
  <c r="BN10" i="36"/>
  <c r="BN7" i="36"/>
  <c r="BN8" i="36"/>
  <c r="BN14" i="36"/>
  <c r="BN11" i="36"/>
  <c r="BN13" i="36"/>
  <c r="BN9" i="36"/>
  <c r="BN4" i="36"/>
  <c r="BN12" i="36"/>
  <c r="BN15" i="36"/>
</calcChain>
</file>

<file path=xl/sharedStrings.xml><?xml version="1.0" encoding="utf-8"?>
<sst xmlns="http://schemas.openxmlformats.org/spreadsheetml/2006/main" count="6777" uniqueCount="782">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</sst>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8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8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8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15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9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173</v>
      </c>
      <c r="AY4" s="4">
        <f ca="1">ABS(AX4)+IF($B4="",-0.1,0)</f>
        <v>173</v>
      </c>
      <c r="AZ4" s="4">
        <f t="shared" ref="AZ4:AZ19" ca="1" si="15">AY4+IF(AT4="H",IF(BC4&gt;1,0.1*BC4-0.1,0),0)</f>
        <v>173</v>
      </c>
      <c r="BA4" s="4">
        <f t="shared" ref="BA4:BA19" ca="1" si="16">AZ4+IF(AT4="V",IF(BC4&gt;1,0.1*BC4-0.1,0),0)</f>
        <v>173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93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95.75</v>
      </c>
      <c r="BL4" s="64">
        <f ca="1">$N$23</f>
        <v>1149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-39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["H","V","V","V","H","H","V","V","H","H","V","V","H"];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12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9</v>
      </c>
      <c r="T5" s="171" t="str">
        <f>IF(S5&gt;0,IF(ISTEXT($E5),IF($E5&lt;&gt;R5,S5-2*S5,""),""),"")</f>
        <v/>
      </c>
      <c r="U5" s="202" t="s">
        <v>39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12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10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-111</v>
      </c>
      <c r="AY5" s="4">
        <f t="shared" ref="AY5:AY19" ca="1" si="22">ABS(AX5)+IF($B5="",-0.1,0)</f>
        <v>111</v>
      </c>
      <c r="AZ5" s="4">
        <f ca="1">AY5+IF(AT5="H",IF(BC5&gt;1,0.1*BC5-0.1,0),0)</f>
        <v>111</v>
      </c>
      <c r="BA5" s="4">
        <f ca="1">AZ5+IF(AT5="V",IF(BC5&gt;1,0.1*BC5-0.1,0),0)</f>
        <v>111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92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95.416666666666671</v>
      </c>
      <c r="BL5" s="66">
        <f ca="1">$H$23</f>
        <v>1145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23</v>
      </c>
      <c r="BQ5" s="45">
        <f ca="1">-$AR$3*'Season Summary'!$AO$3</f>
        <v>-39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10</v>
      </c>
      <c r="K6" s="171">
        <f t="shared" si="0"/>
        <v>-10</v>
      </c>
      <c r="L6" s="202" t="s">
        <v>39</v>
      </c>
      <c r="M6" s="174">
        <v>9</v>
      </c>
      <c r="N6" s="171" t="str">
        <f t="shared" si="1"/>
        <v/>
      </c>
      <c r="O6" s="202" t="s">
        <v>39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8</v>
      </c>
      <c r="Z6" s="171" t="str">
        <f t="shared" si="5"/>
        <v/>
      </c>
      <c r="AA6" s="202" t="s">
        <v>39</v>
      </c>
      <c r="AB6" s="174">
        <v>9</v>
      </c>
      <c r="AC6" s="171" t="str">
        <f t="shared" si="6"/>
        <v/>
      </c>
      <c r="AD6" s="202" t="s">
        <v>39</v>
      </c>
      <c r="AE6" s="174">
        <v>8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V</v>
      </c>
      <c r="AU6" s="174">
        <f t="shared" ca="1" si="12"/>
        <v>9</v>
      </c>
      <c r="AV6" s="173" t="str">
        <f t="shared" ca="1" si="13"/>
        <v/>
      </c>
      <c r="AX6" s="4">
        <f t="shared" si="14"/>
        <v>-98</v>
      </c>
      <c r="AY6" s="4">
        <f t="shared" ca="1" si="22"/>
        <v>98</v>
      </c>
      <c r="AZ6" s="4">
        <f t="shared" ca="1" si="15"/>
        <v>98</v>
      </c>
      <c r="BA6" s="4">
        <f t="shared" ca="1" si="16"/>
        <v>98</v>
      </c>
      <c r="BB6" s="4">
        <v>3</v>
      </c>
      <c r="BC6" s="4">
        <f ca="1">COUNTIF($AY$4:OFFSET($AY$4,0,0,BB6,1),AY6)</f>
        <v>1</v>
      </c>
      <c r="BE6" s="33">
        <f ca="1">$AB$21</f>
        <v>2</v>
      </c>
      <c r="BF6" s="71" t="str">
        <f>$AA$2</f>
        <v>KC</v>
      </c>
      <c r="BG6" s="72">
        <f ca="1">$AC$21</f>
        <v>92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94.666666666666671</v>
      </c>
      <c r="BL6" s="66">
        <f ca="1">$Q$23</f>
        <v>1136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23</v>
      </c>
      <c r="BQ6" s="45">
        <f ca="1">-$AR$3*'Season Summary'!$AO$3</f>
        <v>-39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["H","V","V","V","H","H","V","V","H","H","V","V","H"];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6</v>
      </c>
      <c r="H7" s="171" t="str">
        <f t="shared" si="23"/>
        <v/>
      </c>
      <c r="I7" s="202" t="s">
        <v>38</v>
      </c>
      <c r="J7" s="174">
        <v>7</v>
      </c>
      <c r="K7" s="171">
        <f t="shared" si="0"/>
        <v>-7</v>
      </c>
      <c r="L7" s="202" t="s">
        <v>39</v>
      </c>
      <c r="M7" s="174">
        <v>6</v>
      </c>
      <c r="N7" s="171" t="str">
        <f t="shared" si="1"/>
        <v/>
      </c>
      <c r="O7" s="202" t="s">
        <v>39</v>
      </c>
      <c r="P7" s="174">
        <v>8</v>
      </c>
      <c r="Q7" s="171" t="str">
        <f t="shared" si="2"/>
        <v/>
      </c>
      <c r="R7" s="202" t="s">
        <v>38</v>
      </c>
      <c r="S7" s="174">
        <v>7</v>
      </c>
      <c r="T7" s="171">
        <f t="shared" si="3"/>
        <v>-7</v>
      </c>
      <c r="U7" s="202" t="s">
        <v>38</v>
      </c>
      <c r="V7" s="174">
        <v>6</v>
      </c>
      <c r="W7" s="171">
        <f t="shared" si="4"/>
        <v>-6</v>
      </c>
      <c r="X7" s="202" t="s">
        <v>39</v>
      </c>
      <c r="Y7" s="174">
        <v>12</v>
      </c>
      <c r="Z7" s="171" t="str">
        <f t="shared" si="5"/>
        <v/>
      </c>
      <c r="AA7" s="202" t="s">
        <v>39</v>
      </c>
      <c r="AB7" s="174">
        <v>5</v>
      </c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38</v>
      </c>
      <c r="AH7" s="174">
        <v>8</v>
      </c>
      <c r="AI7" s="171">
        <f t="shared" si="8"/>
        <v>-8</v>
      </c>
      <c r="AJ7" s="202" t="s">
        <v>39</v>
      </c>
      <c r="AK7" s="174">
        <v>15</v>
      </c>
      <c r="AL7" s="171" t="str">
        <f t="shared" si="9"/>
        <v/>
      </c>
      <c r="AM7" s="202" t="s">
        <v>38</v>
      </c>
      <c r="AN7" s="174">
        <v>10</v>
      </c>
      <c r="AO7" s="173">
        <f t="shared" si="10"/>
        <v>-10</v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4</v>
      </c>
      <c r="AV7" s="173" t="str">
        <f t="shared" ca="1" si="13"/>
        <v/>
      </c>
      <c r="AX7" s="4">
        <f t="shared" si="14"/>
        <v>-20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91</v>
      </c>
      <c r="BH7" s="145"/>
      <c r="BI7" s="36">
        <f t="shared" ca="1" si="17"/>
        <v>3</v>
      </c>
      <c r="BJ7" s="56" t="str">
        <f>$AJ$2</f>
        <v>RR</v>
      </c>
      <c r="BK7" s="65">
        <f ca="1">$AL$22</f>
        <v>94.666666666666671</v>
      </c>
      <c r="BL7" s="66">
        <f ca="1">$AL$23</f>
        <v>1136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["H","V","V","V","H","H","V","V","H","H","H","V","H"];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99" t="s">
        <v>39</v>
      </c>
      <c r="F8" s="200" t="s">
        <v>38</v>
      </c>
      <c r="G8" s="174">
        <v>12</v>
      </c>
      <c r="H8" s="171">
        <f t="shared" si="23"/>
        <v>-12</v>
      </c>
      <c r="I8" s="202" t="s">
        <v>38</v>
      </c>
      <c r="J8" s="174">
        <v>15</v>
      </c>
      <c r="K8" s="171">
        <f t="shared" si="0"/>
        <v>-15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12</v>
      </c>
      <c r="Q8" s="171">
        <f t="shared" si="2"/>
        <v>-12</v>
      </c>
      <c r="R8" s="202" t="s">
        <v>38</v>
      </c>
      <c r="S8" s="174">
        <v>13</v>
      </c>
      <c r="T8" s="171">
        <f t="shared" si="3"/>
        <v>-13</v>
      </c>
      <c r="U8" s="202" t="s">
        <v>38</v>
      </c>
      <c r="V8" s="174">
        <v>16</v>
      </c>
      <c r="W8" s="171">
        <f t="shared" si="4"/>
        <v>-16</v>
      </c>
      <c r="X8" s="202" t="s">
        <v>38</v>
      </c>
      <c r="Y8" s="174">
        <v>13</v>
      </c>
      <c r="Z8" s="171">
        <f t="shared" si="5"/>
        <v>-13</v>
      </c>
      <c r="AA8" s="202" t="s">
        <v>38</v>
      </c>
      <c r="AB8" s="174">
        <v>11</v>
      </c>
      <c r="AC8" s="171">
        <f t="shared" si="6"/>
        <v>-11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16</v>
      </c>
      <c r="AI8" s="171">
        <f t="shared" si="8"/>
        <v>-16</v>
      </c>
      <c r="AJ8" s="202" t="s">
        <v>38</v>
      </c>
      <c r="AK8" s="174">
        <v>8</v>
      </c>
      <c r="AL8" s="171">
        <f t="shared" si="9"/>
        <v>-8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15</v>
      </c>
      <c r="AV8" s="173">
        <f t="shared" ca="1" si="13"/>
        <v>-15</v>
      </c>
      <c r="AX8" s="4">
        <f t="shared" si="14"/>
        <v>151</v>
      </c>
      <c r="AY8" s="4">
        <f t="shared" ca="1" si="22"/>
        <v>151</v>
      </c>
      <c r="AZ8" s="4">
        <f t="shared" ca="1" si="15"/>
        <v>151</v>
      </c>
      <c r="BA8" s="4">
        <f t="shared" ca="1" si="16"/>
        <v>151</v>
      </c>
      <c r="BB8" s="4">
        <v>5</v>
      </c>
      <c r="BC8" s="4">
        <f ca="1">COUNTIF($AY$4:OFFSET($AY$4,0,0,BB8,1),AY8)</f>
        <v>1</v>
      </c>
      <c r="BE8" s="33">
        <f ca="1">$V$21</f>
        <v>4</v>
      </c>
      <c r="BF8" s="71" t="str">
        <f>$U$2</f>
        <v>JG</v>
      </c>
      <c r="BG8" s="72">
        <f ca="1">$W$21</f>
        <v>91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94.5</v>
      </c>
      <c r="BL8" s="66">
        <f ca="1">$Z$23</f>
        <v>1134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23</v>
      </c>
      <c r="BQ8" s="45">
        <f ca="1">-$AR$3*'Season Summary'!$AO$3</f>
        <v>-39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["H","V","V","H","H","H","V","V","V","H","V","V","H"];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38</v>
      </c>
      <c r="V9" s="174">
        <v>8</v>
      </c>
      <c r="W9" s="171" t="str">
        <f t="shared" si="4"/>
        <v/>
      </c>
      <c r="X9" s="202" t="s">
        <v>38</v>
      </c>
      <c r="Y9" s="174">
        <v>9</v>
      </c>
      <c r="Z9" s="171" t="str">
        <f t="shared" si="5"/>
        <v/>
      </c>
      <c r="AA9" s="202" t="s">
        <v>38</v>
      </c>
      <c r="AB9" s="174">
        <v>10</v>
      </c>
      <c r="AC9" s="171" t="str">
        <f t="shared" si="6"/>
        <v/>
      </c>
      <c r="AD9" s="202" t="s">
        <v>38</v>
      </c>
      <c r="AE9" s="174">
        <v>10</v>
      </c>
      <c r="AF9" s="171" t="str">
        <f t="shared" si="7"/>
        <v/>
      </c>
      <c r="AG9" s="202" t="s">
        <v>38</v>
      </c>
      <c r="AH9" s="174">
        <v>14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12</v>
      </c>
      <c r="AV9" s="173" t="str">
        <f t="shared" ca="1" si="13"/>
        <v/>
      </c>
      <c r="AX9" s="4">
        <f t="shared" si="14"/>
        <v>131</v>
      </c>
      <c r="AY9" s="4">
        <f t="shared" ca="1" si="22"/>
        <v>131</v>
      </c>
      <c r="AZ9" s="4">
        <f t="shared" ca="1" si="15"/>
        <v>131</v>
      </c>
      <c r="BA9" s="4">
        <f t="shared" ca="1" si="16"/>
        <v>131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89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89.916666666666671</v>
      </c>
      <c r="BL9" s="66">
        <f ca="1">$AO$23</f>
        <v>1079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["H","V","V","H","H","H","V","V","H","H","V","V","H"];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39</v>
      </c>
      <c r="F10" s="200" t="s">
        <v>39</v>
      </c>
      <c r="G10" s="174">
        <v>4</v>
      </c>
      <c r="H10" s="171" t="str">
        <f t="shared" si="23"/>
        <v/>
      </c>
      <c r="I10" s="202" t="s">
        <v>38</v>
      </c>
      <c r="J10" s="174">
        <v>9</v>
      </c>
      <c r="K10" s="171">
        <f t="shared" si="0"/>
        <v>-9</v>
      </c>
      <c r="L10" s="202" t="s">
        <v>39</v>
      </c>
      <c r="M10" s="174">
        <v>4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39</v>
      </c>
      <c r="AK10" s="174">
        <v>7</v>
      </c>
      <c r="AL10" s="171" t="str">
        <f t="shared" si="9"/>
        <v/>
      </c>
      <c r="AM10" s="202" t="s">
        <v>39</v>
      </c>
      <c r="AN10" s="174">
        <v>9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88.833333333333329</v>
      </c>
      <c r="BL10" s="66">
        <f ca="1">$AI$23</f>
        <v>1066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["H","V","V","V","H","H","V","V","V","H","V","V","H"];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39</v>
      </c>
      <c r="F11" s="200" t="s">
        <v>39</v>
      </c>
      <c r="G11" s="174">
        <v>16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39</v>
      </c>
      <c r="M11" s="174">
        <v>16</v>
      </c>
      <c r="N11" s="171" t="str">
        <f t="shared" si="1"/>
        <v/>
      </c>
      <c r="O11" s="202" t="s">
        <v>39</v>
      </c>
      <c r="P11" s="174">
        <v>16</v>
      </c>
      <c r="Q11" s="171" t="str">
        <f t="shared" si="2"/>
        <v/>
      </c>
      <c r="R11" s="202" t="s">
        <v>39</v>
      </c>
      <c r="S11" s="174">
        <v>6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16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13</v>
      </c>
      <c r="AI11" s="171" t="str">
        <f t="shared" si="8"/>
        <v/>
      </c>
      <c r="AJ11" s="202" t="s">
        <v>39</v>
      </c>
      <c r="AK11" s="174">
        <v>14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13</v>
      </c>
      <c r="AV11" s="173" t="str">
        <f t="shared" ca="1" si="13"/>
        <v/>
      </c>
      <c r="AX11" s="4">
        <f t="shared" si="14"/>
        <v>-144</v>
      </c>
      <c r="AY11" s="4">
        <f t="shared" ca="1" si="22"/>
        <v>144</v>
      </c>
      <c r="AZ11" s="4">
        <f t="shared" ca="1" si="15"/>
        <v>144</v>
      </c>
      <c r="BA11" s="4">
        <f t="shared" ca="1" si="16"/>
        <v>144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85.25</v>
      </c>
      <c r="BL11" s="66">
        <f ca="1">$T$23</f>
        <v>1023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-8</v>
      </c>
      <c r="BQ11" s="45">
        <f ca="1">-$AR$3*'Season Summary'!$AO$3</f>
        <v>-39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["H","V","V","V","H","H","V","V","H","H","V","V","H"];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38</v>
      </c>
      <c r="F12" s="200" t="s">
        <v>38</v>
      </c>
      <c r="G12" s="174">
        <v>8</v>
      </c>
      <c r="H12" s="171" t="str">
        <f t="shared" si="23"/>
        <v/>
      </c>
      <c r="I12" s="202" t="s">
        <v>38</v>
      </c>
      <c r="J12" s="174">
        <v>8</v>
      </c>
      <c r="K12" s="171" t="str">
        <f t="shared" si="0"/>
        <v/>
      </c>
      <c r="L12" s="202" t="s">
        <v>38</v>
      </c>
      <c r="M12" s="174">
        <v>8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39</v>
      </c>
      <c r="S12" s="174">
        <v>5</v>
      </c>
      <c r="T12" s="171">
        <f t="shared" si="3"/>
        <v>-5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38</v>
      </c>
      <c r="AB12" s="174">
        <v>7</v>
      </c>
      <c r="AC12" s="171" t="str">
        <f t="shared" si="6"/>
        <v/>
      </c>
      <c r="AD12" s="202" t="s">
        <v>39</v>
      </c>
      <c r="AE12" s="174">
        <v>5</v>
      </c>
      <c r="AF12" s="171">
        <f t="shared" si="7"/>
        <v>-5</v>
      </c>
      <c r="AG12" s="202" t="s">
        <v>39</v>
      </c>
      <c r="AH12" s="174">
        <v>6</v>
      </c>
      <c r="AI12" s="171">
        <f t="shared" si="8"/>
        <v>-6</v>
      </c>
      <c r="AJ12" s="202" t="s">
        <v>38</v>
      </c>
      <c r="AK12" s="174">
        <v>6</v>
      </c>
      <c r="AL12" s="171" t="str">
        <f t="shared" si="9"/>
        <v/>
      </c>
      <c r="AM12" s="202" t="s">
        <v>39</v>
      </c>
      <c r="AN12" s="174">
        <v>5</v>
      </c>
      <c r="AO12" s="173">
        <f t="shared" si="10"/>
        <v>-5</v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$Y$21</f>
        <v>8</v>
      </c>
      <c r="BF12" s="71" t="str">
        <f>$X$2</f>
        <v>JL</v>
      </c>
      <c r="BG12" s="72">
        <f ca="1">$Z$21</f>
        <v>86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85.166666666666671</v>
      </c>
      <c r="BL12" s="66">
        <f ca="1">$AF$23</f>
        <v>1022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-8</v>
      </c>
      <c r="BQ12" s="45">
        <f ca="1">-$AR$3*'Season Summary'!$AO$3</f>
        <v>-39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["H","V","V","V","H","H","H","V","V","H","V","V","H"];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7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7</v>
      </c>
      <c r="N13" s="171" t="str">
        <f t="shared" si="1"/>
        <v/>
      </c>
      <c r="O13" s="202" t="s">
        <v>38</v>
      </c>
      <c r="P13" s="174">
        <v>9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10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8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5</v>
      </c>
      <c r="AL13" s="171" t="str">
        <f t="shared" si="9"/>
        <v/>
      </c>
      <c r="AM13" s="202" t="s">
        <v>39</v>
      </c>
      <c r="AN13" s="174">
        <v>6</v>
      </c>
      <c r="AO13" s="173">
        <f t="shared" si="10"/>
        <v>-6</v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80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82.833333333333329</v>
      </c>
      <c r="BL13" s="66">
        <f ca="1">$AC$23</f>
        <v>994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-13</v>
      </c>
      <c r="BQ13" s="45">
        <f ca="1">-$AR$3*'Season Summary'!$AO$3</f>
        <v>-39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26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["H","V","V","H","H","H","H","V","V","H","V","H","H"];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38</v>
      </c>
      <c r="P14" s="174">
        <v>5</v>
      </c>
      <c r="Q14" s="171">
        <f t="shared" si="2"/>
        <v>-5</v>
      </c>
      <c r="R14" s="202" t="s">
        <v>39</v>
      </c>
      <c r="S14" s="174">
        <v>4</v>
      </c>
      <c r="T14" s="171" t="str">
        <f t="shared" si="3"/>
        <v/>
      </c>
      <c r="U14" s="202" t="s">
        <v>39</v>
      </c>
      <c r="V14" s="174">
        <v>5</v>
      </c>
      <c r="W14" s="171" t="str">
        <f t="shared" si="4"/>
        <v/>
      </c>
      <c r="X14" s="202" t="s">
        <v>39</v>
      </c>
      <c r="Y14" s="174">
        <v>4</v>
      </c>
      <c r="Z14" s="171" t="str">
        <f t="shared" si="5"/>
        <v/>
      </c>
      <c r="AA14" s="202" t="s">
        <v>39</v>
      </c>
      <c r="AB14" s="174">
        <v>16</v>
      </c>
      <c r="AC14" s="171" t="str">
        <f t="shared" si="6"/>
        <v/>
      </c>
      <c r="AD14" s="202" t="s">
        <v>39</v>
      </c>
      <c r="AE14" s="174">
        <v>7</v>
      </c>
      <c r="AF14" s="171" t="str">
        <f t="shared" si="7"/>
        <v/>
      </c>
      <c r="AG14" s="202" t="s">
        <v>39</v>
      </c>
      <c r="AH14" s="174">
        <v>9</v>
      </c>
      <c r="AI14" s="171" t="str">
        <f t="shared" si="8"/>
        <v/>
      </c>
      <c r="AJ14" s="202" t="s">
        <v>38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-59</v>
      </c>
      <c r="AY14" s="4">
        <f t="shared" ca="1" si="22"/>
        <v>59</v>
      </c>
      <c r="AZ14" s="4">
        <f t="shared" ca="1" si="15"/>
        <v>59</v>
      </c>
      <c r="BA14" s="4">
        <f t="shared" ca="1" si="16"/>
        <v>59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79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82.666666666666671</v>
      </c>
      <c r="BL14" s="66">
        <f ca="1">$W$23</f>
        <v>992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["H","V","V","V","H","H","V","V","H","H","H","V","H"];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99" t="s">
        <v>38</v>
      </c>
      <c r="F15" s="200" t="s">
        <v>39</v>
      </c>
      <c r="G15" s="174">
        <v>13</v>
      </c>
      <c r="H15" s="171">
        <f t="shared" si="23"/>
        <v>-13</v>
      </c>
      <c r="I15" s="202" t="s">
        <v>39</v>
      </c>
      <c r="J15" s="174">
        <v>12</v>
      </c>
      <c r="K15" s="171">
        <f t="shared" si="0"/>
        <v>-12</v>
      </c>
      <c r="L15" s="202" t="s">
        <v>39</v>
      </c>
      <c r="M15" s="174">
        <v>13</v>
      </c>
      <c r="N15" s="171">
        <f t="shared" si="1"/>
        <v>-13</v>
      </c>
      <c r="O15" s="202" t="s">
        <v>39</v>
      </c>
      <c r="P15" s="174">
        <v>13</v>
      </c>
      <c r="Q15" s="171">
        <f t="shared" si="2"/>
        <v>-13</v>
      </c>
      <c r="R15" s="202" t="s">
        <v>39</v>
      </c>
      <c r="S15" s="174">
        <v>10</v>
      </c>
      <c r="T15" s="171">
        <f t="shared" si="3"/>
        <v>-10</v>
      </c>
      <c r="U15" s="202" t="s">
        <v>39</v>
      </c>
      <c r="V15" s="174">
        <v>4</v>
      </c>
      <c r="W15" s="171">
        <f t="shared" si="4"/>
        <v>-4</v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13</v>
      </c>
      <c r="AC15" s="171">
        <f t="shared" si="6"/>
        <v>-13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5</v>
      </c>
      <c r="AI15" s="171" t="str">
        <f t="shared" si="8"/>
        <v/>
      </c>
      <c r="AJ15" s="202" t="s">
        <v>39</v>
      </c>
      <c r="AK15" s="174">
        <v>13</v>
      </c>
      <c r="AL15" s="171">
        <f t="shared" si="9"/>
        <v>-13</v>
      </c>
      <c r="AM15" s="202" t="s">
        <v>38</v>
      </c>
      <c r="AN15" s="174">
        <v>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11</v>
      </c>
      <c r="AV15" s="173">
        <f t="shared" ca="1" si="13"/>
        <v>-11</v>
      </c>
      <c r="AX15" s="4">
        <f t="shared" si="14"/>
        <v>-113</v>
      </c>
      <c r="AY15" s="4">
        <f t="shared" ca="1" si="22"/>
        <v>113</v>
      </c>
      <c r="AZ15" s="4">
        <f t="shared" ca="1" si="15"/>
        <v>113</v>
      </c>
      <c r="BA15" s="4">
        <f t="shared" ca="1" si="16"/>
        <v>113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 ca="1">$K$21</f>
        <v>57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80.833333333333329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["H","V","V","H","H","H","V","V","V","V","V","H","H"];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["15","9","11","6","12","10","4","16","8","7","5","13","14"];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["16","5","10","7","15","14","9","4","8","13","6","12","11"];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["15","12","9","6","11","10","4","16","8","7","5","13","14"];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14</v>
      </c>
      <c r="N19" s="171">
        <f t="shared" si="1"/>
        <v>-14</v>
      </c>
      <c r="O19" s="202" t="s">
        <v>38</v>
      </c>
      <c r="P19" s="174">
        <v>14</v>
      </c>
      <c r="Q19" s="171">
        <f t="shared" si="2"/>
        <v>-14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14</v>
      </c>
      <c r="AC19" s="171">
        <f t="shared" si="6"/>
        <v>-14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4</v>
      </c>
      <c r="AI19" s="171">
        <f t="shared" si="8"/>
        <v>-4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8</v>
      </c>
      <c r="AO19" s="173">
        <f t="shared" si="10"/>
        <v>-8</v>
      </c>
      <c r="AT19" s="166" t="str">
        <f ca="1">IF($B19="","",IF(AX19&lt;0,"V","H"))</f>
        <v>H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145</v>
      </c>
      <c r="AY19" s="4">
        <f t="shared" ca="1" si="22"/>
        <v>145</v>
      </c>
      <c r="AZ19" s="4">
        <f t="shared" ca="1" si="15"/>
        <v>145</v>
      </c>
      <c r="BA19" s="4">
        <f t="shared" ca="1" si="16"/>
        <v>145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["15","11","7","8","12","10","4","16","6","9","5","13","14"];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308" t="s">
        <v>781</v>
      </c>
      <c r="G20" s="79">
        <v>35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41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["14","9","8","7","13","12","11","6","5","15","4","10","16"];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91</v>
      </c>
      <c r="I21" s="183"/>
      <c r="J21" s="181">
        <f ca="1">RANK(K21,$H34:$AO34,0)+J52</f>
        <v>12</v>
      </c>
      <c r="K21" s="182">
        <f ca="1">IF(SUM(J4:J19)&gt;0,SUM(K4:K19)+$F$31,0)</f>
        <v>57</v>
      </c>
      <c r="L21" s="183"/>
      <c r="M21" s="181">
        <f ca="1">RANK(N21,$H34:$AO34,0)+M52</f>
        <v>2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86</v>
      </c>
      <c r="R21" s="183"/>
      <c r="S21" s="181">
        <f ca="1">RANK(T21,$H34:$AO34,0)+S52</f>
        <v>11</v>
      </c>
      <c r="T21" s="182">
        <f ca="1">IF(SUM(S4:S19)&gt;0,SUM(T4:T19)+$F$31,0)</f>
        <v>79</v>
      </c>
      <c r="U21" s="183"/>
      <c r="V21" s="181">
        <f ca="1">RANK(W21,$H34:$AO34,0)+V52</f>
        <v>4</v>
      </c>
      <c r="W21" s="182">
        <f ca="1">IF(SUM(V4:V19)&gt;0,SUM(W4:W19)+$F$31,0)</f>
        <v>91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2</v>
      </c>
      <c r="AC21" s="182">
        <f ca="1">IF(SUM(AB4:AB19)&gt;0,SUM(AC4:AC19)+$F$31,0)</f>
        <v>92</v>
      </c>
      <c r="AD21" s="183"/>
      <c r="AE21" s="181">
        <f ca="1">RANK(AF21,$H34:$AO34,0)+AE52</f>
        <v>10</v>
      </c>
      <c r="AF21" s="182">
        <f ca="1">IF(SUM(AE4:AE19)&gt;0,SUM(AF4:AF19)+$F$31,0)</f>
        <v>80</v>
      </c>
      <c r="AG21" s="183"/>
      <c r="AH21" s="181">
        <f ca="1">RANK(AI21,$H34:$AO34,0)+AH52</f>
        <v>6</v>
      </c>
      <c r="AI21" s="182">
        <f ca="1">IF(SUM(AH4:AH19)&gt;0,SUM(AI4:AI19)+$F$31,0)</f>
        <v>89</v>
      </c>
      <c r="AJ21" s="183"/>
      <c r="AK21" s="181">
        <f ca="1">RANK(AL21,$H34:$AO34,0)+AK52</f>
        <v>1</v>
      </c>
      <c r="AL21" s="182">
        <f ca="1">IF(SUM(AK4:AK19)&gt;0,SUM(AL4:AL19)+$F$31,0)</f>
        <v>93</v>
      </c>
      <c r="AM21" s="183"/>
      <c r="AN21" s="181">
        <f ca="1">RANK(AO21,$H34:$AO34,0)+AN52</f>
        <v>7</v>
      </c>
      <c r="AO21" s="184">
        <f ca="1">IF(SUM(AN4:AN19)&gt;0,SUM(AO4:AO19)+$F$31,0)</f>
        <v>88</v>
      </c>
      <c r="AP21" s="3"/>
      <c r="AT21" s="185"/>
      <c r="AU21" s="186">
        <f ca="1">RANK(AV34,$H34:$AV34,0)</f>
        <v>6</v>
      </c>
      <c r="AV21" s="187">
        <f ca="1">IF(SUM(AU4:AU19)&gt;0,SUM(AV4:AV19)+$F$31,0)</f>
        <v>90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["9","11","14","6","16","8","12","15","7","10","5","4","13"];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95.416666666666671</v>
      </c>
      <c r="I22" s="123"/>
      <c r="J22" s="121">
        <f ca="1">RANK(K35,($H35:$AO35),0)</f>
        <v>12</v>
      </c>
      <c r="K22" s="122">
        <f ca="1">IF($AR$3&lt;3,K23,K23/($AR$3-1))</f>
        <v>80.833333333333329</v>
      </c>
      <c r="L22" s="123"/>
      <c r="M22" s="121">
        <f ca="1">RANK(N35,($H35:$AO35),0)</f>
        <v>1</v>
      </c>
      <c r="N22" s="122">
        <f ca="1">IF($AR$3&lt;3,N23,N23/($AR$3-1))</f>
        <v>95.75</v>
      </c>
      <c r="O22" s="123"/>
      <c r="P22" s="121">
        <f ca="1">RANK(Q35,($H35:$AO35),0)</f>
        <v>3</v>
      </c>
      <c r="Q22" s="122">
        <f ca="1">IF($AR$3&lt;3,Q23,Q23/($AR$3-1))</f>
        <v>94.666666666666671</v>
      </c>
      <c r="R22" s="123"/>
      <c r="S22" s="121">
        <f ca="1">RANK(T35,($H35:$AO35),0)</f>
        <v>8</v>
      </c>
      <c r="T22" s="122">
        <f ca="1">IF($AR$3&lt;3,T23,T23/($AR$3-1))</f>
        <v>85.25</v>
      </c>
      <c r="U22" s="123"/>
      <c r="V22" s="121">
        <f ca="1">RANK(W35,($H35:$AO35),0)</f>
        <v>11</v>
      </c>
      <c r="W22" s="122">
        <f ca="1">IF($AR$3&lt;3,W23,W23/($AR$3-1))</f>
        <v>82.666666666666671</v>
      </c>
      <c r="X22" s="123"/>
      <c r="Y22" s="121">
        <f ca="1">RANK(Z35,($H35:$AO35),0)</f>
        <v>5</v>
      </c>
      <c r="Z22" s="122">
        <f ca="1">IF($AR$3&lt;3,Z23,Z23/($AR$3-1))</f>
        <v>94.5</v>
      </c>
      <c r="AA22" s="123"/>
      <c r="AB22" s="121">
        <f ca="1">RANK(AC35,($H35:$AO35),0)</f>
        <v>10</v>
      </c>
      <c r="AC22" s="122">
        <f ca="1">IF($AR$3&lt;3,AC23,AC23/($AR$3-1))</f>
        <v>82.833333333333329</v>
      </c>
      <c r="AD22" s="123"/>
      <c r="AE22" s="121">
        <f ca="1">RANK(AF35,($H35:$AO35),0)</f>
        <v>9</v>
      </c>
      <c r="AF22" s="122">
        <f ca="1">IF($AR$3&lt;3,AF23,AF23/($AR$3-1))</f>
        <v>85.166666666666671</v>
      </c>
      <c r="AG22" s="123"/>
      <c r="AH22" s="121">
        <f ca="1">RANK(AI35,($H35:$AO35),0)</f>
        <v>7</v>
      </c>
      <c r="AI22" s="122">
        <f ca="1">IF($AR$3&lt;3,AI23,AI23/($AR$3-1))</f>
        <v>88.833333333333329</v>
      </c>
      <c r="AJ22" s="123"/>
      <c r="AK22" s="121">
        <f ca="1">RANK(AL35,($H35:$AO35),0)</f>
        <v>3</v>
      </c>
      <c r="AL22" s="122">
        <f ca="1">IF($AR$3&lt;3,AL23,AL23/($AR$3-1))</f>
        <v>94.666666666666671</v>
      </c>
      <c r="AM22" s="123"/>
      <c r="AN22" s="121">
        <f ca="1">RANK(AO35,($H35:$AO35),0)</f>
        <v>6</v>
      </c>
      <c r="AO22" s="124">
        <f ca="1">IF($AR$3&lt;3,AO23,AO23/($AR$3-1))</f>
        <v>89.916666666666671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["14","10","8","12","13","9","6","16","5","7","4","15","11"];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1145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1149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1136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992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1134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994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1022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1066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["15","12","9","5","11","10","4","6","7","8","16","13","14"];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["13","12","8","6","11","10","4","15","5","9","7","16","14"];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0.76923076923076927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0.38461538461538464</v>
      </c>
      <c r="K25" s="130">
        <f>IF(SUM(J4:J19)&gt;0,COUNTBLANK(K4:K19)-COUNTBLANK($E4:$E19),0)</f>
        <v>5</v>
      </c>
      <c r="L25" s="131"/>
      <c r="M25" s="133">
        <f ca="1">IF($AR$2=0,N25/OFFSET('Season Summary'!$D$3,$C$2,0),0)</f>
        <v>0.76923076923076927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0.61538461538461542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0.69230769230769229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0.76923076923076927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0.61538461538461542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0.61538461538461542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["15","10","11","8","16","14","7","13","6","12","9","5","4"];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0.65803108808290156</v>
      </c>
      <c r="H26" s="139">
        <f ca="1">SUM('Season Summary'!F3:OFFSET('Season Summary'!F3,$C$2+$AR$2,0))</f>
        <v>127</v>
      </c>
      <c r="I26" s="140"/>
      <c r="J26" s="138">
        <f ca="1">IF($AR$3=0,0,K26/SUM('Season Summary'!$D3:OFFSET('Season Summary'!$D3,$C$2+$AR$2,0)))</f>
        <v>0.51295336787564771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0.67357512953367871</v>
      </c>
      <c r="N26" s="139">
        <f ca="1">SUM('Season Summary'!L3:OFFSET('Season Summary'!L3,$C$2+$AR$2,0))</f>
        <v>130</v>
      </c>
      <c r="O26" s="140"/>
      <c r="P26" s="138">
        <f ca="1">IF($AR$3=0,0,Q26/SUM('Season Summary'!$D3:OFFSET('Season Summary'!$D3,$C$2+$AR$2,0)))</f>
        <v>0.63730569948186533</v>
      </c>
      <c r="Q26" s="139">
        <f ca="1">SUM('Season Summary'!O3:OFFSET('Season Summary'!O3,$C$2+$AR$2,0))</f>
        <v>123</v>
      </c>
      <c r="R26" s="140"/>
      <c r="S26" s="138">
        <f ca="1">IF($AR$3=0,0,T26/SUM('Season Summary'!$D3:OFFSET('Season Summary'!$D3,$C$2+$AR$2,0)))</f>
        <v>0.6113989637305699</v>
      </c>
      <c r="T26" s="139">
        <f ca="1">SUM('Season Summary'!R3:OFFSET('Season Summary'!R3,$C$2+$AR$2,0))</f>
        <v>118</v>
      </c>
      <c r="U26" s="140"/>
      <c r="V26" s="138">
        <f ca="1">IF($AR$3=0,0,W26/SUM('Season Summary'!$D3:OFFSET('Season Summary'!$D3,$C$2+$AR$2,0)))</f>
        <v>0.54404145077720212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0.63730569948186533</v>
      </c>
      <c r="Z26" s="139">
        <f ca="1">SUM('Season Summary'!X3:OFFSET('Season Summary'!X3,$C$2+$AR$2,0))</f>
        <v>123</v>
      </c>
      <c r="AA26" s="140"/>
      <c r="AB26" s="138">
        <f ca="1">IF($AR$3=0,0,AC26/SUM('Season Summary'!$D3:OFFSET('Season Summary'!$D3,$C$2+$AR$2,0)))</f>
        <v>0.54922279792746109</v>
      </c>
      <c r="AC26" s="139">
        <f ca="1">SUM('Season Summary'!AA3:OFFSET('Season Summary'!AA3,$C$2+$AR$2,0))</f>
        <v>106</v>
      </c>
      <c r="AD26" s="140"/>
      <c r="AE26" s="138">
        <f ca="1">IF($AR$3=0,0,AF26/SUM('Season Summary'!$D3:OFFSET('Season Summary'!$D3,$C$2+$AR$2,0)))</f>
        <v>0.55440414507772018</v>
      </c>
      <c r="AF26" s="139">
        <f ca="1">SUM('Season Summary'!AD3:OFFSET('Season Summary'!AD3,$C$2+$AR$2,0))</f>
        <v>107</v>
      </c>
      <c r="AG26" s="140"/>
      <c r="AH26" s="138">
        <f ca="1">IF($AR$3=0,0,AI26/SUM('Season Summary'!$D3:OFFSET('Season Summary'!$D3,$C$2+$AR$2,0)))</f>
        <v>0.5803108808290155</v>
      </c>
      <c r="AI26" s="139">
        <f ca="1">SUM('Season Summary'!AG3:OFFSET('Season Summary'!AG3,$C$2+$AR$2,0))</f>
        <v>112</v>
      </c>
      <c r="AJ26" s="140"/>
      <c r="AK26" s="138">
        <f ca="1">IF($AR$3=0,0,AL26/SUM('Season Summary'!$D3:OFFSET('Season Summary'!$D3,$C$2+$AR$2,0)))</f>
        <v>0.64766839378238339</v>
      </c>
      <c r="AL26" s="139">
        <f ca="1">SUM('Season Summary'!AJ3:OFFSET('Season Summary'!AJ3,$C$2+$AR$2,0))</f>
        <v>125</v>
      </c>
      <c r="AM26" s="140"/>
      <c r="AN26" s="138">
        <f ca="1">IF($AR$3=0,0,AO26/SUM('Season Summary'!$D3:OFFSET('Season Summary'!$D3,$C$2+$AR$2,0)))</f>
        <v>0.60621761658031093</v>
      </c>
      <c r="AO26" s="141">
        <f ca="1">SUM('Season Summary'!AM3:OFFSET('Season Summary'!AM3,$C$2+$AR$2,0))</f>
        <v>117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["16","9","11","15","8","10","7","14","6","5","4","13","12"];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["16","11","12","10","13","14","9","15","5","6","7","4","8"];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["H","V","V","V","V","H","V","V","H","H","V","H","V"];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["35","41","40","42","44","38","47","37","38","53","36","44"];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57</v>
      </c>
      <c r="N34" s="4">
        <f t="shared" ref="N34:N39" ca="1" si="26">N21</f>
        <v>92</v>
      </c>
      <c r="Q34" s="4">
        <f t="shared" ref="Q34:Q39" ca="1" si="27">Q21</f>
        <v>86</v>
      </c>
      <c r="T34" s="4">
        <f t="shared" ref="T34:T39" ca="1" si="28">T21</f>
        <v>79</v>
      </c>
      <c r="W34" s="4">
        <f t="shared" ref="W34:W39" ca="1" si="29">W21</f>
        <v>91</v>
      </c>
      <c r="Z34" s="4">
        <f t="shared" ref="Z34:Z39" ca="1" si="30">Z21</f>
        <v>86</v>
      </c>
      <c r="AC34" s="4">
        <f t="shared" ref="AC34:AC39" ca="1" si="31">AC21</f>
        <v>92</v>
      </c>
      <c r="AF34" s="4">
        <f t="shared" ref="AF34:AF39" ca="1" si="32">AF21</f>
        <v>80</v>
      </c>
      <c r="AI34" s="4">
        <f t="shared" ref="AI34:AI39" ca="1" si="33">AI21</f>
        <v>89</v>
      </c>
      <c r="AL34" s="4">
        <f t="shared" ref="AL34:AL39" ca="1" si="34">AL21</f>
        <v>93</v>
      </c>
      <c r="AO34" s="4">
        <f t="shared" ref="AO34:AO39" ca="1" si="35">AO21</f>
        <v>88</v>
      </c>
      <c r="AP34" s="147"/>
      <c r="AV34" s="4">
        <f ca="1">AV21</f>
        <v>90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95.416666666666671</v>
      </c>
      <c r="I35" s="147"/>
      <c r="J35" s="147"/>
      <c r="K35" s="302">
        <f t="shared" ca="1" si="25"/>
        <v>80.833333333333329</v>
      </c>
      <c r="L35" s="147"/>
      <c r="M35" s="147"/>
      <c r="N35" s="302">
        <f t="shared" ca="1" si="26"/>
        <v>95.75</v>
      </c>
      <c r="Q35" s="302">
        <f t="shared" ca="1" si="27"/>
        <v>94.666666666666671</v>
      </c>
      <c r="T35" s="302">
        <f t="shared" ca="1" si="28"/>
        <v>85.25</v>
      </c>
      <c r="W35" s="302">
        <f t="shared" ca="1" si="29"/>
        <v>82.666666666666671</v>
      </c>
      <c r="Z35" s="302">
        <f t="shared" ca="1" si="30"/>
        <v>94.5</v>
      </c>
      <c r="AC35" s="302">
        <f t="shared" ca="1" si="31"/>
        <v>82.833333333333329</v>
      </c>
      <c r="AF35" s="302">
        <f t="shared" ca="1" si="32"/>
        <v>85.166666666666671</v>
      </c>
      <c r="AI35" s="302">
        <f t="shared" ca="1" si="33"/>
        <v>88.833333333333329</v>
      </c>
      <c r="AL35" s="302">
        <f t="shared" ca="1" si="34"/>
        <v>94.666666666666671</v>
      </c>
      <c r="AO35" s="302">
        <f t="shared" ca="1" si="35"/>
        <v>89.916666666666671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1145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1149</v>
      </c>
      <c r="Q36" s="302">
        <f t="shared" ca="1" si="27"/>
        <v>1136</v>
      </c>
      <c r="T36" s="302">
        <f t="shared" ca="1" si="28"/>
        <v>1023</v>
      </c>
      <c r="W36" s="302">
        <f t="shared" ca="1" si="29"/>
        <v>992</v>
      </c>
      <c r="Z36" s="302">
        <f t="shared" ca="1" si="30"/>
        <v>1134</v>
      </c>
      <c r="AC36" s="302">
        <f t="shared" ca="1" si="31"/>
        <v>994</v>
      </c>
      <c r="AF36" s="302">
        <f t="shared" ca="1" si="32"/>
        <v>1022</v>
      </c>
      <c r="AI36" s="302">
        <f t="shared" ca="1" si="33"/>
        <v>1066</v>
      </c>
      <c r="AL36" s="302">
        <f t="shared" ca="1" si="34"/>
        <v>1136</v>
      </c>
      <c r="AO36" s="302">
        <f t="shared" ca="1" si="35"/>
        <v>1079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5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8</v>
      </c>
      <c r="W38" s="302">
        <f t="shared" si="29"/>
        <v>9</v>
      </c>
      <c r="Z38" s="302">
        <f t="shared" si="30"/>
        <v>9</v>
      </c>
      <c r="AC38" s="302">
        <f t="shared" si="31"/>
        <v>10</v>
      </c>
      <c r="AF38" s="302">
        <f t="shared" si="32"/>
        <v>8</v>
      </c>
      <c r="AI38" s="302">
        <f t="shared" si="33"/>
        <v>8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127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130</v>
      </c>
      <c r="Q39" s="302">
        <f t="shared" ca="1" si="27"/>
        <v>123</v>
      </c>
      <c r="T39" s="302">
        <f t="shared" ca="1" si="28"/>
        <v>118</v>
      </c>
      <c r="W39" s="302">
        <f t="shared" ca="1" si="29"/>
        <v>105</v>
      </c>
      <c r="Z39" s="302">
        <f t="shared" ca="1" si="30"/>
        <v>123</v>
      </c>
      <c r="AC39" s="302">
        <f t="shared" ca="1" si="31"/>
        <v>106</v>
      </c>
      <c r="AF39" s="302">
        <f t="shared" ca="1" si="32"/>
        <v>107</v>
      </c>
      <c r="AI39" s="302">
        <f t="shared" ca="1" si="33"/>
        <v>112</v>
      </c>
      <c r="AL39" s="302">
        <f t="shared" ca="1" si="34"/>
        <v>125</v>
      </c>
      <c r="AO39" s="302">
        <f t="shared" ca="1" si="35"/>
        <v>117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0.76923076923076927</v>
      </c>
      <c r="H41" s="147"/>
      <c r="I41" s="147"/>
      <c r="J41" s="301">
        <f ca="1">J25</f>
        <v>0.38461538461538464</v>
      </c>
      <c r="K41" s="147"/>
      <c r="L41" s="147"/>
      <c r="M41" s="301">
        <f ca="1">M25</f>
        <v>0.76923076923076927</v>
      </c>
      <c r="P41" s="301">
        <f ca="1">P25</f>
        <v>0.69230769230769229</v>
      </c>
      <c r="S41" s="301">
        <f ca="1">S25</f>
        <v>0.61538461538461542</v>
      </c>
      <c r="V41" s="301">
        <f ca="1">V25</f>
        <v>0.69230769230769229</v>
      </c>
      <c r="Y41" s="301">
        <f ca="1">Y25</f>
        <v>0.69230769230769229</v>
      </c>
      <c r="AB41" s="301">
        <f ca="1">AB25</f>
        <v>0.76923076923076927</v>
      </c>
      <c r="AE41" s="301">
        <f ca="1">AE25</f>
        <v>0.61538461538461542</v>
      </c>
      <c r="AH41" s="301">
        <f ca="1">AH25</f>
        <v>0.61538461538461542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0.65803108808290156</v>
      </c>
      <c r="H42" s="147"/>
      <c r="I42" s="147"/>
      <c r="J42" s="301">
        <f ca="1">J26</f>
        <v>0.51295336787564771</v>
      </c>
      <c r="K42" s="147"/>
      <c r="L42" s="147"/>
      <c r="M42" s="301">
        <f ca="1">M26</f>
        <v>0.67357512953367871</v>
      </c>
      <c r="P42" s="301">
        <f ca="1">P26</f>
        <v>0.63730569948186533</v>
      </c>
      <c r="S42" s="301">
        <f ca="1">S26</f>
        <v>0.6113989637305699</v>
      </c>
      <c r="V42" s="301">
        <f ca="1">V26</f>
        <v>0.54404145077720212</v>
      </c>
      <c r="Y42" s="301">
        <f ca="1">Y26</f>
        <v>0.63730569948186533</v>
      </c>
      <c r="AB42" s="301">
        <f ca="1">AB26</f>
        <v>0.54922279792746109</v>
      </c>
      <c r="AE42" s="301">
        <f ca="1">AE26</f>
        <v>0.55440414507772018</v>
      </c>
      <c r="AH42" s="301">
        <f ca="1">AH26</f>
        <v>0.5803108808290155</v>
      </c>
      <c r="AK42" s="301">
        <f ca="1">AK26</f>
        <v>0.64766839378238339</v>
      </c>
      <c r="AN42" s="301">
        <f ca="1">AN26</f>
        <v>0.60621761658031093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39</v>
      </c>
      <c r="F4" s="193" t="s">
        <v>38</v>
      </c>
      <c r="G4" s="164">
        <v>12</v>
      </c>
      <c r="H4" s="161">
        <f>IF(G4&gt;0,IF(ISTEXT($E4),IF($E4&lt;&gt;F4,G4-2*G4,""),""),"")</f>
        <v>-12</v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12</v>
      </c>
      <c r="N4" s="161">
        <f t="shared" ref="N4:N19" si="1">IF(M4&gt;0,IF(ISTEXT($E4),IF($E4&lt;&gt;L4,M4-2*M4,""),""),"")</f>
        <v>-12</v>
      </c>
      <c r="O4" s="195" t="s">
        <v>38</v>
      </c>
      <c r="P4" s="164">
        <v>11</v>
      </c>
      <c r="Q4" s="161">
        <f t="shared" ref="Q4:Q19" si="2">IF(P4&gt;0,IF(ISTEXT($E4),IF($E4&lt;&gt;O4,P4-2*P4,""),""),"")</f>
        <v>-11</v>
      </c>
      <c r="R4" s="195" t="s">
        <v>38</v>
      </c>
      <c r="S4" s="164">
        <v>14</v>
      </c>
      <c r="T4" s="161">
        <f t="shared" ref="T4:T19" si="3">IF(S4&gt;0,IF(ISTEXT($E4),IF($E4&lt;&gt;R4,S4-2*S4,""),""),"")</f>
        <v>-14</v>
      </c>
      <c r="U4" s="195" t="s">
        <v>38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11</v>
      </c>
      <c r="AF4" s="161">
        <f t="shared" ref="AF4:AF19" si="7">IF(AE4&gt;0,IF(ISTEXT($E4),IF($E4&lt;&gt;AD4,AE4-2*AE4,""),""),"")</f>
        <v>-11</v>
      </c>
      <c r="AG4" s="195" t="s">
        <v>38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38</v>
      </c>
      <c r="AN4" s="164">
        <v>6</v>
      </c>
      <c r="AO4" s="163">
        <f t="shared" ref="AO4:AO19" si="10">IF(AN4&gt;0,IF(ISTEXT($E4),IF($E4&lt;&gt;AM4,AN4-2*AN4,""),""),"")</f>
        <v>-6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125</v>
      </c>
      <c r="AY4" s="4">
        <f ca="1">ABS(AX4)+IF($B4="",-0.1,0)</f>
        <v>125</v>
      </c>
      <c r="AZ4" s="4">
        <f t="shared" ref="AZ4:AZ19" ca="1" si="15">AY4+IF(AT4="H",IF(BC4&gt;1,0.1*BC4-0.1,0),0)</f>
        <v>125</v>
      </c>
      <c r="BA4" s="4">
        <f t="shared" ref="BA4:BA19" ca="1" si="16">AZ4+IF(AT4="V",IF(BC4&gt;1,0.1*BC4-0.1,0),0)</f>
        <v>125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93.692307692307693</v>
      </c>
      <c r="BL4" s="64">
        <f ca="1">$N$23</f>
        <v>1218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["H","H","H","V","V","H","H","V","V","H","H","H","H","H","V"];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38</v>
      </c>
      <c r="G5" s="174">
        <v>3</v>
      </c>
      <c r="H5" s="171">
        <f>IF(G5&gt;0,IF(ISTEXT($E5),IF($E5&lt;&gt;F5,G5-2*G5,""),""),"")</f>
        <v>-3</v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>
        <f>IF(V5&gt;0,IF(ISTEXT($E5),IF($E5&lt;&gt;U5,V5-2*V5,""),""),"")</f>
        <v>-8</v>
      </c>
      <c r="X5" s="202" t="s">
        <v>38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3</v>
      </c>
      <c r="AC5" s="171">
        <f>IF(AB5&gt;0,IF(ISTEXT($E5),IF($E5&lt;&gt;AA5,AB5-2*AB5,""),""),"")</f>
        <v>-3</v>
      </c>
      <c r="AD5" s="202" t="s">
        <v>38</v>
      </c>
      <c r="AE5" s="174">
        <v>3</v>
      </c>
      <c r="AF5" s="171">
        <f>IF(AE5&gt;0,IF(ISTEXT($E5),IF($E5&lt;&gt;AD5,AE5-2*AE5,""),""),"")</f>
        <v>-3</v>
      </c>
      <c r="AG5" s="202" t="s">
        <v>38</v>
      </c>
      <c r="AH5" s="174">
        <v>7</v>
      </c>
      <c r="AI5" s="171">
        <f>IF(AH5&gt;0,IF(ISTEXT($E5),IF($E5&lt;&gt;AG5,AH5-2*AH5,""),""),"")</f>
        <v>-7</v>
      </c>
      <c r="AJ5" s="202" t="s">
        <v>38</v>
      </c>
      <c r="AK5" s="174">
        <v>4</v>
      </c>
      <c r="AL5" s="171">
        <f>IF(AK5&gt;0,IF(ISTEXT($E5),IF($E5&lt;&gt;AJ5,AK5-2*AK5,""),""),"")</f>
        <v>-4</v>
      </c>
      <c r="AM5" s="202" t="s">
        <v>38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69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92.692307692307693</v>
      </c>
      <c r="BL5" s="66">
        <f ca="1">$H$23</f>
        <v>1205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-42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42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14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14</v>
      </c>
      <c r="N6" s="171" t="str">
        <f t="shared" si="1"/>
        <v/>
      </c>
      <c r="O6" s="202" t="s">
        <v>38</v>
      </c>
      <c r="P6" s="174">
        <v>14</v>
      </c>
      <c r="Q6" s="171" t="str">
        <f t="shared" si="2"/>
        <v/>
      </c>
      <c r="R6" s="202" t="s">
        <v>38</v>
      </c>
      <c r="S6" s="174">
        <v>15</v>
      </c>
      <c r="T6" s="171" t="str">
        <f t="shared" si="3"/>
        <v/>
      </c>
      <c r="U6" s="202" t="s">
        <v>38</v>
      </c>
      <c r="V6" s="174">
        <v>2</v>
      </c>
      <c r="W6" s="171" t="str">
        <f t="shared" si="4"/>
        <v/>
      </c>
      <c r="X6" s="202" t="s">
        <v>38</v>
      </c>
      <c r="Y6" s="174">
        <v>8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11</v>
      </c>
      <c r="AI6" s="171">
        <f t="shared" si="8"/>
        <v>-11</v>
      </c>
      <c r="AJ6" s="202" t="s">
        <v>38</v>
      </c>
      <c r="AK6" s="174">
        <v>14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113</v>
      </c>
      <c r="AY6" s="4">
        <f t="shared" ca="1" si="22"/>
        <v>113</v>
      </c>
      <c r="AZ6" s="4">
        <f t="shared" ca="1" si="15"/>
        <v>113</v>
      </c>
      <c r="BA6" s="4">
        <f t="shared" ca="1" si="16"/>
        <v>113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68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92.615384615384613</v>
      </c>
      <c r="BL6" s="66">
        <f ca="1">$Q$23</f>
        <v>1204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20</v>
      </c>
      <c r="BQ6" s="45">
        <f ca="1">-$AR$3*'Season Summary'!$AO$3</f>
        <v>-42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["H","V","H","V","H","H","H","V","V","H","H","H","H","H","V"];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10</v>
      </c>
      <c r="H7" s="171">
        <f t="shared" si="23"/>
        <v>-10</v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>
        <f t="shared" si="1"/>
        <v>-9</v>
      </c>
      <c r="O7" s="202" t="s">
        <v>39</v>
      </c>
      <c r="P7" s="174">
        <v>6</v>
      </c>
      <c r="Q7" s="171">
        <f t="shared" si="2"/>
        <v>-6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13</v>
      </c>
      <c r="W7" s="171">
        <f t="shared" si="4"/>
        <v>-13</v>
      </c>
      <c r="X7" s="202" t="s">
        <v>39</v>
      </c>
      <c r="Y7" s="174">
        <v>10</v>
      </c>
      <c r="Z7" s="171">
        <f t="shared" si="5"/>
        <v>-10</v>
      </c>
      <c r="AA7" s="202" t="s">
        <v>39</v>
      </c>
      <c r="AB7" s="174">
        <v>10</v>
      </c>
      <c r="AC7" s="171">
        <f t="shared" si="6"/>
        <v>-10</v>
      </c>
      <c r="AD7" s="202" t="s">
        <v>39</v>
      </c>
      <c r="AE7" s="174">
        <v>5</v>
      </c>
      <c r="AF7" s="171">
        <f t="shared" si="7"/>
        <v>-5</v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8</v>
      </c>
      <c r="AL7" s="171">
        <f t="shared" si="9"/>
        <v>-8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week_14_schedule</v>
      </c>
      <c r="AT7" s="166" t="str">
        <f t="shared" ca="1" si="11"/>
        <v>V</v>
      </c>
      <c r="AU7" s="174">
        <f t="shared" ca="1" si="12"/>
        <v>9</v>
      </c>
      <c r="AV7" s="173">
        <f t="shared" ca="1" si="13"/>
        <v>-9</v>
      </c>
      <c r="AX7" s="4">
        <f t="shared" si="14"/>
        <v>-105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$AB$21</f>
        <v>4</v>
      </c>
      <c r="BF7" s="71" t="str">
        <f>$AA$2</f>
        <v>KC</v>
      </c>
      <c r="BG7" s="72">
        <f ca="1">$AC$21</f>
        <v>62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92.07692307692308</v>
      </c>
      <c r="BL7" s="66">
        <f ca="1">$AL$23</f>
        <v>1197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20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["H","V","H","V","V","H","H","V","V","H","H","H","H","H","V"];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/>
      <c r="J8" s="174"/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2</v>
      </c>
      <c r="Q8" s="171">
        <f t="shared" si="2"/>
        <v>-2</v>
      </c>
      <c r="R8" s="202" t="s">
        <v>38</v>
      </c>
      <c r="S8" s="174">
        <v>6</v>
      </c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38</v>
      </c>
      <c r="Y8" s="174">
        <v>4</v>
      </c>
      <c r="Z8" s="171" t="str">
        <f t="shared" si="5"/>
        <v/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9</v>
      </c>
      <c r="AI8" s="171" t="str">
        <f t="shared" si="8"/>
        <v/>
      </c>
      <c r="AJ8" s="202" t="s">
        <v>39</v>
      </c>
      <c r="AK8" s="174">
        <v>2</v>
      </c>
      <c r="AL8" s="171">
        <f t="shared" si="9"/>
        <v>-2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2</v>
      </c>
      <c r="AV8" s="173">
        <f t="shared" ca="1" si="13"/>
        <v>-2</v>
      </c>
      <c r="AX8" s="4">
        <f t="shared" si="14"/>
        <v>-10</v>
      </c>
      <c r="AY8" s="4">
        <f t="shared" ca="1" si="22"/>
        <v>10</v>
      </c>
      <c r="AZ8" s="4">
        <f t="shared" ca="1" si="15"/>
        <v>10</v>
      </c>
      <c r="BA8" s="4">
        <f t="shared" ca="1" si="16"/>
        <v>10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61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</v>
      </c>
      <c r="BL8" s="66">
        <f ca="1">$Z$23</f>
        <v>1183</v>
      </c>
      <c r="BM8" s="142"/>
      <c r="BN8" s="36">
        <f t="shared" ca="1" si="18"/>
        <v>3</v>
      </c>
      <c r="BO8" s="56" t="str">
        <f>$AM$2</f>
        <v>TB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["H","V","H","V","H","H","H","V","V","H","H","V","H","H","V"];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38</v>
      </c>
      <c r="M9" s="174">
        <v>7</v>
      </c>
      <c r="N9" s="171" t="str">
        <f t="shared" si="1"/>
        <v/>
      </c>
      <c r="O9" s="202" t="s">
        <v>38</v>
      </c>
      <c r="P9" s="174">
        <v>5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7</v>
      </c>
      <c r="W9" s="171" t="str">
        <f t="shared" si="4"/>
        <v/>
      </c>
      <c r="X9" s="202" t="s">
        <v>39</v>
      </c>
      <c r="Y9" s="174">
        <v>2</v>
      </c>
      <c r="Z9" s="171">
        <f t="shared" si="5"/>
        <v>-2</v>
      </c>
      <c r="AA9" s="202" t="s">
        <v>38</v>
      </c>
      <c r="AB9" s="174">
        <v>6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38</v>
      </c>
      <c r="AH9" s="174">
        <v>3</v>
      </c>
      <c r="AI9" s="171" t="str">
        <f t="shared" si="8"/>
        <v/>
      </c>
      <c r="AJ9" s="202" t="s">
        <v>38</v>
      </c>
      <c r="AK9" s="174">
        <v>5</v>
      </c>
      <c r="AL9" s="171" t="str">
        <f t="shared" si="9"/>
        <v/>
      </c>
      <c r="AM9" s="202" t="s">
        <v>39</v>
      </c>
      <c r="AN9" s="174">
        <v>11</v>
      </c>
      <c r="AO9" s="173">
        <f t="shared" si="10"/>
        <v>-11</v>
      </c>
      <c r="AT9" s="166" t="str">
        <f t="shared" ca="1" si="11"/>
        <v>H</v>
      </c>
      <c r="AU9" s="174">
        <f t="shared" ca="1" si="12"/>
        <v>5</v>
      </c>
      <c r="AV9" s="173" t="str">
        <f t="shared" ca="1" si="13"/>
        <v/>
      </c>
      <c r="AX9" s="4">
        <f t="shared" si="14"/>
        <v>37</v>
      </c>
      <c r="AY9" s="4">
        <f t="shared" ca="1" si="22"/>
        <v>37</v>
      </c>
      <c r="AZ9" s="4">
        <f t="shared" ca="1" si="15"/>
        <v>37</v>
      </c>
      <c r="BA9" s="4">
        <f t="shared" ca="1" si="16"/>
        <v>37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58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86.615384615384613</v>
      </c>
      <c r="BL9" s="66">
        <f ca="1">$AO$23</f>
        <v>1126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["H","H","H","V","V","H","H","V","H","H","H","V","V","H","V"];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11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13</v>
      </c>
      <c r="T10" s="171" t="str">
        <f t="shared" si="3"/>
        <v/>
      </c>
      <c r="U10" s="202" t="s">
        <v>38</v>
      </c>
      <c r="V10" s="174">
        <v>9</v>
      </c>
      <c r="W10" s="171" t="str">
        <f t="shared" si="4"/>
        <v/>
      </c>
      <c r="X10" s="202" t="s">
        <v>38</v>
      </c>
      <c r="Y10" s="174">
        <v>11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16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2</v>
      </c>
      <c r="AO10" s="173">
        <f t="shared" si="10"/>
        <v>-2</v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112</v>
      </c>
      <c r="AY10" s="4">
        <f t="shared" ca="1" si="22"/>
        <v>112</v>
      </c>
      <c r="AZ10" s="4">
        <f t="shared" ca="1" si="15"/>
        <v>112</v>
      </c>
      <c r="BA10" s="4">
        <f t="shared" ca="1" si="16"/>
        <v>112</v>
      </c>
      <c r="BB10" s="4">
        <v>7</v>
      </c>
      <c r="BC10" s="4">
        <f ca="1">COUNTIF($AY$4:OFFSET($AY$4,0,0,BB10,1),AY10)</f>
        <v>1</v>
      </c>
      <c r="BE10" s="33">
        <f ca="1">$AH$21</f>
        <v>6</v>
      </c>
      <c r="BF10" s="71" t="str">
        <f>$AG$2</f>
        <v>MB</v>
      </c>
      <c r="BG10" s="72">
        <f ca="1">$AI$21</f>
        <v>58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86.461538461538467</v>
      </c>
      <c r="BL10" s="66">
        <f ca="1">$AI$23</f>
        <v>1124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["H","H","H","V","H","V","H","V","H","H","H","H","H","H","V"];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/>
      <c r="J11" s="174"/>
      <c r="K11" s="171" t="str">
        <f t="shared" si="0"/>
        <v/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7</v>
      </c>
      <c r="Q11" s="171">
        <f t="shared" si="2"/>
        <v>-7</v>
      </c>
      <c r="R11" s="202" t="s">
        <v>39</v>
      </c>
      <c r="S11" s="174">
        <v>8</v>
      </c>
      <c r="T11" s="171">
        <f t="shared" si="3"/>
        <v>-8</v>
      </c>
      <c r="U11" s="202" t="s">
        <v>39</v>
      </c>
      <c r="V11" s="174">
        <v>10</v>
      </c>
      <c r="W11" s="171">
        <f t="shared" si="4"/>
        <v>-10</v>
      </c>
      <c r="X11" s="202" t="s">
        <v>39</v>
      </c>
      <c r="Y11" s="174">
        <v>12</v>
      </c>
      <c r="Z11" s="171">
        <f t="shared" si="5"/>
        <v>-12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10</v>
      </c>
      <c r="AF11" s="171">
        <f t="shared" si="7"/>
        <v>-10</v>
      </c>
      <c r="AG11" s="202" t="s">
        <v>39</v>
      </c>
      <c r="AH11" s="174">
        <v>15</v>
      </c>
      <c r="AI11" s="171">
        <f t="shared" si="8"/>
        <v>-15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-110</v>
      </c>
      <c r="AY11" s="4">
        <f t="shared" ca="1" si="22"/>
        <v>110</v>
      </c>
      <c r="AZ11" s="4">
        <f t="shared" ca="1" si="15"/>
        <v>110</v>
      </c>
      <c r="BA11" s="4">
        <f t="shared" ca="1" si="16"/>
        <v>110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48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84.230769230769226</v>
      </c>
      <c r="BL11" s="66">
        <f ca="1">$T$23</f>
        <v>1095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["H","H","H","V","V","H","H","V","V","H","H","H","H","H","V"];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7</v>
      </c>
      <c r="AC12" s="171" t="str">
        <f t="shared" si="6"/>
        <v/>
      </c>
      <c r="AD12" s="202" t="s">
        <v>39</v>
      </c>
      <c r="AE12" s="174">
        <v>7</v>
      </c>
      <c r="AF12" s="171" t="str">
        <f t="shared" si="7"/>
        <v/>
      </c>
      <c r="AG12" s="202" t="s">
        <v>39</v>
      </c>
      <c r="AH12" s="174">
        <v>12</v>
      </c>
      <c r="AI12" s="171" t="str">
        <f t="shared" si="8"/>
        <v/>
      </c>
      <c r="AJ12" s="202" t="s">
        <v>39</v>
      </c>
      <c r="AK12" s="174">
        <v>7</v>
      </c>
      <c r="AL12" s="171" t="str">
        <f t="shared" si="9"/>
        <v/>
      </c>
      <c r="AM12" s="202" t="s">
        <v>38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-51</v>
      </c>
      <c r="AY12" s="4">
        <f t="shared" ca="1" si="22"/>
        <v>51</v>
      </c>
      <c r="AZ12" s="4">
        <f t="shared" ca="1" si="15"/>
        <v>51</v>
      </c>
      <c r="BA12" s="4">
        <f t="shared" ca="1" si="16"/>
        <v>51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44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82.307692307692307</v>
      </c>
      <c r="BL12" s="66">
        <f ca="1">$AF$23</f>
        <v>1070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-11</v>
      </c>
      <c r="BQ12" s="45">
        <f ca="1">-$AR$3*'Season Summary'!$AO$3</f>
        <v>-42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["H","H","H","V","V","H","H","V","V","H","H","H","V","H","V"];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3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15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39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81.230769230769226</v>
      </c>
      <c r="BL13" s="66">
        <f ca="1">$AC$23</f>
        <v>1056</v>
      </c>
      <c r="BM13" s="142"/>
      <c r="BN13" s="36">
        <f t="shared" ca="1" si="18"/>
        <v>10</v>
      </c>
      <c r="BO13" s="56" t="str">
        <f>$F$2</f>
        <v>BM</v>
      </c>
      <c r="BP13" s="46">
        <f t="shared" ca="1" si="19"/>
        <v>-14</v>
      </c>
      <c r="BQ13" s="45">
        <f ca="1">-$AR$3*'Season Summary'!$AO$3</f>
        <v>-42</v>
      </c>
      <c r="BR13" s="51" t="str">
        <f ca="1">IF(COUNTIF('Season Summary'!E$3:OFFSET('Season Summary'!E$3,$C$2+$AR$2,0),"=1")&gt;0,COUNTIF('Season Summary'!E$3:OFFSET('Season Summary'!E$3,$C$2+$AR$2,0),"=1"),"")</f>
        <v/>
      </c>
      <c r="BS13" s="52" t="str">
        <f ca="1">IF(BR13="","",BR13*'Season Summary'!$AO$6)</f>
        <v/>
      </c>
      <c r="BT13" s="175" t="str">
        <f ca="1">IF($G$22=1,"✓","")</f>
        <v/>
      </c>
      <c r="BU13" s="52" t="str">
        <f t="shared" ca="1" si="20"/>
        <v/>
      </c>
      <c r="BV13" s="175" t="str">
        <f ca="1">IF($G$22=2,"✓","")</f>
        <v>✓</v>
      </c>
      <c r="BW13" s="40">
        <f t="shared" ca="1" si="21"/>
        <v>28</v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["H","H","V","V","H","H","H","V","V","H","V","H","V","H","V"];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39</v>
      </c>
      <c r="F14" s="200" t="s">
        <v>38</v>
      </c>
      <c r="G14" s="174">
        <v>7</v>
      </c>
      <c r="H14" s="171">
        <f t="shared" si="23"/>
        <v>-7</v>
      </c>
      <c r="I14" s="202"/>
      <c r="J14" s="174"/>
      <c r="K14" s="171" t="str">
        <f t="shared" si="0"/>
        <v/>
      </c>
      <c r="L14" s="202" t="s">
        <v>38</v>
      </c>
      <c r="M14" s="174">
        <v>3</v>
      </c>
      <c r="N14" s="171">
        <f t="shared" si="1"/>
        <v>-3</v>
      </c>
      <c r="O14" s="202" t="s">
        <v>38</v>
      </c>
      <c r="P14" s="174">
        <v>4</v>
      </c>
      <c r="Q14" s="171">
        <f t="shared" si="2"/>
        <v>-4</v>
      </c>
      <c r="R14" s="202" t="s">
        <v>38</v>
      </c>
      <c r="S14" s="174">
        <v>2</v>
      </c>
      <c r="T14" s="171">
        <f t="shared" si="3"/>
        <v>-2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4</v>
      </c>
      <c r="AC14" s="171">
        <f t="shared" si="6"/>
        <v>-4</v>
      </c>
      <c r="AD14" s="202" t="s">
        <v>38</v>
      </c>
      <c r="AE14" s="174">
        <v>16</v>
      </c>
      <c r="AF14" s="171">
        <f t="shared" si="7"/>
        <v>-16</v>
      </c>
      <c r="AG14" s="202" t="s">
        <v>39</v>
      </c>
      <c r="AH14" s="174">
        <v>4</v>
      </c>
      <c r="AI14" s="171" t="str">
        <f t="shared" si="8"/>
        <v/>
      </c>
      <c r="AJ14" s="202" t="s">
        <v>38</v>
      </c>
      <c r="AK14" s="174">
        <v>3</v>
      </c>
      <c r="AL14" s="171">
        <f t="shared" si="9"/>
        <v>-3</v>
      </c>
      <c r="AM14" s="202" t="s">
        <v>38</v>
      </c>
      <c r="AN14" s="174">
        <v>12</v>
      </c>
      <c r="AO14" s="173">
        <f t="shared" si="10"/>
        <v>-12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60</v>
      </c>
      <c r="AY14" s="4">
        <f t="shared" ca="1" si="22"/>
        <v>60</v>
      </c>
      <c r="AZ14" s="4">
        <f t="shared" ca="1" si="15"/>
        <v>60</v>
      </c>
      <c r="BA14" s="4">
        <f t="shared" ca="1" si="16"/>
        <v>60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31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79.307692307692307</v>
      </c>
      <c r="BL14" s="66">
        <f ca="1">$W$23</f>
        <v>1031</v>
      </c>
      <c r="BM14" s="142"/>
      <c r="BN14" s="36">
        <f t="shared" ca="1" si="18"/>
        <v>11</v>
      </c>
      <c r="BO14" s="56" t="str">
        <f>$X$2</f>
        <v>JL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["H","H","H","V","V","H","H","V","V","H","H","H","H","H","V"];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/>
      <c r="J15" s="174"/>
      <c r="K15" s="171" t="str">
        <f t="shared" si="0"/>
        <v/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8</v>
      </c>
      <c r="Q15" s="171">
        <f t="shared" si="2"/>
        <v>-8</v>
      </c>
      <c r="R15" s="202" t="s">
        <v>39</v>
      </c>
      <c r="S15" s="174">
        <v>10</v>
      </c>
      <c r="T15" s="171" t="str">
        <f t="shared" si="3"/>
        <v/>
      </c>
      <c r="U15" s="202" t="s">
        <v>39</v>
      </c>
      <c r="V15" s="174">
        <v>6</v>
      </c>
      <c r="W15" s="171" t="str">
        <f t="shared" si="4"/>
        <v/>
      </c>
      <c r="X15" s="202" t="s">
        <v>38</v>
      </c>
      <c r="Y15" s="174">
        <v>5</v>
      </c>
      <c r="Z15" s="171">
        <f t="shared" si="5"/>
        <v>-5</v>
      </c>
      <c r="AA15" s="202" t="s">
        <v>38</v>
      </c>
      <c r="AB15" s="174">
        <v>5</v>
      </c>
      <c r="AC15" s="171">
        <f t="shared" si="6"/>
        <v>-5</v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6</v>
      </c>
      <c r="AL15" s="171">
        <f t="shared" si="9"/>
        <v>-6</v>
      </c>
      <c r="AM15" s="202" t="s">
        <v>39</v>
      </c>
      <c r="AN15" s="174">
        <v>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26</v>
      </c>
      <c r="AY15" s="4">
        <f t="shared" ca="1" si="22"/>
        <v>26</v>
      </c>
      <c r="AZ15" s="4">
        <f t="shared" ca="1" si="15"/>
        <v>26</v>
      </c>
      <c r="BA15" s="4">
        <f t="shared" ca="1" si="16"/>
        <v>26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74.615384615384613</v>
      </c>
      <c r="BL15" s="68">
        <f ca="1">$K$23</f>
        <v>970</v>
      </c>
      <c r="BM15" s="142"/>
      <c r="BN15" s="37">
        <f t="shared" ca="1" si="18"/>
        <v>11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["H","H","H","V","H","V","V","V","H","H","H","V","V","H","V"];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 t="str">
        <f t="shared" si="5"/>
        <v/>
      </c>
      <c r="AA16" s="202" t="s">
        <v>38</v>
      </c>
      <c r="AB16" s="174">
        <v>9</v>
      </c>
      <c r="AC16" s="171" t="str">
        <f t="shared" si="6"/>
        <v/>
      </c>
      <c r="AD16" s="202" t="s">
        <v>39</v>
      </c>
      <c r="AE16" s="174">
        <v>4</v>
      </c>
      <c r="AF16" s="171">
        <f t="shared" si="7"/>
        <v>-4</v>
      </c>
      <c r="AG16" s="202" t="s">
        <v>39</v>
      </c>
      <c r="AH16" s="174">
        <v>2</v>
      </c>
      <c r="AI16" s="171">
        <f t="shared" si="8"/>
        <v>-2</v>
      </c>
      <c r="AJ16" s="202" t="s">
        <v>38</v>
      </c>
      <c r="AK16" s="174">
        <v>9</v>
      </c>
      <c r="AL16" s="171" t="str">
        <f t="shared" si="9"/>
        <v/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38</v>
      </c>
      <c r="AY16" s="4">
        <f t="shared" ca="1" si="22"/>
        <v>38</v>
      </c>
      <c r="AZ16" s="4">
        <f t="shared" ca="1" si="15"/>
        <v>38</v>
      </c>
      <c r="BA16" s="4">
        <f t="shared" ca="1" si="16"/>
        <v>38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["12","3","14","10","2","6","11","9","8","15","7","5","4","16","13"];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99" t="s">
        <v>39</v>
      </c>
      <c r="F17" s="200" t="s">
        <v>38</v>
      </c>
      <c r="G17" s="174">
        <v>16</v>
      </c>
      <c r="H17" s="171">
        <f t="shared" si="23"/>
        <v>-16</v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>
        <f t="shared" si="1"/>
        <v>-16</v>
      </c>
      <c r="O17" s="202" t="s">
        <v>38</v>
      </c>
      <c r="P17" s="174">
        <v>16</v>
      </c>
      <c r="Q17" s="171">
        <f t="shared" si="2"/>
        <v>-16</v>
      </c>
      <c r="R17" s="202" t="s">
        <v>38</v>
      </c>
      <c r="S17" s="174">
        <v>11</v>
      </c>
      <c r="T17" s="171">
        <f t="shared" si="3"/>
        <v>-11</v>
      </c>
      <c r="U17" s="202" t="s">
        <v>38</v>
      </c>
      <c r="V17" s="174">
        <v>14</v>
      </c>
      <c r="W17" s="171">
        <f t="shared" si="4"/>
        <v>-14</v>
      </c>
      <c r="X17" s="202" t="s">
        <v>38</v>
      </c>
      <c r="Y17" s="174">
        <v>16</v>
      </c>
      <c r="Z17" s="171">
        <f t="shared" si="5"/>
        <v>-16</v>
      </c>
      <c r="AA17" s="202" t="s">
        <v>38</v>
      </c>
      <c r="AB17" s="174">
        <v>2</v>
      </c>
      <c r="AC17" s="171">
        <f t="shared" si="6"/>
        <v>-2</v>
      </c>
      <c r="AD17" s="202" t="s">
        <v>38</v>
      </c>
      <c r="AE17" s="174">
        <v>15</v>
      </c>
      <c r="AF17" s="171">
        <f t="shared" si="7"/>
        <v>-15</v>
      </c>
      <c r="AG17" s="202" t="s">
        <v>38</v>
      </c>
      <c r="AH17" s="174">
        <v>13</v>
      </c>
      <c r="AI17" s="171">
        <f t="shared" si="8"/>
        <v>-13</v>
      </c>
      <c r="AJ17" s="202" t="s">
        <v>38</v>
      </c>
      <c r="AK17" s="174">
        <v>16</v>
      </c>
      <c r="AL17" s="171">
        <f t="shared" si="9"/>
        <v>-16</v>
      </c>
      <c r="AM17" s="202" t="s">
        <v>38</v>
      </c>
      <c r="AN17" s="174">
        <v>16</v>
      </c>
      <c r="AO17" s="173">
        <f t="shared" si="10"/>
        <v>-16</v>
      </c>
      <c r="AT17" s="166" t="str">
        <f t="shared" ca="1" si="11"/>
        <v>H</v>
      </c>
      <c r="AU17" s="174">
        <f t="shared" ca="1" si="12"/>
        <v>16</v>
      </c>
      <c r="AV17" s="173">
        <f t="shared" ca="1" si="13"/>
        <v>-16</v>
      </c>
      <c r="AX17" s="4">
        <f t="shared" si="14"/>
        <v>151</v>
      </c>
      <c r="AY17" s="4">
        <f t="shared" ca="1" si="22"/>
        <v>151</v>
      </c>
      <c r="AZ17" s="4">
        <f t="shared" ca="1" si="15"/>
        <v>151</v>
      </c>
      <c r="BA17" s="4">
        <f t="shared" ca="1" si="16"/>
        <v>151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["12","4","14","9","2","7","11","8","6","15","3","5","10","16","13"];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/>
      <c r="J19" s="174"/>
      <c r="K19" s="171" t="str">
        <f t="shared" si="0"/>
        <v/>
      </c>
      <c r="L19" s="202" t="s">
        <v>39</v>
      </c>
      <c r="M19" s="174">
        <v>13</v>
      </c>
      <c r="N19" s="171">
        <f t="shared" si="1"/>
        <v>-13</v>
      </c>
      <c r="O19" s="202" t="s">
        <v>39</v>
      </c>
      <c r="P19" s="174">
        <v>13</v>
      </c>
      <c r="Q19" s="171">
        <f t="shared" si="2"/>
        <v>-13</v>
      </c>
      <c r="R19" s="202" t="s">
        <v>39</v>
      </c>
      <c r="S19" s="174">
        <v>16</v>
      </c>
      <c r="T19" s="171">
        <f t="shared" si="3"/>
        <v>-16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14</v>
      </c>
      <c r="Z19" s="171">
        <f t="shared" si="5"/>
        <v>-14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10</v>
      </c>
      <c r="AI19" s="171">
        <f t="shared" si="8"/>
        <v>-10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14</v>
      </c>
      <c r="AV19" s="173">
        <f t="shared" ca="1" si="13"/>
        <v>-14</v>
      </c>
      <c r="AX19" s="4">
        <f t="shared" si="14"/>
        <v>-140</v>
      </c>
      <c r="AY19" s="4">
        <f t="shared" ca="1" si="22"/>
        <v>140</v>
      </c>
      <c r="AZ19" s="4">
        <f t="shared" ca="1" si="15"/>
        <v>140</v>
      </c>
      <c r="BA19" s="4">
        <f t="shared" ca="1" si="16"/>
        <v>140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["11","3","14","6","2","5","12","7","9","15","4","8","10","16","13"];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36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["14","7","15","12","6","5","13","8","9","3","2","10","4","11","16"];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58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2</v>
      </c>
      <c r="N21" s="182">
        <f ca="1">IF(SUM(M4:M19)&gt;0,SUM(N4:N19)+$F$31,0)</f>
        <v>69</v>
      </c>
      <c r="O21" s="183"/>
      <c r="P21" s="181">
        <f ca="1">RANK(Q21,$H34:$AO34,0)+P52</f>
        <v>3</v>
      </c>
      <c r="Q21" s="182">
        <f ca="1">IF(SUM(P4:P19)&gt;0,SUM(Q4:Q19)+$F$31,0)</f>
        <v>68</v>
      </c>
      <c r="R21" s="183"/>
      <c r="S21" s="181">
        <f ca="1">RANK(T21,$H34:$AO34,0)+S52</f>
        <v>1</v>
      </c>
      <c r="T21" s="182">
        <f ca="1">IF(SUM(S4:S19)&gt;0,SUM(T4:T19)+$F$31,0)</f>
        <v>72</v>
      </c>
      <c r="U21" s="183"/>
      <c r="V21" s="181">
        <f ca="1">RANK(W21,$H34:$AO34,0)+V52</f>
        <v>10</v>
      </c>
      <c r="W21" s="182">
        <f ca="1">IF(SUM(V4:V19)&gt;0,SUM(W4:W19)+$F$31,0)</f>
        <v>39</v>
      </c>
      <c r="X21" s="183"/>
      <c r="Y21" s="181">
        <f ca="1">RANK(Z21,$H34:$AO34,0)+Y52</f>
        <v>9</v>
      </c>
      <c r="Z21" s="182">
        <f ca="1">IF(SUM(Y4:Y19)&gt;0,SUM(Z4:Z19)+$F$31,0)</f>
        <v>44</v>
      </c>
      <c r="AA21" s="183"/>
      <c r="AB21" s="181">
        <f ca="1">RANK(AC21,$H34:$AO34,0)+AB52</f>
        <v>4</v>
      </c>
      <c r="AC21" s="182">
        <f ca="1">IF(SUM(AB4:AB19)&gt;0,SUM(AC4:AC19)+$F$31,0)</f>
        <v>62</v>
      </c>
      <c r="AD21" s="183"/>
      <c r="AE21" s="181">
        <f ca="1">RANK(AF21,$H34:$AO34,0)+AE52</f>
        <v>8</v>
      </c>
      <c r="AF21" s="182">
        <f ca="1">IF(SUM(AE4:AE19)&gt;0,SUM(AF4:AF19)+$F$31,0)</f>
        <v>48</v>
      </c>
      <c r="AG21" s="183"/>
      <c r="AH21" s="181">
        <f ca="1">RANK(AI21,$H34:$AO34,0)+AH52</f>
        <v>6</v>
      </c>
      <c r="AI21" s="182">
        <f ca="1">IF(SUM(AH4:AH19)&gt;0,SUM(AI4:AI19)+$F$31,0)</f>
        <v>58</v>
      </c>
      <c r="AJ21" s="183"/>
      <c r="AK21" s="181">
        <f ca="1">RANK(AL21,$H34:$AO34,0)+AK52</f>
        <v>5</v>
      </c>
      <c r="AL21" s="182">
        <f ca="1">IF(SUM(AK4:AK19)&gt;0,SUM(AL4:AL19)+$F$31,0)</f>
        <v>61</v>
      </c>
      <c r="AM21" s="183"/>
      <c r="AN21" s="181">
        <f ca="1">RANK(AO21,$H34:$AO34,0)+AN52</f>
        <v>11</v>
      </c>
      <c r="AO21" s="184">
        <f ca="1">IF(SUM(AN4:AN19)&gt;0,SUM(AO4:AO19)+$F$31,0)</f>
        <v>31</v>
      </c>
      <c r="AP21" s="3"/>
      <c r="AT21" s="185"/>
      <c r="AU21" s="186">
        <f ca="1">RANK(AV34,$H34:$AV34,0)</f>
        <v>8</v>
      </c>
      <c r="AV21" s="187">
        <f ca="1">IF(SUM(AU4:AU19)&gt;0,SUM(AV4:AV19)+$F$31,0)</f>
        <v>56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["16","8","2","13","11","7","9","10","3","15","4","6","5","14","12"];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92.692307692307693</v>
      </c>
      <c r="I22" s="123"/>
      <c r="J22" s="121">
        <f ca="1">RANK(K35,($H35:$AO35),0)</f>
        <v>12</v>
      </c>
      <c r="K22" s="122">
        <f ca="1">IF($AR$3&lt;3,K23,K23/($AR$3-1))</f>
        <v>74.615384615384613</v>
      </c>
      <c r="L22" s="123"/>
      <c r="M22" s="121">
        <f ca="1">RANK(N35,($H35:$AO35),0)</f>
        <v>1</v>
      </c>
      <c r="N22" s="122">
        <f ca="1">IF($AR$3&lt;3,N23,N23/($AR$3-1))</f>
        <v>93.692307692307693</v>
      </c>
      <c r="O22" s="123"/>
      <c r="P22" s="121">
        <f ca="1">RANK(Q35,($H35:$AO35),0)</f>
        <v>3</v>
      </c>
      <c r="Q22" s="122">
        <f ca="1">IF($AR$3&lt;3,Q23,Q23/($AR$3-1))</f>
        <v>92.615384615384613</v>
      </c>
      <c r="R22" s="123"/>
      <c r="S22" s="121">
        <f ca="1">RANK(T35,($H35:$AO35),0)</f>
        <v>8</v>
      </c>
      <c r="T22" s="122">
        <f ca="1">IF($AR$3&lt;3,T23,T23/($AR$3-1))</f>
        <v>84.230769230769226</v>
      </c>
      <c r="U22" s="123"/>
      <c r="V22" s="121">
        <f ca="1">RANK(W35,($H35:$AO35),0)</f>
        <v>11</v>
      </c>
      <c r="W22" s="122">
        <f ca="1">IF($AR$3&lt;3,W23,W23/($AR$3-1))</f>
        <v>79.307692307692307</v>
      </c>
      <c r="X22" s="123"/>
      <c r="Y22" s="121">
        <f ca="1">RANK(Z35,($H35:$AO35),0)</f>
        <v>5</v>
      </c>
      <c r="Z22" s="122">
        <f ca="1">IF($AR$3&lt;3,Z23,Z23/($AR$3-1))</f>
        <v>91</v>
      </c>
      <c r="AA22" s="123"/>
      <c r="AB22" s="121">
        <f ca="1">RANK(AC35,($H35:$AO35),0)</f>
        <v>10</v>
      </c>
      <c r="AC22" s="122">
        <f ca="1">IF($AR$3&lt;3,AC23,AC23/($AR$3-1))</f>
        <v>81.230769230769226</v>
      </c>
      <c r="AD22" s="123"/>
      <c r="AE22" s="121">
        <f ca="1">RANK(AF35,($H35:$AO35),0)</f>
        <v>9</v>
      </c>
      <c r="AF22" s="122">
        <f ca="1">IF($AR$3&lt;3,AF23,AF23/($AR$3-1))</f>
        <v>82.307692307692307</v>
      </c>
      <c r="AG22" s="123"/>
      <c r="AH22" s="121">
        <f ca="1">RANK(AI35,($H35:$AO35),0)</f>
        <v>7</v>
      </c>
      <c r="AI22" s="122">
        <f ca="1">IF($AR$3&lt;3,AI23,AI23/($AR$3-1))</f>
        <v>86.461538461538467</v>
      </c>
      <c r="AJ22" s="123"/>
      <c r="AK22" s="121">
        <f ca="1">RANK(AL35,($H35:$AO35),0)</f>
        <v>4</v>
      </c>
      <c r="AL22" s="122">
        <f ca="1">IF($AR$3&lt;3,AL23,AL23/($AR$3-1))</f>
        <v>92.07692307692308</v>
      </c>
      <c r="AM22" s="123"/>
      <c r="AN22" s="121">
        <f ca="1">RANK(AO35,($H35:$AO35),0)</f>
        <v>6</v>
      </c>
      <c r="AO22" s="124">
        <f ca="1">IF($AR$3&lt;3,AO23,AO23/($AR$3-1))</f>
        <v>86.615384615384613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["13","7","8","10","4","2","11","12","3","15","9","5","6","16","14"];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1205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1204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1031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1183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1124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1197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1126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["12","3","14","10","16","6","11","8","7","15","4","5","9","2","13"];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["11","3","14","5","2","6","9","10","7","12","16","8","4","15","13"];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0.53333333333333333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0.46666666666666667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0.33333333333333331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0.33333333333333331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0.4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0.33333333333333331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0.4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0.4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0.26666666666666666</v>
      </c>
      <c r="AO25" s="132">
        <f>IF(SUM(AN4:AN19)&gt;0,COUNTBLANK(AO4:AO19)-COUNTBLANK($E4:$E19),0)</f>
        <v>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["6","7","11","8","9","3","16","15","12","14","4","5","2","13","10"];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0.63942307692307687</v>
      </c>
      <c r="H26" s="139">
        <f ca="1">SUM('Season Summary'!F3:OFFSET('Season Summary'!F3,$C$2+$AR$2,0))</f>
        <v>133</v>
      </c>
      <c r="I26" s="140"/>
      <c r="J26" s="138">
        <f ca="1">IF($AR$3=0,0,K26/SUM('Season Summary'!$D3:OFFSET('Season Summary'!$D3,$C$2+$AR$2,0)))</f>
        <v>0.47596153846153844</v>
      </c>
      <c r="K26" s="139">
        <f ca="1">SUM('Season Summary'!I3:OFFSET('Season Summary'!I3,$C$2+$AR$2,0))</f>
        <v>99</v>
      </c>
      <c r="L26" s="140"/>
      <c r="M26" s="138">
        <f ca="1">IF($AR$3=0,0,N26/SUM('Season Summary'!$D3:OFFSET('Season Summary'!$D3,$C$2+$AR$2,0)))</f>
        <v>0.66346153846153844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130</v>
      </c>
      <c r="R26" s="140"/>
      <c r="S26" s="138">
        <f ca="1">IF($AR$3=0,0,T26/SUM('Season Summary'!$D3:OFFSET('Season Summary'!$D3,$C$2+$AR$2,0)))</f>
        <v>0.61057692307692313</v>
      </c>
      <c r="T26" s="139">
        <f ca="1">SUM('Season Summary'!R3:OFFSET('Season Summary'!R3,$C$2+$AR$2,0))</f>
        <v>127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0.61538461538461542</v>
      </c>
      <c r="Z26" s="139">
        <f ca="1">SUM('Season Summary'!X3:OFFSET('Season Summary'!X3,$C$2+$AR$2,0))</f>
        <v>128</v>
      </c>
      <c r="AA26" s="140"/>
      <c r="AB26" s="138">
        <f ca="1">IF($AR$3=0,0,AC26/SUM('Season Summary'!$D3:OFFSET('Season Summary'!$D3,$C$2+$AR$2,0)))</f>
        <v>0.53846153846153844</v>
      </c>
      <c r="AC26" s="139">
        <f ca="1">SUM('Season Summary'!AA3:OFFSET('Season Summary'!AA3,$C$2+$AR$2,0))</f>
        <v>112</v>
      </c>
      <c r="AD26" s="140"/>
      <c r="AE26" s="138">
        <f ca="1">IF($AR$3=0,0,AF26/SUM('Season Summary'!$D3:OFFSET('Season Summary'!$D3,$C$2+$AR$2,0)))</f>
        <v>0.53846153846153844</v>
      </c>
      <c r="AF26" s="139">
        <f ca="1">SUM('Season Summary'!AD3:OFFSET('Season Summary'!AD3,$C$2+$AR$2,0))</f>
        <v>112</v>
      </c>
      <c r="AG26" s="140"/>
      <c r="AH26" s="138">
        <f ca="1">IF($AR$3=0,0,AI26/SUM('Season Summary'!$D3:OFFSET('Season Summary'!$D3,$C$2+$AR$2,0)))</f>
        <v>0.56730769230769229</v>
      </c>
      <c r="AI26" s="139">
        <f ca="1">SUM('Season Summary'!AG3:OFFSET('Season Summary'!AG3,$C$2+$AR$2,0))</f>
        <v>118</v>
      </c>
      <c r="AJ26" s="140"/>
      <c r="AK26" s="138">
        <f ca="1">IF($AR$3=0,0,AL26/SUM('Season Summary'!$D3:OFFSET('Season Summary'!$D3,$C$2+$AR$2,0)))</f>
        <v>0.62980769230769229</v>
      </c>
      <c r="AL26" s="139">
        <f ca="1">SUM('Season Summary'!AJ3:OFFSET('Season Summary'!AJ3,$C$2+$AR$2,0))</f>
        <v>131</v>
      </c>
      <c r="AM26" s="140"/>
      <c r="AN26" s="138">
        <f ca="1">IF($AR$3=0,0,AO26/SUM('Season Summary'!$D3:OFFSET('Season Summary'!$D3,$C$2+$AR$2,0)))</f>
        <v>0.58173076923076927</v>
      </c>
      <c r="AO26" s="141">
        <f ca="1">SUM('Season Summary'!AM3:OFFSET('Season Summary'!AM3,$C$2+$AR$2,0))</f>
        <v>121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["12","4","14","8","2","5","11","10","7","15","3","6","9","16","13"];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["6","9","15","14","4","11","2","13","8","7","12","5","3","16","10"];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["V","V","H","H","H","H","H","H","V","H","V","V","H","V","H"];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["39","","36","42","42","38","43","37","36","59","37","42"];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0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58</v>
      </c>
      <c r="K34" s="4">
        <f t="shared" ref="K34:K39" si="25">K21</f>
        <v>0</v>
      </c>
      <c r="N34" s="4">
        <f t="shared" ref="N34:N39" ca="1" si="26">N21</f>
        <v>69</v>
      </c>
      <c r="Q34" s="4">
        <f t="shared" ref="Q34:Q39" ca="1" si="27">Q21</f>
        <v>68</v>
      </c>
      <c r="T34" s="4">
        <f t="shared" ref="T34:T39" ca="1" si="28">T21</f>
        <v>72</v>
      </c>
      <c r="W34" s="4">
        <f t="shared" ref="W34:W39" ca="1" si="29">W21</f>
        <v>39</v>
      </c>
      <c r="Z34" s="4">
        <f t="shared" ref="Z34:Z39" ca="1" si="30">Z21</f>
        <v>44</v>
      </c>
      <c r="AC34" s="4">
        <f t="shared" ref="AC34:AC39" ca="1" si="31">AC21</f>
        <v>62</v>
      </c>
      <c r="AF34" s="4">
        <f t="shared" ref="AF34:AF39" ca="1" si="32">AF21</f>
        <v>48</v>
      </c>
      <c r="AI34" s="4">
        <f t="shared" ref="AI34:AI39" ca="1" si="33">AI21</f>
        <v>58</v>
      </c>
      <c r="AL34" s="4">
        <f t="shared" ref="AL34:AL39" ca="1" si="34">AL21</f>
        <v>61</v>
      </c>
      <c r="AO34" s="4">
        <f t="shared" ref="AO34:AO39" ca="1" si="35">AO21</f>
        <v>31</v>
      </c>
      <c r="AP34" s="147"/>
      <c r="AV34" s="4">
        <f ca="1">AV21</f>
        <v>56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92.692307692307693</v>
      </c>
      <c r="I35" s="147"/>
      <c r="J35" s="147"/>
      <c r="K35" s="302">
        <f t="shared" ca="1" si="25"/>
        <v>74.615384615384613</v>
      </c>
      <c r="L35" s="147"/>
      <c r="M35" s="147"/>
      <c r="N35" s="302">
        <f t="shared" ca="1" si="26"/>
        <v>93.692307692307693</v>
      </c>
      <c r="Q35" s="302">
        <f t="shared" ca="1" si="27"/>
        <v>92.615384615384613</v>
      </c>
      <c r="T35" s="302">
        <f t="shared" ca="1" si="28"/>
        <v>84.230769230769226</v>
      </c>
      <c r="W35" s="302">
        <f t="shared" ca="1" si="29"/>
        <v>79.307692307692307</v>
      </c>
      <c r="Z35" s="302">
        <f t="shared" ca="1" si="30"/>
        <v>91</v>
      </c>
      <c r="AC35" s="302">
        <f t="shared" ca="1" si="31"/>
        <v>81.230769230769226</v>
      </c>
      <c r="AF35" s="302">
        <f t="shared" ca="1" si="32"/>
        <v>82.307692307692307</v>
      </c>
      <c r="AI35" s="302">
        <f t="shared" ca="1" si="33"/>
        <v>86.461538461538467</v>
      </c>
      <c r="AL35" s="302">
        <f t="shared" ca="1" si="34"/>
        <v>92.07692307692308</v>
      </c>
      <c r="AO35" s="302">
        <f t="shared" ca="1" si="35"/>
        <v>86.615384615384613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1205</v>
      </c>
      <c r="I36" s="147"/>
      <c r="J36" s="147"/>
      <c r="K36" s="302">
        <f t="shared" ca="1" si="25"/>
        <v>970</v>
      </c>
      <c r="L36" s="147"/>
      <c r="M36" s="147"/>
      <c r="N36" s="302">
        <f t="shared" ca="1" si="26"/>
        <v>1218</v>
      </c>
      <c r="Q36" s="302">
        <f t="shared" ca="1" si="27"/>
        <v>1204</v>
      </c>
      <c r="T36" s="302">
        <f t="shared" ca="1" si="28"/>
        <v>1095</v>
      </c>
      <c r="W36" s="302">
        <f t="shared" ca="1" si="29"/>
        <v>1031</v>
      </c>
      <c r="Z36" s="302">
        <f t="shared" ca="1" si="30"/>
        <v>1183</v>
      </c>
      <c r="AC36" s="302">
        <f t="shared" ca="1" si="31"/>
        <v>1056</v>
      </c>
      <c r="AF36" s="302">
        <f t="shared" ca="1" si="32"/>
        <v>1070</v>
      </c>
      <c r="AI36" s="302">
        <f t="shared" ca="1" si="33"/>
        <v>1124</v>
      </c>
      <c r="AL36" s="302">
        <f t="shared" ca="1" si="34"/>
        <v>1197</v>
      </c>
      <c r="AO36" s="302">
        <f t="shared" ca="1" si="35"/>
        <v>1126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8</v>
      </c>
      <c r="Q38" s="302">
        <f t="shared" si="27"/>
        <v>7</v>
      </c>
      <c r="T38" s="302">
        <f t="shared" si="28"/>
        <v>9</v>
      </c>
      <c r="W38" s="302">
        <f t="shared" si="29"/>
        <v>5</v>
      </c>
      <c r="Z38" s="302">
        <f t="shared" si="30"/>
        <v>5</v>
      </c>
      <c r="AC38" s="302">
        <f t="shared" si="31"/>
        <v>6</v>
      </c>
      <c r="AF38" s="302">
        <f t="shared" si="32"/>
        <v>5</v>
      </c>
      <c r="AI38" s="302">
        <f t="shared" si="33"/>
        <v>6</v>
      </c>
      <c r="AL38" s="302">
        <f t="shared" si="34"/>
        <v>6</v>
      </c>
      <c r="AO38" s="302">
        <f t="shared" si="35"/>
        <v>4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133</v>
      </c>
      <c r="I39" s="147"/>
      <c r="J39" s="147"/>
      <c r="K39" s="302">
        <f t="shared" ca="1" si="25"/>
        <v>99</v>
      </c>
      <c r="L39" s="147"/>
      <c r="M39" s="147"/>
      <c r="N39" s="302">
        <f t="shared" ca="1" si="26"/>
        <v>138</v>
      </c>
      <c r="Q39" s="302">
        <f t="shared" ca="1" si="27"/>
        <v>130</v>
      </c>
      <c r="T39" s="302">
        <f t="shared" ca="1" si="28"/>
        <v>127</v>
      </c>
      <c r="W39" s="302">
        <f t="shared" ca="1" si="29"/>
        <v>110</v>
      </c>
      <c r="Z39" s="302">
        <f t="shared" ca="1" si="30"/>
        <v>128</v>
      </c>
      <c r="AC39" s="302">
        <f t="shared" ca="1" si="31"/>
        <v>112</v>
      </c>
      <c r="AF39" s="302">
        <f t="shared" ca="1" si="32"/>
        <v>112</v>
      </c>
      <c r="AI39" s="302">
        <f t="shared" ca="1" si="33"/>
        <v>118</v>
      </c>
      <c r="AL39" s="302">
        <f t="shared" ca="1" si="34"/>
        <v>131</v>
      </c>
      <c r="AO39" s="302">
        <f t="shared" ca="1" si="35"/>
        <v>121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</v>
      </c>
      <c r="H41" s="147"/>
      <c r="I41" s="147"/>
      <c r="J41" s="301">
        <f ca="1">J25</f>
        <v>0</v>
      </c>
      <c r="K41" s="147"/>
      <c r="L41" s="147"/>
      <c r="M41" s="301">
        <f ca="1">M25</f>
        <v>0.53333333333333333</v>
      </c>
      <c r="P41" s="301">
        <f ca="1">P25</f>
        <v>0.46666666666666667</v>
      </c>
      <c r="S41" s="301">
        <f ca="1">S25</f>
        <v>0.6</v>
      </c>
      <c r="V41" s="301">
        <f ca="1">V25</f>
        <v>0.33333333333333331</v>
      </c>
      <c r="Y41" s="301">
        <f ca="1">Y25</f>
        <v>0.33333333333333331</v>
      </c>
      <c r="AB41" s="301">
        <f ca="1">AB25</f>
        <v>0.4</v>
      </c>
      <c r="AE41" s="301">
        <f ca="1">AE25</f>
        <v>0.33333333333333331</v>
      </c>
      <c r="AH41" s="301">
        <f ca="1">AH25</f>
        <v>0.4</v>
      </c>
      <c r="AK41" s="301">
        <f ca="1">AK25</f>
        <v>0.4</v>
      </c>
      <c r="AN41" s="301">
        <f ca="1">AN25</f>
        <v>0.26666666666666666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0.63942307692307687</v>
      </c>
      <c r="H42" s="147"/>
      <c r="I42" s="147"/>
      <c r="J42" s="301">
        <f ca="1">J26</f>
        <v>0.47596153846153844</v>
      </c>
      <c r="K42" s="147"/>
      <c r="L42" s="147"/>
      <c r="M42" s="301">
        <f ca="1">M26</f>
        <v>0.66346153846153844</v>
      </c>
      <c r="P42" s="301">
        <f ca="1">P26</f>
        <v>0.625</v>
      </c>
      <c r="S42" s="301">
        <f ca="1">S26</f>
        <v>0.61057692307692313</v>
      </c>
      <c r="V42" s="301">
        <f ca="1">V26</f>
        <v>0.52884615384615385</v>
      </c>
      <c r="Y42" s="301">
        <f ca="1">Y26</f>
        <v>0.61538461538461542</v>
      </c>
      <c r="AB42" s="301">
        <f ca="1">AB26</f>
        <v>0.53846153846153844</v>
      </c>
      <c r="AE42" s="301">
        <f ca="1">AE26</f>
        <v>0.53846153846153844</v>
      </c>
      <c r="AH42" s="301">
        <f ca="1">AH26</f>
        <v>0.56730769230769229</v>
      </c>
      <c r="AK42" s="301">
        <f ca="1">AK26</f>
        <v>0.62980769230769229</v>
      </c>
      <c r="AN42" s="301">
        <f ca="1">AN26</f>
        <v>0.58173076923076927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92" t="s">
        <v>38</v>
      </c>
      <c r="F4" s="193" t="s">
        <v>38</v>
      </c>
      <c r="G4" s="164">
        <v>6</v>
      </c>
      <c r="H4" s="161" t="str">
        <f>IF(G4&gt;0,IF(ISTEXT($E4),IF($E4&lt;&gt;F4,G4-2*G4,""),""),"")</f>
        <v/>
      </c>
      <c r="I4" s="195" t="s">
        <v>38</v>
      </c>
      <c r="J4" s="164">
        <v>5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4</v>
      </c>
      <c r="T4" s="161" t="str">
        <f t="shared" ref="T4:T19" si="3">IF(S4&gt;0,IF(ISTEXT($E4),IF($E4&lt;&gt;R4,S4-2*S4,""),""),"")</f>
        <v/>
      </c>
      <c r="U4" s="195" t="s">
        <v>38</v>
      </c>
      <c r="V4" s="164">
        <v>7</v>
      </c>
      <c r="W4" s="161" t="str">
        <f t="shared" ref="W4:W19" si="4">IF(V4&gt;0,IF(ISTEXT($E4),IF($E4&lt;&gt;U4,V4-2*V4,""),""),"")</f>
        <v/>
      </c>
      <c r="X4" s="195" t="s">
        <v>39</v>
      </c>
      <c r="Y4" s="164">
        <v>1</v>
      </c>
      <c r="Z4" s="161">
        <f t="shared" ref="Z4:Z19" si="5">IF(Y4&gt;0,IF(ISTEXT($E4),IF($E4&lt;&gt;X4,Y4-2*Y4,""),""),"")</f>
        <v>-1</v>
      </c>
      <c r="AA4" s="195" t="s">
        <v>38</v>
      </c>
      <c r="AB4" s="164">
        <v>5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39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48</v>
      </c>
      <c r="AY4" s="4">
        <f ca="1">ABS(AX4)+IF($B4="",-0.1,0)</f>
        <v>48</v>
      </c>
      <c r="AZ4" s="4">
        <f t="shared" ref="AZ4:AZ19" ca="1" si="15">AY4+IF(AT4="H",IF(BC4&gt;1,0.1*BC4-0.1,0),0)</f>
        <v>48</v>
      </c>
      <c r="BA4" s="4">
        <f t="shared" ref="BA4:BA19" ca="1" si="16">AZ4+IF(AT4="V",IF(BC4&gt;1,0.1*BC4-0.1,0),0)</f>
        <v>48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114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94.785714285714292</v>
      </c>
      <c r="BL4" s="64">
        <f ca="1">$N$23</f>
        <v>1327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48</v>
      </c>
      <c r="BQ4" s="43">
        <f ca="1">-$AR$3*'Season Summary'!$AO$3</f>
        <v>-45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["H","H","H","H","H","V","H","H","V","V","V","V","H","H","H","H"];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9</v>
      </c>
      <c r="H5" s="171">
        <f>IF(G5&gt;0,IF(ISTEXT($E5),IF($E5&lt;&gt;F5,G5-2*G5,""),""),"")</f>
        <v>-9</v>
      </c>
      <c r="I5" s="202" t="s">
        <v>38</v>
      </c>
      <c r="J5" s="174">
        <v>11</v>
      </c>
      <c r="K5" s="171">
        <f>IF(J5&gt;0,IF(ISTEXT($E5),IF($E5&lt;&gt;I5,J5-2*J5,""),""),"")</f>
        <v>-11</v>
      </c>
      <c r="L5" s="202" t="s">
        <v>38</v>
      </c>
      <c r="M5" s="174">
        <v>9</v>
      </c>
      <c r="N5" s="171">
        <f>IF(M5&gt;0,IF(ISTEXT($E5),IF($E5&lt;&gt;L5,M5-2*M5,""),""),"")</f>
        <v>-9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9</v>
      </c>
      <c r="T5" s="171">
        <f>IF(S5&gt;0,IF(ISTEXT($E5),IF($E5&lt;&gt;R5,S5-2*S5,""),""),"")</f>
        <v>-9</v>
      </c>
      <c r="U5" s="202" t="s">
        <v>39</v>
      </c>
      <c r="V5" s="174">
        <v>10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>
        <f>IF(Y5&gt;0,IF(ISTEXT($E5),IF($E5&lt;&gt;X5,Y5-2*Y5,""),""),"")</f>
        <v>-6</v>
      </c>
      <c r="AA5" s="202" t="s">
        <v>38</v>
      </c>
      <c r="AB5" s="174">
        <v>7</v>
      </c>
      <c r="AC5" s="171">
        <f>IF(AB5&gt;0,IF(ISTEXT($E5),IF($E5&lt;&gt;AA5,AB5-2*AB5,""),""),"")</f>
        <v>-7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9</v>
      </c>
      <c r="AL5" s="171">
        <f>IF(AK5&gt;0,IF(ISTEXT($E5),IF($E5&lt;&gt;AJ5,AK5-2*AK5,""),""),"")</f>
        <v>-9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81</v>
      </c>
      <c r="AY5" s="4">
        <f t="shared" ref="AY5:AY19" ca="1" si="22">ABS(AX5)+IF($B5="",-0.1,0)</f>
        <v>81</v>
      </c>
      <c r="AZ5" s="4">
        <f ca="1">AY5+IF(AT5="H",IF(BC5&gt;1,0.1*BC5-0.1,0),0)</f>
        <v>81</v>
      </c>
      <c r="BA5" s="4">
        <f ca="1">AZ5+IF(AT5="V",IF(BC5&gt;1,0.1*BC5-0.1,0),0)</f>
        <v>81</v>
      </c>
      <c r="BB5" s="4">
        <v>2</v>
      </c>
      <c r="BC5" s="4">
        <f ca="1">COUNTIF($AY$4:OFFSET($AY$4,0,0,BB5,1),AY5)</f>
        <v>1</v>
      </c>
      <c r="BE5" s="33">
        <f ca="1">$AN$21</f>
        <v>2</v>
      </c>
      <c r="BF5" s="71" t="str">
        <f>$AM$2</f>
        <v>TB</v>
      </c>
      <c r="BG5" s="72">
        <f ca="1">$AO$21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93.5</v>
      </c>
      <c r="BL5" s="66">
        <f ca="1">$H$23</f>
        <v>1309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32</v>
      </c>
      <c r="BQ5" s="45">
        <f ca="1">-$AR$3*'Season Summary'!$AO$3</f>
        <v>-45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15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["H","H","H","V","H","V","H","H","V","V","V","V","V","H","H","H"];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13</v>
      </c>
      <c r="W6" s="171" t="str">
        <f t="shared" si="4"/>
        <v/>
      </c>
      <c r="X6" s="202" t="s">
        <v>38</v>
      </c>
      <c r="Y6" s="174">
        <v>14</v>
      </c>
      <c r="Z6" s="171" t="str">
        <f t="shared" si="5"/>
        <v/>
      </c>
      <c r="AA6" s="202" t="s">
        <v>38</v>
      </c>
      <c r="AB6" s="174">
        <v>14</v>
      </c>
      <c r="AC6" s="171" t="str">
        <f t="shared" si="6"/>
        <v/>
      </c>
      <c r="AD6" s="202" t="s">
        <v>38</v>
      </c>
      <c r="AE6" s="174">
        <v>14</v>
      </c>
      <c r="AF6" s="171" t="str">
        <f t="shared" si="7"/>
        <v/>
      </c>
      <c r="AG6" s="202" t="s">
        <v>39</v>
      </c>
      <c r="AH6" s="174">
        <v>1</v>
      </c>
      <c r="AI6" s="171">
        <f t="shared" si="8"/>
        <v>-1</v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155</v>
      </c>
      <c r="AY6" s="4">
        <f t="shared" ca="1" si="22"/>
        <v>155</v>
      </c>
      <c r="AZ6" s="4">
        <f t="shared" ca="1" si="15"/>
        <v>155</v>
      </c>
      <c r="BA6" s="4">
        <f t="shared" ca="1" si="16"/>
        <v>155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109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93.5</v>
      </c>
      <c r="BL6" s="66">
        <f ca="1">$Q$23</f>
        <v>1309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45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["H","H","H","H","H","V","H","H","V","V","V","V","H","H","H","H"];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39</v>
      </c>
      <c r="J7" s="174">
        <v>2</v>
      </c>
      <c r="K7" s="171">
        <f t="shared" si="0"/>
        <v>-2</v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1</v>
      </c>
      <c r="W7" s="171" t="str">
        <f t="shared" si="4"/>
        <v/>
      </c>
      <c r="X7" s="202" t="s">
        <v>38</v>
      </c>
      <c r="Y7" s="174">
        <v>10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12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39</v>
      </c>
      <c r="AN7" s="174">
        <v>7</v>
      </c>
      <c r="AO7" s="173">
        <f t="shared" si="10"/>
        <v>-7</v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10</v>
      </c>
      <c r="AV7" s="173" t="str">
        <f t="shared" ca="1" si="13"/>
        <v/>
      </c>
      <c r="AX7" s="4">
        <f t="shared" si="14"/>
        <v>95</v>
      </c>
      <c r="AY7" s="4">
        <f t="shared" ca="1" si="22"/>
        <v>95</v>
      </c>
      <c r="AZ7" s="4">
        <f t="shared" ca="1" si="15"/>
        <v>95</v>
      </c>
      <c r="BA7" s="4">
        <f t="shared" ca="1" si="16"/>
        <v>95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109</v>
      </c>
      <c r="BH7" s="145"/>
      <c r="BI7" s="36">
        <f t="shared" ca="1" si="17"/>
        <v>4</v>
      </c>
      <c r="BJ7" s="56" t="str">
        <f>$AJ$2</f>
        <v>RR</v>
      </c>
      <c r="BK7" s="65">
        <f ca="1">$AL$22</f>
        <v>93.285714285714292</v>
      </c>
      <c r="BL7" s="66">
        <f ca="1">$AL$23</f>
        <v>1306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["H","H","H","H","H","V","H","V","V","V","V","V","H","H","H","H"];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99" t="s">
        <v>39</v>
      </c>
      <c r="F8" s="200" t="s">
        <v>38</v>
      </c>
      <c r="G8" s="174">
        <v>5</v>
      </c>
      <c r="H8" s="171">
        <f t="shared" si="23"/>
        <v>-5</v>
      </c>
      <c r="I8" s="202" t="s">
        <v>38</v>
      </c>
      <c r="J8" s="174">
        <v>7</v>
      </c>
      <c r="K8" s="171">
        <f t="shared" si="0"/>
        <v>-7</v>
      </c>
      <c r="L8" s="202" t="s">
        <v>38</v>
      </c>
      <c r="M8" s="174">
        <v>3</v>
      </c>
      <c r="N8" s="171">
        <f t="shared" si="1"/>
        <v>-3</v>
      </c>
      <c r="O8" s="202" t="s">
        <v>38</v>
      </c>
      <c r="P8" s="174">
        <v>2</v>
      </c>
      <c r="Q8" s="171">
        <f t="shared" si="2"/>
        <v>-2</v>
      </c>
      <c r="R8" s="202" t="s">
        <v>38</v>
      </c>
      <c r="S8" s="174">
        <v>7</v>
      </c>
      <c r="T8" s="171">
        <f t="shared" si="3"/>
        <v>-7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3</v>
      </c>
      <c r="Z8" s="171">
        <f t="shared" si="5"/>
        <v>-3</v>
      </c>
      <c r="AA8" s="202" t="s">
        <v>38</v>
      </c>
      <c r="AB8" s="174">
        <v>1</v>
      </c>
      <c r="AC8" s="171">
        <f t="shared" si="6"/>
        <v>-1</v>
      </c>
      <c r="AD8" s="202" t="s">
        <v>39</v>
      </c>
      <c r="AE8" s="174">
        <v>1</v>
      </c>
      <c r="AF8" s="171" t="str">
        <f t="shared" si="7"/>
        <v/>
      </c>
      <c r="AG8" s="202" t="s">
        <v>39</v>
      </c>
      <c r="AH8" s="174">
        <v>7</v>
      </c>
      <c r="AI8" s="171" t="str">
        <f t="shared" si="8"/>
        <v/>
      </c>
      <c r="AJ8" s="202" t="s">
        <v>38</v>
      </c>
      <c r="AK8" s="174">
        <v>3</v>
      </c>
      <c r="AL8" s="171">
        <f t="shared" si="9"/>
        <v>-3</v>
      </c>
      <c r="AM8" s="202" t="s">
        <v>39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24</v>
      </c>
      <c r="AY8" s="4">
        <f t="shared" ca="1" si="22"/>
        <v>24</v>
      </c>
      <c r="AZ8" s="4">
        <f t="shared" ca="1" si="15"/>
        <v>24</v>
      </c>
      <c r="BA8" s="4">
        <f t="shared" ca="1" si="16"/>
        <v>24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107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92.142857142857139</v>
      </c>
      <c r="BL8" s="66">
        <f ca="1">$Z$23</f>
        <v>1290</v>
      </c>
      <c r="BM8" s="142"/>
      <c r="BN8" s="36">
        <f t="shared" ca="1" si="18"/>
        <v>4</v>
      </c>
      <c r="BO8" s="56" t="str">
        <f>$AM$2</f>
        <v>TB</v>
      </c>
      <c r="BP8" s="46">
        <f t="shared" ca="1" si="19"/>
        <v>17</v>
      </c>
      <c r="BQ8" s="45">
        <f ca="1">-$AR$3*'Season Summary'!$AO$3</f>
        <v>-45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["H","H","H","H","H","V","H","V","V","V","V","V","H","H","H","H"];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99" t="s">
        <v>39</v>
      </c>
      <c r="F9" s="200" t="s">
        <v>39</v>
      </c>
      <c r="G9" s="174">
        <v>16</v>
      </c>
      <c r="H9" s="171" t="str">
        <f t="shared" si="23"/>
        <v/>
      </c>
      <c r="I9" s="202" t="s">
        <v>39</v>
      </c>
      <c r="J9" s="174">
        <v>15</v>
      </c>
      <c r="K9" s="171" t="str">
        <f t="shared" si="0"/>
        <v/>
      </c>
      <c r="L9" s="202" t="s">
        <v>39</v>
      </c>
      <c r="M9" s="174">
        <v>16</v>
      </c>
      <c r="N9" s="171" t="str">
        <f t="shared" si="1"/>
        <v/>
      </c>
      <c r="O9" s="202" t="s">
        <v>39</v>
      </c>
      <c r="P9" s="174">
        <v>16</v>
      </c>
      <c r="Q9" s="171" t="str">
        <f t="shared" si="2"/>
        <v/>
      </c>
      <c r="R9" s="202" t="s">
        <v>39</v>
      </c>
      <c r="S9" s="174">
        <v>16</v>
      </c>
      <c r="T9" s="171" t="str">
        <f t="shared" si="3"/>
        <v/>
      </c>
      <c r="U9" s="202" t="s">
        <v>39</v>
      </c>
      <c r="V9" s="174">
        <v>15</v>
      </c>
      <c r="W9" s="171" t="str">
        <f t="shared" si="4"/>
        <v/>
      </c>
      <c r="X9" s="202" t="s">
        <v>39</v>
      </c>
      <c r="Y9" s="174">
        <v>16</v>
      </c>
      <c r="Z9" s="171" t="str">
        <f t="shared" si="5"/>
        <v/>
      </c>
      <c r="AA9" s="202" t="s">
        <v>39</v>
      </c>
      <c r="AB9" s="174">
        <v>16</v>
      </c>
      <c r="AC9" s="171" t="str">
        <f t="shared" si="6"/>
        <v/>
      </c>
      <c r="AD9" s="202" t="s">
        <v>39</v>
      </c>
      <c r="AE9" s="174">
        <v>15</v>
      </c>
      <c r="AF9" s="171" t="str">
        <f t="shared" si="7"/>
        <v/>
      </c>
      <c r="AG9" s="202" t="s">
        <v>39</v>
      </c>
      <c r="AH9" s="174">
        <v>16</v>
      </c>
      <c r="AI9" s="171" t="str">
        <f t="shared" si="8"/>
        <v/>
      </c>
      <c r="AJ9" s="202" t="s">
        <v>39</v>
      </c>
      <c r="AK9" s="174">
        <v>16</v>
      </c>
      <c r="AL9" s="171" t="str">
        <f t="shared" si="9"/>
        <v/>
      </c>
      <c r="AM9" s="202" t="s">
        <v>39</v>
      </c>
      <c r="AN9" s="174">
        <v>16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16</v>
      </c>
      <c r="AV9" s="173" t="str">
        <f t="shared" ca="1" si="13"/>
        <v/>
      </c>
      <c r="AX9" s="4">
        <f t="shared" si="14"/>
        <v>-189</v>
      </c>
      <c r="AY9" s="4">
        <f t="shared" ca="1" si="22"/>
        <v>189</v>
      </c>
      <c r="AZ9" s="4">
        <f t="shared" ca="1" si="15"/>
        <v>189</v>
      </c>
      <c r="BA9" s="4">
        <f t="shared" ca="1" si="16"/>
        <v>189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88.428571428571431</v>
      </c>
      <c r="BL9" s="66">
        <f ca="1">$AO$23</f>
        <v>1238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["H","V","H","H","H","V","H","V","V","V","V","V","H","H","H","V"];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99" t="s">
        <v>38</v>
      </c>
      <c r="F10" s="200" t="s">
        <v>38</v>
      </c>
      <c r="G10" s="174">
        <v>13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13</v>
      </c>
      <c r="N10" s="171" t="str">
        <f t="shared" si="1"/>
        <v/>
      </c>
      <c r="O10" s="202" t="s">
        <v>38</v>
      </c>
      <c r="P10" s="174">
        <v>13</v>
      </c>
      <c r="Q10" s="171" t="str">
        <f t="shared" si="2"/>
        <v/>
      </c>
      <c r="R10" s="202" t="s">
        <v>38</v>
      </c>
      <c r="S10" s="174">
        <v>14</v>
      </c>
      <c r="T10" s="171" t="str">
        <f t="shared" si="3"/>
        <v/>
      </c>
      <c r="U10" s="202" t="s">
        <v>38</v>
      </c>
      <c r="V10" s="174">
        <v>11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13</v>
      </c>
      <c r="AC10" s="171" t="str">
        <f t="shared" si="6"/>
        <v/>
      </c>
      <c r="AD10" s="202" t="s">
        <v>38</v>
      </c>
      <c r="AE10" s="174">
        <v>13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13</v>
      </c>
      <c r="AL10" s="171" t="str">
        <f t="shared" si="9"/>
        <v/>
      </c>
      <c r="AM10" s="202" t="s">
        <v>38</v>
      </c>
      <c r="AN10" s="174">
        <v>14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154</v>
      </c>
      <c r="AY10" s="4">
        <f t="shared" ca="1" si="22"/>
        <v>154</v>
      </c>
      <c r="AZ10" s="4">
        <f t="shared" ca="1" si="15"/>
        <v>154</v>
      </c>
      <c r="BA10" s="4">
        <f t="shared" ca="1" si="16"/>
        <v>154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87.071428571428569</v>
      </c>
      <c r="BL10" s="66">
        <f ca="1">$AI$23</f>
        <v>1219</v>
      </c>
      <c r="BM10" s="142"/>
      <c r="BN10" s="36">
        <f t="shared" ca="1" si="18"/>
        <v>6</v>
      </c>
      <c r="BO10" s="56" t="str">
        <f>$AA$2</f>
        <v>KC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Summary'!Z$3:OFFSET('Season Summary'!Z$3,$C$2+$AR$2,0),"=1")&gt;0,COUNTIF('Season Summary'!Z$3:OFFSET('Season Summary'!Z$3,$C$2+$AR$2,0),"=1"),"")</f>
        <v>1</v>
      </c>
      <c r="BS10" s="52">
        <f ca="1">IF(BR10="","",BR10*'Season Summary'!$AO$6)</f>
        <v>31</v>
      </c>
      <c r="BT10" s="175" t="str">
        <f ca="1">IF($AB$22=1,"✓","")</f>
        <v/>
      </c>
      <c r="BU10" s="52" t="str">
        <f t="shared" ca="1" si="20"/>
        <v/>
      </c>
      <c r="BV10" s="175" t="str">
        <f ca="1">IF($AB$22=2,"✓","")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["V","H","H","H","H","V","H","H","V","V","V","V","H","H","H","H"];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3</v>
      </c>
      <c r="K11" s="171" t="str">
        <f t="shared" si="0"/>
        <v/>
      </c>
      <c r="L11" s="202" t="s">
        <v>38</v>
      </c>
      <c r="M11" s="174">
        <v>2</v>
      </c>
      <c r="N11" s="171" t="str">
        <f t="shared" si="1"/>
        <v/>
      </c>
      <c r="O11" s="202" t="s">
        <v>39</v>
      </c>
      <c r="P11" s="174">
        <v>3</v>
      </c>
      <c r="Q11" s="171">
        <f t="shared" si="2"/>
        <v>-3</v>
      </c>
      <c r="R11" s="202" t="s">
        <v>39</v>
      </c>
      <c r="S11" s="174">
        <v>1</v>
      </c>
      <c r="T11" s="171">
        <f t="shared" si="3"/>
        <v>-1</v>
      </c>
      <c r="U11" s="202" t="s">
        <v>39</v>
      </c>
      <c r="V11" s="174">
        <v>2</v>
      </c>
      <c r="W11" s="171">
        <f t="shared" si="4"/>
        <v>-2</v>
      </c>
      <c r="X11" s="202" t="s">
        <v>38</v>
      </c>
      <c r="Y11" s="174">
        <v>2</v>
      </c>
      <c r="Z11" s="171" t="str">
        <f t="shared" si="5"/>
        <v/>
      </c>
      <c r="AA11" s="202" t="s">
        <v>38</v>
      </c>
      <c r="AB11" s="174">
        <v>2</v>
      </c>
      <c r="AC11" s="171" t="str">
        <f t="shared" si="6"/>
        <v/>
      </c>
      <c r="AD11" s="202" t="s">
        <v>39</v>
      </c>
      <c r="AE11" s="174">
        <v>2</v>
      </c>
      <c r="AF11" s="171">
        <f t="shared" si="7"/>
        <v>-2</v>
      </c>
      <c r="AG11" s="202" t="s">
        <v>39</v>
      </c>
      <c r="AH11" s="174">
        <v>2</v>
      </c>
      <c r="AI11" s="171">
        <f t="shared" si="8"/>
        <v>-2</v>
      </c>
      <c r="AJ11" s="202" t="s">
        <v>38</v>
      </c>
      <c r="AK11" s="174">
        <v>2</v>
      </c>
      <c r="AL11" s="171" t="str">
        <f t="shared" si="9"/>
        <v/>
      </c>
      <c r="AM11" s="202" t="s">
        <v>39</v>
      </c>
      <c r="AN11" s="174">
        <v>6</v>
      </c>
      <c r="AO11" s="173">
        <f t="shared" si="10"/>
        <v>-6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-3</v>
      </c>
      <c r="AY11" s="4">
        <f t="shared" ca="1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85.428571428571431</v>
      </c>
      <c r="BL11" s="66">
        <f ca="1">$T$23</f>
        <v>1196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["H","H","H","H","H","V","H","H","V","V","V","V","H","H","H","H"];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39</v>
      </c>
      <c r="G12" s="174">
        <v>11</v>
      </c>
      <c r="H12" s="171">
        <f t="shared" si="23"/>
        <v>-11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>
        <f t="shared" si="3"/>
        <v>-6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8</v>
      </c>
      <c r="Z12" s="171">
        <f t="shared" si="5"/>
        <v>-8</v>
      </c>
      <c r="AA12" s="202" t="s">
        <v>39</v>
      </c>
      <c r="AB12" s="174">
        <v>10</v>
      </c>
      <c r="AC12" s="171">
        <f t="shared" si="6"/>
        <v>-10</v>
      </c>
      <c r="AD12" s="202" t="s">
        <v>39</v>
      </c>
      <c r="AE12" s="174">
        <v>10</v>
      </c>
      <c r="AF12" s="171">
        <f t="shared" si="7"/>
        <v>-10</v>
      </c>
      <c r="AG12" s="202" t="s">
        <v>39</v>
      </c>
      <c r="AH12" s="174">
        <v>12</v>
      </c>
      <c r="AI12" s="171">
        <f t="shared" si="8"/>
        <v>-12</v>
      </c>
      <c r="AJ12" s="202" t="s">
        <v>39</v>
      </c>
      <c r="AK12" s="174">
        <v>11</v>
      </c>
      <c r="AL12" s="171">
        <f t="shared" si="9"/>
        <v>-11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11</v>
      </c>
      <c r="AV12" s="173">
        <f t="shared" ca="1" si="13"/>
        <v>-11</v>
      </c>
      <c r="AX12" s="4">
        <f t="shared" si="14"/>
        <v>-99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$S$21</f>
        <v>9</v>
      </c>
      <c r="BF12" s="71" t="str">
        <f>$R$2</f>
        <v>DH</v>
      </c>
      <c r="BG12" s="72">
        <f ca="1">$T$21</f>
        <v>101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83.857142857142861</v>
      </c>
      <c r="BL12" s="66">
        <f ca="1">$AF$23</f>
        <v>1174</v>
      </c>
      <c r="BM12" s="142"/>
      <c r="BN12" s="36">
        <f t="shared" ca="1" si="18"/>
        <v>6</v>
      </c>
      <c r="BO12" s="56" t="str">
        <f>$AG$2</f>
        <v>MB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Summary'!AF$3:OFFSET('Season Summary'!AF$3,$C$2+$AR$2,0),"=1")&gt;0,COUNTIF('Season Summary'!AF$3:OFFSET('Season Summary'!AF$3,$C$2+$AR$2,0),"=1"),"")</f>
        <v>1</v>
      </c>
      <c r="BS12" s="52">
        <f ca="1">IF(BR12="","",BR12*'Season Summary'!$AO$6)</f>
        <v>31</v>
      </c>
      <c r="BT12" s="175" t="str">
        <f ca="1">IF($AH$22=1,"✓","")</f>
        <v/>
      </c>
      <c r="BU12" s="52" t="str">
        <f t="shared" ca="1" si="20"/>
        <v/>
      </c>
      <c r="BV12" s="175" t="str">
        <f ca="1">IF($AH$22=2,"✓","")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["V","H","H","H","V","V","H","V","V","V","V","V","H","H","H","V"];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4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5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39</v>
      </c>
      <c r="AE13" s="174">
        <v>9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6</v>
      </c>
      <c r="AL13" s="171" t="str">
        <f t="shared" si="9"/>
        <v/>
      </c>
      <c r="AM13" s="202" t="s">
        <v>39</v>
      </c>
      <c r="AN13" s="174">
        <v>12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-106</v>
      </c>
      <c r="AY13" s="4">
        <f t="shared" ca="1" si="22"/>
        <v>106</v>
      </c>
      <c r="AZ13" s="4">
        <f t="shared" ca="1" si="15"/>
        <v>106</v>
      </c>
      <c r="BA13" s="4">
        <f t="shared" ca="1" si="16"/>
        <v>106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97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83.571428571428569</v>
      </c>
      <c r="BL13" s="66">
        <f ca="1">$AC$23</f>
        <v>1170</v>
      </c>
      <c r="BM13" s="142"/>
      <c r="BN13" s="36">
        <f t="shared" ca="1" si="18"/>
        <v>6</v>
      </c>
      <c r="BO13" s="56" t="str">
        <f>$AJ$2</f>
        <v>RR</v>
      </c>
      <c r="BP13" s="46">
        <f t="shared" ca="1" si="19"/>
        <v>-14</v>
      </c>
      <c r="BQ13" s="45">
        <f ca="1">-$AR$3*'Season Summary'!$AO$3</f>
        <v>-45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["V","H","V","H","V","V","H","V","V","V","V","V","H","H","V","H"];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15</v>
      </c>
      <c r="T14" s="171" t="str">
        <f t="shared" si="3"/>
        <v/>
      </c>
      <c r="U14" s="202" t="s">
        <v>39</v>
      </c>
      <c r="V14" s="174">
        <v>3</v>
      </c>
      <c r="W14" s="171" t="str">
        <f t="shared" si="4"/>
        <v/>
      </c>
      <c r="X14" s="202" t="s">
        <v>39</v>
      </c>
      <c r="Y14" s="174">
        <v>15</v>
      </c>
      <c r="Z14" s="171" t="str">
        <f t="shared" si="5"/>
        <v/>
      </c>
      <c r="AA14" s="202" t="s">
        <v>39</v>
      </c>
      <c r="AB14" s="174">
        <v>15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15</v>
      </c>
      <c r="AI14" s="171" t="str">
        <f t="shared" si="8"/>
        <v/>
      </c>
      <c r="AJ14" s="202" t="s">
        <v>39</v>
      </c>
      <c r="AK14" s="174">
        <v>14</v>
      </c>
      <c r="AL14" s="171" t="str">
        <f t="shared" si="9"/>
        <v/>
      </c>
      <c r="AM14" s="202" t="s">
        <v>39</v>
      </c>
      <c r="AN14" s="174">
        <v>13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15</v>
      </c>
      <c r="AV14" s="173" t="str">
        <f t="shared" ca="1" si="13"/>
        <v/>
      </c>
      <c r="AX14" s="4">
        <f t="shared" si="14"/>
        <v>-160</v>
      </c>
      <c r="AY14" s="4">
        <f t="shared" ca="1" si="22"/>
        <v>160</v>
      </c>
      <c r="AZ14" s="4">
        <f t="shared" ca="1" si="15"/>
        <v>160</v>
      </c>
      <c r="BA14" s="4">
        <f t="shared" ca="1" si="16"/>
        <v>160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95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80.428571428571431</v>
      </c>
      <c r="BL14" s="66">
        <f ca="1">$W$23</f>
        <v>1126</v>
      </c>
      <c r="BM14" s="142"/>
      <c r="BN14" s="36">
        <f t="shared" ca="1" si="18"/>
        <v>11</v>
      </c>
      <c r="BO14" s="56" t="str">
        <f>$F$2</f>
        <v>BM</v>
      </c>
      <c r="BP14" s="46">
        <f t="shared" ca="1" si="19"/>
        <v>-30</v>
      </c>
      <c r="BQ14" s="45">
        <f ca="1">-$AR$3*'Season Summary'!$AO$3</f>
        <v>-45</v>
      </c>
      <c r="BR14" s="51" t="str">
        <f ca="1">IF(COUNTIF('Season Summary'!E$3:OFFSET('Season Summary'!E$3,$C$2+$AR$2,0),"=1")&gt;0,COUNTIF('Season Summary'!E$3:OFFSET('Season Summary'!E$3,$C$2+$AR$2,0),"=1"),"")</f>
        <v/>
      </c>
      <c r="BS14" s="52" t="str">
        <f ca="1">IF(BR14="","",BR14*'Season Summary'!$AO$6)</f>
        <v/>
      </c>
      <c r="BT14" s="175" t="str">
        <f ca="1">IF($G$22=1,"✓","")</f>
        <v/>
      </c>
      <c r="BU14" s="52" t="str">
        <f t="shared" ca="1" si="20"/>
        <v/>
      </c>
      <c r="BV14" s="175" t="str">
        <f ca="1">IF($G$22=2,"✓","")</f>
        <v>✓</v>
      </c>
      <c r="BW14" s="40">
        <f t="shared" ca="1" si="21"/>
        <v>15</v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["H","H","H","H","H","V","H","H","V","V","V","V","H","H","H","H"];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38</v>
      </c>
      <c r="F15" s="200" t="s">
        <v>39</v>
      </c>
      <c r="G15" s="174">
        <v>7</v>
      </c>
      <c r="H15" s="171">
        <f t="shared" si="23"/>
        <v>-7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4</v>
      </c>
      <c r="N15" s="171">
        <f t="shared" si="1"/>
        <v>-4</v>
      </c>
      <c r="O15" s="202" t="s">
        <v>39</v>
      </c>
      <c r="P15" s="174">
        <v>9</v>
      </c>
      <c r="Q15" s="171">
        <f t="shared" si="2"/>
        <v>-9</v>
      </c>
      <c r="R15" s="202" t="s">
        <v>39</v>
      </c>
      <c r="S15" s="174">
        <v>12</v>
      </c>
      <c r="T15" s="171">
        <f t="shared" si="3"/>
        <v>-12</v>
      </c>
      <c r="U15" s="202" t="s">
        <v>39</v>
      </c>
      <c r="V15" s="174">
        <v>9</v>
      </c>
      <c r="W15" s="171">
        <f t="shared" si="4"/>
        <v>-9</v>
      </c>
      <c r="X15" s="202" t="s">
        <v>39</v>
      </c>
      <c r="Y15" s="174">
        <v>11</v>
      </c>
      <c r="Z15" s="171">
        <f t="shared" si="5"/>
        <v>-11</v>
      </c>
      <c r="AA15" s="202" t="s">
        <v>39</v>
      </c>
      <c r="AB15" s="174">
        <v>4</v>
      </c>
      <c r="AC15" s="171">
        <f t="shared" si="6"/>
        <v>-4</v>
      </c>
      <c r="AD15" s="202" t="s">
        <v>39</v>
      </c>
      <c r="AE15" s="174">
        <v>6</v>
      </c>
      <c r="AF15" s="171">
        <f t="shared" si="7"/>
        <v>-6</v>
      </c>
      <c r="AG15" s="202" t="s">
        <v>39</v>
      </c>
      <c r="AH15" s="174">
        <v>5</v>
      </c>
      <c r="AI15" s="171">
        <f t="shared" si="8"/>
        <v>-5</v>
      </c>
      <c r="AJ15" s="202" t="s">
        <v>39</v>
      </c>
      <c r="AK15" s="174">
        <v>4</v>
      </c>
      <c r="AL15" s="171">
        <f t="shared" si="9"/>
        <v>-4</v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6</v>
      </c>
      <c r="AV15" s="173">
        <f t="shared" ca="1" si="13"/>
        <v>-6</v>
      </c>
      <c r="AX15" s="4">
        <f t="shared" si="14"/>
        <v>-79</v>
      </c>
      <c r="AY15" s="4">
        <f t="shared" ca="1" si="22"/>
        <v>79</v>
      </c>
      <c r="AZ15" s="4">
        <f t="shared" ca="1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4">
        <f ca="1">$AH$21</f>
        <v>11</v>
      </c>
      <c r="BF15" s="73" t="str">
        <f>$AG$2</f>
        <v>MB</v>
      </c>
      <c r="BG15" s="74">
        <f ca="1">$AI$21</f>
        <v>95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76.214285714285708</v>
      </c>
      <c r="BL15" s="68">
        <f ca="1">$K$23</f>
        <v>1067</v>
      </c>
      <c r="BM15" s="142"/>
      <c r="BN15" s="37">
        <f t="shared" ca="1" si="18"/>
        <v>12</v>
      </c>
      <c r="BO15" s="57" t="str">
        <f>$X$2</f>
        <v>JL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Summary'!W$3:OFFSET('Season Summary'!W$3,$C$2+$AR$2,0),"=1")&gt;0,COUNTIF('Season Summary'!W$3:OFFSET('Season Summary'!W$3,$C$2+$AR$2,0),"=1"),"")</f>
        <v/>
      </c>
      <c r="BS15" s="54" t="str">
        <f ca="1">IF(BR15="","",BR15*'Season Summary'!$AO$6)</f>
        <v/>
      </c>
      <c r="BT15" s="176" t="str">
        <f ca="1">IF($Y$22=1,"✓","")</f>
        <v/>
      </c>
      <c r="BU15" s="54" t="str">
        <f t="shared" ca="1" si="20"/>
        <v/>
      </c>
      <c r="BV15" s="176" t="str">
        <f ca="1">IF($Y$22=2,"✓","")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["H","H","H","V","V","V","H","V","H","V","V","H","H","H","V","H"];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6</v>
      </c>
      <c r="Q16" s="171" t="str">
        <f t="shared" si="2"/>
        <v/>
      </c>
      <c r="R16" s="202" t="s">
        <v>38</v>
      </c>
      <c r="S16" s="174">
        <v>13</v>
      </c>
      <c r="T16" s="171" t="str">
        <f t="shared" si="3"/>
        <v/>
      </c>
      <c r="U16" s="202" t="s">
        <v>38</v>
      </c>
      <c r="V16" s="174">
        <v>12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11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5</v>
      </c>
      <c r="AL16" s="171" t="str">
        <f t="shared" si="9"/>
        <v/>
      </c>
      <c r="AM16" s="202" t="s">
        <v>38</v>
      </c>
      <c r="AN16" s="174">
        <v>10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86</v>
      </c>
      <c r="AY16" s="4">
        <f t="shared" ca="1" si="22"/>
        <v>86</v>
      </c>
      <c r="AZ16" s="4">
        <f t="shared" ca="1" si="15"/>
        <v>86</v>
      </c>
      <c r="BA16" s="4">
        <f t="shared" ca="1" si="16"/>
        <v>86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["6","9","15","12","5","16","13","2","11","10","14","7","3","4","8","1"];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99" t="s">
        <v>38</v>
      </c>
      <c r="F17" s="200" t="s">
        <v>38</v>
      </c>
      <c r="G17" s="174">
        <v>4</v>
      </c>
      <c r="H17" s="171" t="str">
        <f t="shared" si="23"/>
        <v/>
      </c>
      <c r="I17" s="202" t="s">
        <v>38</v>
      </c>
      <c r="J17" s="174">
        <v>8</v>
      </c>
      <c r="K17" s="171" t="str">
        <f t="shared" si="0"/>
        <v/>
      </c>
      <c r="L17" s="202" t="s">
        <v>38</v>
      </c>
      <c r="M17" s="174">
        <v>8</v>
      </c>
      <c r="N17" s="171" t="str">
        <f t="shared" si="1"/>
        <v/>
      </c>
      <c r="O17" s="202" t="s">
        <v>38</v>
      </c>
      <c r="P17" s="174">
        <v>5</v>
      </c>
      <c r="Q17" s="171" t="str">
        <f t="shared" si="2"/>
        <v/>
      </c>
      <c r="R17" s="202" t="s">
        <v>38</v>
      </c>
      <c r="S17" s="174">
        <v>11</v>
      </c>
      <c r="T17" s="171" t="str">
        <f t="shared" si="3"/>
        <v/>
      </c>
      <c r="U17" s="202" t="s">
        <v>38</v>
      </c>
      <c r="V17" s="174">
        <v>4</v>
      </c>
      <c r="W17" s="171" t="str">
        <f t="shared" si="4"/>
        <v/>
      </c>
      <c r="X17" s="202" t="s">
        <v>38</v>
      </c>
      <c r="Y17" s="174">
        <v>12</v>
      </c>
      <c r="Z17" s="171" t="str">
        <f t="shared" si="5"/>
        <v/>
      </c>
      <c r="AA17" s="202" t="s">
        <v>38</v>
      </c>
      <c r="AB17" s="174">
        <v>6</v>
      </c>
      <c r="AC17" s="171" t="str">
        <f t="shared" si="6"/>
        <v/>
      </c>
      <c r="AD17" s="202" t="s">
        <v>38</v>
      </c>
      <c r="AE17" s="174">
        <v>5</v>
      </c>
      <c r="AF17" s="171" t="str">
        <f t="shared" si="7"/>
        <v/>
      </c>
      <c r="AG17" s="202" t="s">
        <v>38</v>
      </c>
      <c r="AH17" s="174">
        <v>6</v>
      </c>
      <c r="AI17" s="171" t="str">
        <f t="shared" si="8"/>
        <v/>
      </c>
      <c r="AJ17" s="202" t="s">
        <v>38</v>
      </c>
      <c r="AK17" s="174">
        <v>7</v>
      </c>
      <c r="AL17" s="171" t="str">
        <f t="shared" si="9"/>
        <v/>
      </c>
      <c r="AM17" s="202" t="s">
        <v>38</v>
      </c>
      <c r="AN17" s="174">
        <v>9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8</v>
      </c>
      <c r="AV17" s="173" t="str">
        <f t="shared" ca="1" si="13"/>
        <v/>
      </c>
      <c r="AX17" s="4">
        <f t="shared" si="14"/>
        <v>85</v>
      </c>
      <c r="AY17" s="4">
        <f t="shared" ca="1" si="22"/>
        <v>85</v>
      </c>
      <c r="AZ17" s="4">
        <f t="shared" ca="1" si="15"/>
        <v>85</v>
      </c>
      <c r="BA17" s="4">
        <f t="shared" ca="1" si="16"/>
        <v>85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["5","11","16","2","7","15","14","3","4","13","12","9","6","8","10","1"];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99" t="s">
        <v>38</v>
      </c>
      <c r="F18" s="200" t="s">
        <v>38</v>
      </c>
      <c r="G18" s="174">
        <v>8</v>
      </c>
      <c r="H18" s="171" t="str">
        <f t="shared" si="23"/>
        <v/>
      </c>
      <c r="I18" s="202" t="s">
        <v>38</v>
      </c>
      <c r="J18" s="174">
        <v>10</v>
      </c>
      <c r="K18" s="171" t="str">
        <f t="shared" si="0"/>
        <v/>
      </c>
      <c r="L18" s="202" t="s">
        <v>38</v>
      </c>
      <c r="M18" s="174">
        <v>10</v>
      </c>
      <c r="N18" s="171" t="str">
        <f t="shared" si="1"/>
        <v/>
      </c>
      <c r="O18" s="202" t="s">
        <v>38</v>
      </c>
      <c r="P18" s="174">
        <v>11</v>
      </c>
      <c r="Q18" s="171" t="str">
        <f t="shared" si="2"/>
        <v/>
      </c>
      <c r="R18" s="202" t="s">
        <v>38</v>
      </c>
      <c r="S18" s="174">
        <v>3</v>
      </c>
      <c r="T18" s="171" t="str">
        <f t="shared" si="3"/>
        <v/>
      </c>
      <c r="U18" s="202" t="s">
        <v>38</v>
      </c>
      <c r="V18" s="174">
        <v>5</v>
      </c>
      <c r="W18" s="171" t="str">
        <f t="shared" si="4"/>
        <v/>
      </c>
      <c r="X18" s="202" t="s">
        <v>38</v>
      </c>
      <c r="Y18" s="174">
        <v>9</v>
      </c>
      <c r="Z18" s="171" t="str">
        <f t="shared" si="5"/>
        <v/>
      </c>
      <c r="AA18" s="202" t="s">
        <v>38</v>
      </c>
      <c r="AB18" s="174">
        <v>11</v>
      </c>
      <c r="AC18" s="171" t="str">
        <f t="shared" si="6"/>
        <v/>
      </c>
      <c r="AD18" s="202" t="s">
        <v>38</v>
      </c>
      <c r="AE18" s="174">
        <v>8</v>
      </c>
      <c r="AF18" s="171" t="str">
        <f t="shared" si="7"/>
        <v/>
      </c>
      <c r="AG18" s="202" t="s">
        <v>39</v>
      </c>
      <c r="AH18" s="174">
        <v>4</v>
      </c>
      <c r="AI18" s="171">
        <f t="shared" si="8"/>
        <v>-4</v>
      </c>
      <c r="AJ18" s="202" t="s">
        <v>38</v>
      </c>
      <c r="AK18" s="174">
        <v>10</v>
      </c>
      <c r="AL18" s="171" t="str">
        <f t="shared" si="9"/>
        <v/>
      </c>
      <c r="AM18" s="202" t="s">
        <v>39</v>
      </c>
      <c r="AN18" s="174">
        <v>3</v>
      </c>
      <c r="AO18" s="173">
        <f t="shared" si="10"/>
        <v>-3</v>
      </c>
      <c r="AT18" s="166" t="str">
        <f ca="1">IF($B18="","",IF(AX18&lt;0,"V","H"))</f>
        <v>H</v>
      </c>
      <c r="AU18" s="174">
        <f ca="1">IF($B18="","",RANK(BA18,BA$4:BA$19,1))</f>
        <v>5</v>
      </c>
      <c r="AV18" s="173" t="str">
        <f t="shared" ca="1" si="13"/>
        <v/>
      </c>
      <c r="AX18" s="4">
        <f t="shared" si="14"/>
        <v>78</v>
      </c>
      <c r="AY18" s="4">
        <f t="shared" ca="1" si="22"/>
        <v>78</v>
      </c>
      <c r="AZ18" s="4">
        <f t="shared" ca="1" si="15"/>
        <v>78</v>
      </c>
      <c r="BA18" s="4">
        <f t="shared" ca="1" si="16"/>
        <v>78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["7","9","15","12","3","16","13","2","11","5","14","4","6","8","10","1"];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</v>
      </c>
      <c r="N19" s="171" t="str">
        <f t="shared" si="1"/>
        <v/>
      </c>
      <c r="O19" s="202" t="s">
        <v>38</v>
      </c>
      <c r="P19" s="174">
        <v>1</v>
      </c>
      <c r="Q19" s="171" t="str">
        <f t="shared" si="2"/>
        <v/>
      </c>
      <c r="R19" s="202" t="s">
        <v>38</v>
      </c>
      <c r="S19" s="174">
        <v>2</v>
      </c>
      <c r="T19" s="171" t="str">
        <f t="shared" si="3"/>
        <v/>
      </c>
      <c r="U19" s="202" t="s">
        <v>39</v>
      </c>
      <c r="V19" s="174">
        <v>16</v>
      </c>
      <c r="W19" s="171">
        <f t="shared" si="4"/>
        <v>-16</v>
      </c>
      <c r="X19" s="202" t="s">
        <v>38</v>
      </c>
      <c r="Y19" s="174">
        <v>4</v>
      </c>
      <c r="Z19" s="171" t="str">
        <f t="shared" si="5"/>
        <v/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3</v>
      </c>
      <c r="AF19" s="171">
        <f t="shared" si="7"/>
        <v>-3</v>
      </c>
      <c r="AG19" s="202" t="s">
        <v>38</v>
      </c>
      <c r="AH19" s="174">
        <v>3</v>
      </c>
      <c r="AI19" s="171" t="str">
        <f t="shared" si="8"/>
        <v/>
      </c>
      <c r="AJ19" s="202" t="s">
        <v>38</v>
      </c>
      <c r="AK19" s="174">
        <v>1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</v>
      </c>
      <c r="AV19" s="173" t="str">
        <f t="shared" ca="1" si="13"/>
        <v/>
      </c>
      <c r="AX19" s="4">
        <f t="shared" si="14"/>
        <v>2</v>
      </c>
      <c r="AY19" s="4">
        <f t="shared" ca="1" si="22"/>
        <v>2</v>
      </c>
      <c r="AZ19" s="4">
        <f t="shared" ca="1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["8","7","15","12","2","16","13","3","10","4","14","9","6","5","11","1"];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38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["4","9","10","8","7","16","14","1","6","5","15","12","13","11","3","2"];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104</v>
      </c>
      <c r="I21" s="183"/>
      <c r="J21" s="181">
        <f ca="1">RANK(K21,$H34:$AO34,0)+J52</f>
        <v>10</v>
      </c>
      <c r="K21" s="182">
        <f ca="1">IF(SUM(J4:J19)&gt;0,SUM(K4:K19)+$F$31,0)</f>
        <v>97</v>
      </c>
      <c r="L21" s="183"/>
      <c r="M21" s="181">
        <f ca="1">RANK(N21,$H34:$AO34,0)+M52</f>
        <v>3</v>
      </c>
      <c r="N21" s="182">
        <f ca="1">IF(SUM(M4:M19)&gt;0,SUM(N4:N19)+$F$31,0)</f>
        <v>109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9</v>
      </c>
      <c r="T21" s="182">
        <f ca="1">IF(SUM(S4:S19)&gt;0,SUM(T4:T19)+$F$31,0)</f>
        <v>101</v>
      </c>
      <c r="U21" s="183"/>
      <c r="V21" s="181">
        <f ca="1">RANK(W21,$H34:$AO34,0)+V52</f>
        <v>11</v>
      </c>
      <c r="W21" s="182">
        <f ca="1">IF(SUM(V4:V19)&gt;0,SUM(W4:W19)+$F$31,0)</f>
        <v>95</v>
      </c>
      <c r="X21" s="183"/>
      <c r="Y21" s="181">
        <f ca="1">RANK(Z21,$H34:$AO34,0)+Y52</f>
        <v>5</v>
      </c>
      <c r="Z21" s="182">
        <f ca="1">IF(SUM(Y4:Y19)&gt;0,SUM(Z4:Z19)+$F$31,0)</f>
        <v>107</v>
      </c>
      <c r="AA21" s="183"/>
      <c r="AB21" s="181">
        <f ca="1">RANK(AC21,$H34:$AO34,0)+AB52</f>
        <v>1</v>
      </c>
      <c r="AC21" s="182">
        <f ca="1">IF(SUM(AB4:AB19)&gt;0,SUM(AC4:AC19)+$F$31,0)</f>
        <v>114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11</v>
      </c>
      <c r="AI21" s="182">
        <f ca="1">IF(SUM(AH4:AH19)&gt;0,SUM(AI4:AI19)+$F$31,0)</f>
        <v>95</v>
      </c>
      <c r="AJ21" s="183"/>
      <c r="AK21" s="181">
        <f ca="1">RANK(AL21,$H34:$AO34,0)+AK52</f>
        <v>3</v>
      </c>
      <c r="AL21" s="182">
        <f ca="1">IF(SUM(AK4:AK19)&gt;0,SUM(AL4:AL19)+$F$31,0)</f>
        <v>109</v>
      </c>
      <c r="AM21" s="183"/>
      <c r="AN21" s="181">
        <f ca="1">RANK(AO21,$H34:$AO34,0)+AN52</f>
        <v>2</v>
      </c>
      <c r="AO21" s="184">
        <f ca="1">IF(SUM(AN4:AN19)&gt;0,SUM(AO4:AO19)+$F$31,0)</f>
        <v>112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["7","10","13","1","6","15","11","2","8","14","3","9","12","4","5","16"];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93.5</v>
      </c>
      <c r="I22" s="123"/>
      <c r="J22" s="121">
        <f ca="1">RANK(K35,($H35:$AO35),0)</f>
        <v>12</v>
      </c>
      <c r="K22" s="122">
        <f ca="1">IF($AR$3&lt;3,K23,K23/($AR$3-1))</f>
        <v>76.214285714285708</v>
      </c>
      <c r="L22" s="123"/>
      <c r="M22" s="121">
        <f ca="1">RANK(N35,($H35:$AO35),0)</f>
        <v>1</v>
      </c>
      <c r="N22" s="122">
        <f ca="1">IF($AR$3&lt;3,N23,N23/($AR$3-1))</f>
        <v>94.785714285714292</v>
      </c>
      <c r="O22" s="123"/>
      <c r="P22" s="121">
        <f ca="1">RANK(Q35,($H35:$AO35),0)</f>
        <v>2</v>
      </c>
      <c r="Q22" s="122">
        <f ca="1">IF($AR$3&lt;3,Q23,Q23/($AR$3-1))</f>
        <v>93.5</v>
      </c>
      <c r="R22" s="123"/>
      <c r="S22" s="121">
        <f ca="1">RANK(T35,($H35:$AO35),0)</f>
        <v>8</v>
      </c>
      <c r="T22" s="122">
        <f ca="1">IF($AR$3&lt;3,T23,T23/($AR$3-1))</f>
        <v>85.428571428571431</v>
      </c>
      <c r="U22" s="123"/>
      <c r="V22" s="121">
        <f ca="1">RANK(W35,($H35:$AO35),0)</f>
        <v>11</v>
      </c>
      <c r="W22" s="122">
        <f ca="1">IF($AR$3&lt;3,W23,W23/($AR$3-1))</f>
        <v>80.428571428571431</v>
      </c>
      <c r="X22" s="123"/>
      <c r="Y22" s="121">
        <f ca="1">RANK(Z35,($H35:$AO35),0)</f>
        <v>5</v>
      </c>
      <c r="Z22" s="122">
        <f ca="1">IF($AR$3&lt;3,Z23,Z23/($AR$3-1))</f>
        <v>92.142857142857139</v>
      </c>
      <c r="AA22" s="123"/>
      <c r="AB22" s="121">
        <f ca="1">RANK(AC35,($H35:$AO35),0)</f>
        <v>10</v>
      </c>
      <c r="AC22" s="122">
        <f ca="1">IF($AR$3&lt;3,AC23,AC23/($AR$3-1))</f>
        <v>83.571428571428569</v>
      </c>
      <c r="AD22" s="123"/>
      <c r="AE22" s="121">
        <f ca="1">RANK(AF35,($H35:$AO35),0)</f>
        <v>9</v>
      </c>
      <c r="AF22" s="122">
        <f ca="1">IF($AR$3&lt;3,AF23,AF23/($AR$3-1))</f>
        <v>83.857142857142861</v>
      </c>
      <c r="AG22" s="123"/>
      <c r="AH22" s="121">
        <f ca="1">RANK(AI35,($H35:$AO35),0)</f>
        <v>7</v>
      </c>
      <c r="AI22" s="122">
        <f ca="1">IF($AR$3&lt;3,AI23,AI23/($AR$3-1))</f>
        <v>87.071428571428569</v>
      </c>
      <c r="AJ22" s="123"/>
      <c r="AK22" s="121">
        <f ca="1">RANK(AL35,($H35:$AO35),0)</f>
        <v>4</v>
      </c>
      <c r="AL22" s="122">
        <f ca="1">IF($AR$3&lt;3,AL23,AL23/($AR$3-1))</f>
        <v>93.285714285714292</v>
      </c>
      <c r="AM22" s="123"/>
      <c r="AN22" s="121">
        <f ca="1">RANK(AO35,($H35:$AO35),0)</f>
        <v>6</v>
      </c>
      <c r="AO22" s="124">
        <f ca="1">IF($AR$3&lt;3,AO23,AO23/($AR$3-1))</f>
        <v>88.428571428571431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["1","6","14","10","3","16","13","2","8","5","15","11","7","12","9","4"];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1309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1327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1309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1170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1174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1219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1306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1238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["5","7","14","12","1","16","13","2","10","9","15","4","8","6","11","3"];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["4","7","14","12","1","15","13","2","10","9","16","6","11","5","8","3"];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["8","9","1","13","7","16","10","2","12","14","15","5","11","6","4","3"];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0.6473214285714286</v>
      </c>
      <c r="H26" s="139">
        <f ca="1">SUM('Season Summary'!F3:OFFSET('Season Summary'!F3,$C$2+$AR$2,0))</f>
        <v>145</v>
      </c>
      <c r="I26" s="140"/>
      <c r="J26" s="138">
        <f ca="1">IF($AR$3=0,0,K26/SUM('Season Summary'!$D3:OFFSET('Season Summary'!$D3,$C$2+$AR$2,0)))</f>
        <v>0.48660714285714285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0.6696428571428571</v>
      </c>
      <c r="N26" s="139">
        <f ca="1">SUM('Season Summary'!L3:OFFSET('Season Summary'!L3,$C$2+$AR$2,0))</f>
        <v>150</v>
      </c>
      <c r="O26" s="140"/>
      <c r="P26" s="138">
        <f ca="1">IF($AR$3=0,0,Q26/SUM('Season Summary'!$D3:OFFSET('Season Summary'!$D3,$C$2+$AR$2,0)))</f>
        <v>0.6294642857142857</v>
      </c>
      <c r="Q26" s="139">
        <f ca="1">SUM('Season Summary'!O3:OFFSET('Season Summary'!O3,$C$2+$AR$2,0))</f>
        <v>141</v>
      </c>
      <c r="R26" s="140"/>
      <c r="S26" s="138">
        <f ca="1">IF($AR$3=0,0,T26/SUM('Season Summary'!$D3:OFFSET('Season Summary'!$D3,$C$2+$AR$2,0)))</f>
        <v>0.6160714285714286</v>
      </c>
      <c r="T26" s="139">
        <f ca="1">SUM('Season Summary'!R3:OFFSET('Season Summary'!R3,$C$2+$AR$2,0))</f>
        <v>138</v>
      </c>
      <c r="U26" s="140"/>
      <c r="V26" s="138">
        <f ca="1">IF($AR$3=0,0,W26/SUM('Season Summary'!$D3:OFFSET('Season Summary'!$D3,$C$2+$AR$2,0)))</f>
        <v>0.5401785714285714</v>
      </c>
      <c r="W26" s="139">
        <f ca="1">SUM('Season Summary'!U3:OFFSET('Season Summary'!U3,$C$2+$AR$2,0))</f>
        <v>121</v>
      </c>
      <c r="X26" s="140"/>
      <c r="Y26" s="138">
        <f ca="1">IF($AR$3=0,0,Z26/SUM('Season Summary'!$D3:OFFSET('Season Summary'!$D3,$C$2+$AR$2,0)))</f>
        <v>0.6205357142857143</v>
      </c>
      <c r="Z26" s="139">
        <f ca="1">SUM('Season Summary'!X3:OFFSET('Season Summary'!X3,$C$2+$AR$2,0))</f>
        <v>139</v>
      </c>
      <c r="AA26" s="140"/>
      <c r="AB26" s="138">
        <f ca="1">IF($AR$3=0,0,AC26/SUM('Season Summary'!$D3:OFFSET('Season Summary'!$D3,$C$2+$AR$2,0)))</f>
        <v>0.5535714285714286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0.5446428571428571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0.5669642857142857</v>
      </c>
      <c r="AI26" s="139">
        <f ca="1">SUM('Season Summary'!AG3:OFFSET('Season Summary'!AG3,$C$2+$AR$2,0))</f>
        <v>127</v>
      </c>
      <c r="AJ26" s="140"/>
      <c r="AK26" s="138">
        <f ca="1">IF($AR$3=0,0,AL26/SUM('Season Summary'!$D3:OFFSET('Season Summary'!$D3,$C$2+$AR$2,0)))</f>
        <v>0.6383928571428571</v>
      </c>
      <c r="AL26" s="139">
        <f ca="1">SUM('Season Summary'!AJ3:OFFSET('Season Summary'!AJ3,$C$2+$AR$2,0))</f>
        <v>143</v>
      </c>
      <c r="AM26" s="140"/>
      <c r="AN26" s="138">
        <f ca="1">IF($AR$3=0,0,AO26/SUM('Season Summary'!$D3:OFFSET('Season Summary'!$D3,$C$2+$AR$2,0)))</f>
        <v>0.59375</v>
      </c>
      <c r="AO26" s="141">
        <f ca="1">SUM('Season Summary'!AM3:OFFSET('Season Summary'!AM3,$C$2+$AR$2,0))</f>
        <v>133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["8","9","15","12","3","16","13","2","11","6","14","4","5","7","10","1"];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["11","8","15","7","5","16","14","6","2","12","13","1","10","9","3","4"];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["H","V","H","H","V","V","H","H","H","V","V","H","H","H","H","H"];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["39","38","43","42","42","38","41","42","43","49","42","42"];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97</v>
      </c>
      <c r="N34" s="4">
        <f t="shared" ref="N34:N39" ca="1" si="26">N21</f>
        <v>109</v>
      </c>
      <c r="Q34" s="4">
        <f t="shared" ref="Q34:Q39" ca="1" si="27">Q21</f>
        <v>105</v>
      </c>
      <c r="T34" s="4">
        <f t="shared" ref="T34:T39" ca="1" si="28">T21</f>
        <v>101</v>
      </c>
      <c r="W34" s="4">
        <f t="shared" ref="W34:W39" ca="1" si="29">W21</f>
        <v>95</v>
      </c>
      <c r="Z34" s="4">
        <f t="shared" ref="Z34:Z39" ca="1" si="30">Z21</f>
        <v>107</v>
      </c>
      <c r="AC34" s="4">
        <f t="shared" ref="AC34:AC39" ca="1" si="31">AC21</f>
        <v>114</v>
      </c>
      <c r="AF34" s="4">
        <f t="shared" ref="AF34:AF39" ca="1" si="32">AF21</f>
        <v>104</v>
      </c>
      <c r="AI34" s="4">
        <f t="shared" ref="AI34:AI39" ca="1" si="33">AI21</f>
        <v>95</v>
      </c>
      <c r="AL34" s="4">
        <f t="shared" ref="AL34:AL39" ca="1" si="34">AL21</f>
        <v>109</v>
      </c>
      <c r="AO34" s="4">
        <f t="shared" ref="AO34:AO39" ca="1" si="35">AO21</f>
        <v>112</v>
      </c>
      <c r="AP34" s="147"/>
      <c r="AV34" s="4">
        <f ca="1">AV21</f>
        <v>107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93.5</v>
      </c>
      <c r="I35" s="147"/>
      <c r="J35" s="147"/>
      <c r="K35" s="302">
        <f t="shared" ca="1" si="25"/>
        <v>76.214285714285708</v>
      </c>
      <c r="L35" s="147"/>
      <c r="M35" s="147"/>
      <c r="N35" s="302">
        <f t="shared" ca="1" si="26"/>
        <v>94.785714285714292</v>
      </c>
      <c r="Q35" s="302">
        <f t="shared" ca="1" si="27"/>
        <v>93.5</v>
      </c>
      <c r="T35" s="302">
        <f t="shared" ca="1" si="28"/>
        <v>85.428571428571431</v>
      </c>
      <c r="W35" s="302">
        <f t="shared" ca="1" si="29"/>
        <v>80.428571428571431</v>
      </c>
      <c r="Z35" s="302">
        <f t="shared" ca="1" si="30"/>
        <v>92.142857142857139</v>
      </c>
      <c r="AC35" s="302">
        <f t="shared" ca="1" si="31"/>
        <v>83.571428571428569</v>
      </c>
      <c r="AF35" s="302">
        <f t="shared" ca="1" si="32"/>
        <v>83.857142857142861</v>
      </c>
      <c r="AI35" s="302">
        <f t="shared" ca="1" si="33"/>
        <v>87.071428571428569</v>
      </c>
      <c r="AL35" s="302">
        <f t="shared" ca="1" si="34"/>
        <v>93.285714285714292</v>
      </c>
      <c r="AO35" s="302">
        <f t="shared" ca="1" si="35"/>
        <v>88.428571428571431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1309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1327</v>
      </c>
      <c r="Q36" s="302">
        <f t="shared" ca="1" si="27"/>
        <v>1309</v>
      </c>
      <c r="T36" s="302">
        <f t="shared" ca="1" si="28"/>
        <v>1196</v>
      </c>
      <c r="W36" s="302">
        <f t="shared" ca="1" si="29"/>
        <v>1126</v>
      </c>
      <c r="Z36" s="302">
        <f t="shared" ca="1" si="30"/>
        <v>1290</v>
      </c>
      <c r="AC36" s="302">
        <f t="shared" ca="1" si="31"/>
        <v>1170</v>
      </c>
      <c r="AF36" s="302">
        <f t="shared" ca="1" si="32"/>
        <v>1174</v>
      </c>
      <c r="AI36" s="302">
        <f t="shared" ca="1" si="33"/>
        <v>1219</v>
      </c>
      <c r="AL36" s="302">
        <f t="shared" ca="1" si="34"/>
        <v>1306</v>
      </c>
      <c r="AO36" s="302">
        <f t="shared" ca="1" si="35"/>
        <v>1238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11</v>
      </c>
      <c r="W38" s="302">
        <f t="shared" si="29"/>
        <v>11</v>
      </c>
      <c r="Z38" s="302">
        <f t="shared" si="30"/>
        <v>11</v>
      </c>
      <c r="AC38" s="302">
        <f t="shared" si="31"/>
        <v>12</v>
      </c>
      <c r="AF38" s="302">
        <f t="shared" si="32"/>
        <v>10</v>
      </c>
      <c r="AI38" s="302">
        <f t="shared" si="33"/>
        <v>9</v>
      </c>
      <c r="AL38" s="302">
        <f t="shared" si="34"/>
        <v>12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145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150</v>
      </c>
      <c r="Q39" s="302">
        <f t="shared" ca="1" si="27"/>
        <v>141</v>
      </c>
      <c r="T39" s="302">
        <f t="shared" ca="1" si="28"/>
        <v>138</v>
      </c>
      <c r="W39" s="302">
        <f t="shared" ca="1" si="29"/>
        <v>121</v>
      </c>
      <c r="Z39" s="302">
        <f t="shared" ca="1" si="30"/>
        <v>139</v>
      </c>
      <c r="AC39" s="302">
        <f t="shared" ca="1" si="31"/>
        <v>124</v>
      </c>
      <c r="AF39" s="302">
        <f t="shared" ca="1" si="32"/>
        <v>122</v>
      </c>
      <c r="AI39" s="302">
        <f t="shared" ca="1" si="33"/>
        <v>127</v>
      </c>
      <c r="AL39" s="302">
        <f t="shared" ca="1" si="34"/>
        <v>143</v>
      </c>
      <c r="AO39" s="302">
        <f t="shared" ca="1" si="35"/>
        <v>133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4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0.6875</v>
      </c>
      <c r="V41" s="301">
        <f ca="1">V25</f>
        <v>0.6875</v>
      </c>
      <c r="Y41" s="301">
        <f ca="1">Y25</f>
        <v>0.6875</v>
      </c>
      <c r="AB41" s="301">
        <f ca="1">AB25</f>
        <v>0.75</v>
      </c>
      <c r="AE41" s="301">
        <f ca="1">AE25</f>
        <v>0.625</v>
      </c>
      <c r="AH41" s="301">
        <f ca="1">AH25</f>
        <v>0.5625</v>
      </c>
      <c r="AK41" s="301">
        <f ca="1">AK25</f>
        <v>0.75</v>
      </c>
      <c r="AN41" s="301">
        <f ca="1">AN25</f>
        <v>0.75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0.6473214285714286</v>
      </c>
      <c r="H42" s="147"/>
      <c r="I42" s="147"/>
      <c r="J42" s="301">
        <f ca="1">J26</f>
        <v>0.48660714285714285</v>
      </c>
      <c r="K42" s="147"/>
      <c r="L42" s="147"/>
      <c r="M42" s="301">
        <f ca="1">M26</f>
        <v>0.6696428571428571</v>
      </c>
      <c r="P42" s="301">
        <f ca="1">P26</f>
        <v>0.6294642857142857</v>
      </c>
      <c r="S42" s="301">
        <f ca="1">S26</f>
        <v>0.6160714285714286</v>
      </c>
      <c r="V42" s="301">
        <f ca="1">V26</f>
        <v>0.5401785714285714</v>
      </c>
      <c r="Y42" s="301">
        <f ca="1">Y26</f>
        <v>0.6205357142857143</v>
      </c>
      <c r="AB42" s="301">
        <f ca="1">AB26</f>
        <v>0.5535714285714286</v>
      </c>
      <c r="AE42" s="301">
        <f ca="1">AE26</f>
        <v>0.5446428571428571</v>
      </c>
      <c r="AH42" s="301">
        <f ca="1">AH26</f>
        <v>0.5669642857142857</v>
      </c>
      <c r="AK42" s="301">
        <f ca="1">AK26</f>
        <v>0.6383928571428571</v>
      </c>
      <c r="AN42" s="301">
        <f ca="1">AN26</f>
        <v>0.59375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8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9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94.533333333333331</v>
      </c>
      <c r="BL4" s="64">
        <f ca="1">$N$23</f>
        <v>1418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45</v>
      </c>
      <c r="BQ4" s="43">
        <f ca="1">-$AR$3*'Season Summary'!$AO$3</f>
        <v>-48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["H","V","V","H","V","V","V","H","V","V","H","V","H","H","H","H"];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99" t="s">
        <v>38</v>
      </c>
      <c r="F5" s="200" t="s">
        <v>39</v>
      </c>
      <c r="G5" s="174">
        <v>4</v>
      </c>
      <c r="H5" s="171">
        <f>IF(G5&gt;0,IF(ISTEXT($E5),IF($E5&lt;&gt;F5,G5-2*G5,""),""),"")</f>
        <v>-4</v>
      </c>
      <c r="I5" s="202"/>
      <c r="J5" s="174"/>
      <c r="K5" s="171" t="str">
        <f>IF(J5&gt;0,IF(ISTEXT($E5),IF($E5&lt;&gt;I5,J5-2*J5,""),""),"")</f>
        <v/>
      </c>
      <c r="L5" s="202" t="s">
        <v>39</v>
      </c>
      <c r="M5" s="174">
        <v>4</v>
      </c>
      <c r="N5" s="171">
        <f>IF(M5&gt;0,IF(ISTEXT($E5),IF($E5&lt;&gt;L5,M5-2*M5,""),""),"")</f>
        <v>-4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16</v>
      </c>
      <c r="W5" s="171" t="str">
        <f>IF(V5&gt;0,IF(ISTEXT($E5),IF($E5&lt;&gt;U5,V5-2*V5,""),""),"")</f>
        <v/>
      </c>
      <c r="X5" s="202" t="s">
        <v>39</v>
      </c>
      <c r="Y5" s="174">
        <v>12</v>
      </c>
      <c r="Z5" s="171">
        <f>IF(Y5&gt;0,IF(ISTEXT($E5),IF($E5&lt;&gt;X5,Y5-2*Y5,""),""),"")</f>
        <v>-12</v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4</v>
      </c>
      <c r="AF5" s="171">
        <f>IF(AE5&gt;0,IF(ISTEXT($E5),IF($E5&lt;&gt;AD5,AE5-2*AE5,""),""),"")</f>
        <v>-4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$S$21</f>
        <v>2</v>
      </c>
      <c r="BF5" s="71" t="str">
        <f>$R$2</f>
        <v>DH</v>
      </c>
      <c r="BG5" s="72">
        <f ca="1">$T$21</f>
        <v>97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93.466666666666669</v>
      </c>
      <c r="BL5" s="66">
        <f ca="1">$H$23</f>
        <v>1402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39</v>
      </c>
      <c r="M6" s="174">
        <v>16</v>
      </c>
      <c r="N6" s="171" t="str">
        <f t="shared" si="1"/>
        <v/>
      </c>
      <c r="O6" s="202" t="s">
        <v>39</v>
      </c>
      <c r="P6" s="174">
        <v>15</v>
      </c>
      <c r="Q6" s="171" t="str">
        <f t="shared" si="2"/>
        <v/>
      </c>
      <c r="R6" s="202" t="s">
        <v>39</v>
      </c>
      <c r="S6" s="174">
        <v>10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15</v>
      </c>
      <c r="Z6" s="171" t="str">
        <f t="shared" si="5"/>
        <v/>
      </c>
      <c r="AA6" s="202" t="s">
        <v>39</v>
      </c>
      <c r="AB6" s="174">
        <v>12</v>
      </c>
      <c r="AC6" s="171" t="str">
        <f t="shared" si="6"/>
        <v/>
      </c>
      <c r="AD6" s="202" t="s">
        <v>39</v>
      </c>
      <c r="AE6" s="174">
        <v>15</v>
      </c>
      <c r="AF6" s="171" t="str">
        <f t="shared" si="7"/>
        <v/>
      </c>
      <c r="AG6" s="202" t="s">
        <v>39</v>
      </c>
      <c r="AH6" s="174">
        <v>16</v>
      </c>
      <c r="AI6" s="171" t="str">
        <f t="shared" si="8"/>
        <v/>
      </c>
      <c r="AJ6" s="202" t="s">
        <v>39</v>
      </c>
      <c r="AK6" s="174">
        <v>16</v>
      </c>
      <c r="AL6" s="171" t="str">
        <f t="shared" si="9"/>
        <v/>
      </c>
      <c r="AM6" s="202" t="s">
        <v>39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V</v>
      </c>
      <c r="AU6" s="174">
        <f t="shared" ca="1" si="12"/>
        <v>15</v>
      </c>
      <c r="AV6" s="173" t="str">
        <f t="shared" ca="1" si="13"/>
        <v/>
      </c>
      <c r="AX6" s="4">
        <f t="shared" si="14"/>
        <v>-157</v>
      </c>
      <c r="AY6" s="4">
        <f t="shared" ca="1" si="22"/>
        <v>157</v>
      </c>
      <c r="AZ6" s="4">
        <f t="shared" ca="1" si="15"/>
        <v>157</v>
      </c>
      <c r="BA6" s="4">
        <f t="shared" ca="1" si="16"/>
        <v>157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93</v>
      </c>
      <c r="BH6" s="145"/>
      <c r="BI6" s="36">
        <f t="shared" ca="1" si="17"/>
        <v>3</v>
      </c>
      <c r="BJ6" s="56" t="str">
        <f>$AJ$2</f>
        <v>RR</v>
      </c>
      <c r="BK6" s="65">
        <f ca="1">$AL$22</f>
        <v>93.266666666666666</v>
      </c>
      <c r="BL6" s="66">
        <f ca="1">$AL$23</f>
        <v>1399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48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["H","V","V","V","V","V","V","H","V","H","H","H","H","H","H","H"];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2</v>
      </c>
      <c r="N7" s="171">
        <f t="shared" si="1"/>
        <v>-2</v>
      </c>
      <c r="O7" s="202" t="s">
        <v>38</v>
      </c>
      <c r="P7" s="174">
        <v>1</v>
      </c>
      <c r="Q7" s="171" t="str">
        <f t="shared" si="2"/>
        <v/>
      </c>
      <c r="R7" s="202" t="s">
        <v>39</v>
      </c>
      <c r="S7" s="174">
        <v>4</v>
      </c>
      <c r="T7" s="171">
        <f t="shared" si="3"/>
        <v>-4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1</v>
      </c>
      <c r="Z7" s="171">
        <f t="shared" si="5"/>
        <v>-1</v>
      </c>
      <c r="AA7" s="202" t="s">
        <v>38</v>
      </c>
      <c r="AB7" s="174">
        <v>2</v>
      </c>
      <c r="AC7" s="171" t="str">
        <f t="shared" si="6"/>
        <v/>
      </c>
      <c r="AD7" s="202" t="s">
        <v>39</v>
      </c>
      <c r="AE7" s="174">
        <v>1</v>
      </c>
      <c r="AF7" s="171">
        <f t="shared" si="7"/>
        <v>-1</v>
      </c>
      <c r="AG7" s="202" t="s">
        <v>39</v>
      </c>
      <c r="AH7" s="174">
        <v>7</v>
      </c>
      <c r="AI7" s="171">
        <f t="shared" si="8"/>
        <v>-7</v>
      </c>
      <c r="AJ7" s="202" t="s">
        <v>38</v>
      </c>
      <c r="AK7" s="174">
        <v>1</v>
      </c>
      <c r="AL7" s="171" t="str">
        <f t="shared" si="9"/>
        <v/>
      </c>
      <c r="AM7" s="202" t="s">
        <v>39</v>
      </c>
      <c r="AN7" s="174">
        <v>4</v>
      </c>
      <c r="AO7" s="173">
        <f t="shared" si="10"/>
        <v>-4</v>
      </c>
      <c r="AS7" s="289" t="str">
        <f ca="1">"week_"&amp;$AS$6&amp;"_schedule"</f>
        <v>week_16_schedule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-12</v>
      </c>
      <c r="AY7" s="4">
        <f t="shared" ca="1" si="22"/>
        <v>12</v>
      </c>
      <c r="AZ7" s="4">
        <f t="shared" ca="1" si="15"/>
        <v>12</v>
      </c>
      <c r="BA7" s="4">
        <f t="shared" ca="1" si="16"/>
        <v>12</v>
      </c>
      <c r="BB7" s="4">
        <v>4</v>
      </c>
      <c r="BC7" s="4">
        <f ca="1">COUNTIF($AY$4:OFFSET($AY$4,0,0,BB7,1),AY7)</f>
        <v>1</v>
      </c>
      <c r="BE7" s="33">
        <f ca="1">$V$21</f>
        <v>3</v>
      </c>
      <c r="BF7" s="71" t="str">
        <f>$U$2</f>
        <v>JG</v>
      </c>
      <c r="BG7" s="72">
        <f ca="1">$W$21</f>
        <v>93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92.8</v>
      </c>
      <c r="BL7" s="66">
        <f ca="1">$Q$23</f>
        <v>1392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["H","V","V","H","V","V","V","H","V","H","V","H","H","H","H","H"];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99" t="s">
        <v>39</v>
      </c>
      <c r="F8" s="200" t="s">
        <v>39</v>
      </c>
      <c r="G8" s="174">
        <v>13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39</v>
      </c>
      <c r="S8" s="174">
        <v>16</v>
      </c>
      <c r="T8" s="171" t="str">
        <f t="shared" si="3"/>
        <v/>
      </c>
      <c r="U8" s="202" t="s">
        <v>39</v>
      </c>
      <c r="V8" s="174">
        <v>11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 t="s">
        <v>39</v>
      </c>
      <c r="AB8" s="174">
        <v>11</v>
      </c>
      <c r="AC8" s="171" t="str">
        <f t="shared" si="6"/>
        <v/>
      </c>
      <c r="AD8" s="202" t="s">
        <v>39</v>
      </c>
      <c r="AE8" s="174">
        <v>11</v>
      </c>
      <c r="AF8" s="171" t="str">
        <f t="shared" si="7"/>
        <v/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V</v>
      </c>
      <c r="AU8" s="174">
        <f t="shared" ca="1" si="12"/>
        <v>13</v>
      </c>
      <c r="AV8" s="173" t="str">
        <f t="shared" ca="1" si="13"/>
        <v/>
      </c>
      <c r="AX8" s="4">
        <f t="shared" si="14"/>
        <v>-134</v>
      </c>
      <c r="AY8" s="4">
        <f t="shared" ca="1" si="22"/>
        <v>134</v>
      </c>
      <c r="AZ8" s="4">
        <f t="shared" ca="1" si="15"/>
        <v>134</v>
      </c>
      <c r="BA8" s="4">
        <f t="shared" ca="1" si="16"/>
        <v>134</v>
      </c>
      <c r="BB8" s="4">
        <v>5</v>
      </c>
      <c r="BC8" s="4">
        <f ca="1">COUNTIF($AY$4:OFFSET($AY$4,0,0,BB8,1),AY8)</f>
        <v>1</v>
      </c>
      <c r="BE8" s="33">
        <f ca="1">$AK$21</f>
        <v>3</v>
      </c>
      <c r="BF8" s="71" t="str">
        <f>$AJ$2</f>
        <v>RR</v>
      </c>
      <c r="BG8" s="72">
        <f ca="1">$AL$21</f>
        <v>93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91.733333333333334</v>
      </c>
      <c r="BL8" s="66">
        <f ca="1">$Z$23</f>
        <v>1376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Summary'!N$3:OFFSET('Season Summary'!N$3,$C$2+$AR$2,0),"=1")&gt;0,COUNTIF('Season Summary'!N$3:OFFSET('Season Summary'!N$3,$C$2+$AR$2,0),"=1"),"")</f>
        <v>2</v>
      </c>
      <c r="BS8" s="52">
        <f ca="1">IF(BR8="","",BR8*'Season Summary'!$AO$6)</f>
        <v>62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["H","V","V","V","V","V","V","H","V","H","V","H","H","H","H","H"];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39</v>
      </c>
      <c r="S9" s="174">
        <v>3</v>
      </c>
      <c r="T9" s="171" t="str">
        <f t="shared" si="3"/>
        <v/>
      </c>
      <c r="U9" s="202" t="s">
        <v>38</v>
      </c>
      <c r="V9" s="174">
        <v>5</v>
      </c>
      <c r="W9" s="171">
        <f t="shared" si="4"/>
        <v>-5</v>
      </c>
      <c r="X9" s="202" t="s">
        <v>39</v>
      </c>
      <c r="Y9" s="174">
        <v>5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7</v>
      </c>
      <c r="AF9" s="171" t="str">
        <f t="shared" si="7"/>
        <v/>
      </c>
      <c r="AG9" s="202" t="s">
        <v>38</v>
      </c>
      <c r="AH9" s="174">
        <v>8</v>
      </c>
      <c r="AI9" s="171">
        <f t="shared" si="8"/>
        <v>-8</v>
      </c>
      <c r="AJ9" s="202" t="s">
        <v>39</v>
      </c>
      <c r="AK9" s="174">
        <v>5</v>
      </c>
      <c r="AL9" s="171" t="str">
        <f t="shared" si="9"/>
        <v/>
      </c>
      <c r="AM9" s="202" t="s">
        <v>39</v>
      </c>
      <c r="AN9" s="174">
        <v>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 t="str">
        <f t="shared" ca="1" si="13"/>
        <v/>
      </c>
      <c r="AX9" s="4">
        <f t="shared" si="14"/>
        <v>-38</v>
      </c>
      <c r="AY9" s="4">
        <f t="shared" ca="1" si="22"/>
        <v>38</v>
      </c>
      <c r="AZ9" s="4">
        <f t="shared" ca="1" si="15"/>
        <v>38</v>
      </c>
      <c r="BA9" s="4">
        <f t="shared" ca="1" si="16"/>
        <v>38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91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89.266666666666666</v>
      </c>
      <c r="BL9" s="66">
        <f ca="1">$AO$23</f>
        <v>1339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32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["H","H","V","H","V","H","V","H","V","V","V","H","H","H","H","H"];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39</v>
      </c>
      <c r="M10" s="174">
        <v>8</v>
      </c>
      <c r="N10" s="171" t="str">
        <f t="shared" si="1"/>
        <v/>
      </c>
      <c r="O10" s="202" t="s">
        <v>39</v>
      </c>
      <c r="P10" s="174">
        <v>6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39</v>
      </c>
      <c r="AB10" s="174">
        <v>8</v>
      </c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39</v>
      </c>
      <c r="AH10" s="174">
        <v>6</v>
      </c>
      <c r="AI10" s="171" t="str">
        <f t="shared" si="8"/>
        <v/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6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 t="str">
        <f t="shared" ca="1" si="13"/>
        <v/>
      </c>
      <c r="AX10" s="4">
        <f t="shared" si="14"/>
        <v>-87</v>
      </c>
      <c r="AY10" s="4">
        <f t="shared" ca="1" si="22"/>
        <v>87</v>
      </c>
      <c r="AZ10" s="4">
        <f t="shared" ca="1" si="15"/>
        <v>87</v>
      </c>
      <c r="BA10" s="4">
        <f t="shared" ca="1" si="16"/>
        <v>87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89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86.86666666666666</v>
      </c>
      <c r="BL10" s="66">
        <f ca="1">$AI$23</f>
        <v>1303</v>
      </c>
      <c r="BM10" s="142"/>
      <c r="BN10" s="36">
        <f t="shared" ca="1" si="18"/>
        <v>7</v>
      </c>
      <c r="BO10" s="56" t="str">
        <f>$U$2</f>
        <v>JG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Summary'!T$3:OFFSET('Season Summary'!T$3,$C$2+$AR$2,0),"=1")&gt;0,COUNTIF('Season Summary'!T$3:OFFSET('Season Summary'!T$3,$C$2+$AR$2,0),"=1"),"")</f>
        <v>1</v>
      </c>
      <c r="BS10" s="52">
        <f ca="1">IF(BR10="","",BR10*'Season Summary'!$AO$6)</f>
        <v>31</v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["H","V","V","V","V","V","V","V","V","H","H","H","H","H","H","H"];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5</v>
      </c>
      <c r="H11" s="171" t="str">
        <f t="shared" si="23"/>
        <v/>
      </c>
      <c r="I11" s="202"/>
      <c r="J11" s="174"/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 t="s">
        <v>38</v>
      </c>
      <c r="S11" s="174">
        <v>8</v>
      </c>
      <c r="T11" s="171" t="str">
        <f t="shared" si="3"/>
        <v/>
      </c>
      <c r="U11" s="202" t="s">
        <v>38</v>
      </c>
      <c r="V11" s="174">
        <v>7</v>
      </c>
      <c r="W11" s="171" t="str">
        <f t="shared" si="4"/>
        <v/>
      </c>
      <c r="X11" s="202" t="s">
        <v>39</v>
      </c>
      <c r="Y11" s="174">
        <v>2</v>
      </c>
      <c r="Z11" s="171">
        <f t="shared" si="5"/>
        <v>-2</v>
      </c>
      <c r="AA11" s="202" t="s">
        <v>38</v>
      </c>
      <c r="AB11" s="174">
        <v>7</v>
      </c>
      <c r="AC11" s="171" t="str">
        <f t="shared" si="6"/>
        <v/>
      </c>
      <c r="AD11" s="202" t="s">
        <v>39</v>
      </c>
      <c r="AE11" s="174">
        <v>5</v>
      </c>
      <c r="AF11" s="171">
        <f t="shared" si="7"/>
        <v>-5</v>
      </c>
      <c r="AG11" s="202" t="s">
        <v>38</v>
      </c>
      <c r="AH11" s="174">
        <v>3</v>
      </c>
      <c r="AI11" s="171" t="str">
        <f t="shared" si="8"/>
        <v/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 t="str">
        <f t="shared" ca="1" si="13"/>
        <v/>
      </c>
      <c r="AX11" s="4">
        <f t="shared" si="14"/>
        <v>53</v>
      </c>
      <c r="AY11" s="4">
        <f t="shared" ca="1" si="22"/>
        <v>53</v>
      </c>
      <c r="AZ11" s="4">
        <f t="shared" ca="1" si="15"/>
        <v>53</v>
      </c>
      <c r="BA11" s="4">
        <f t="shared" ca="1" si="16"/>
        <v>53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86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86.2</v>
      </c>
      <c r="BL11" s="66">
        <f ca="1">$T$23</f>
        <v>1293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["H","V","V","H","V","V","V","H","V","H","H","H","H","H","H","H"];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39</v>
      </c>
      <c r="P12" s="174">
        <v>5</v>
      </c>
      <c r="Q12" s="171" t="str">
        <f t="shared" si="2"/>
        <v/>
      </c>
      <c r="R12" s="202" t="s">
        <v>39</v>
      </c>
      <c r="S12" s="174">
        <v>9</v>
      </c>
      <c r="T12" s="171" t="str">
        <f t="shared" si="3"/>
        <v/>
      </c>
      <c r="U12" s="202" t="s">
        <v>39</v>
      </c>
      <c r="V12" s="174">
        <v>6</v>
      </c>
      <c r="W12" s="171" t="str">
        <f t="shared" si="4"/>
        <v/>
      </c>
      <c r="X12" s="202" t="s">
        <v>39</v>
      </c>
      <c r="Y12" s="174">
        <v>6</v>
      </c>
      <c r="Z12" s="171" t="str">
        <f t="shared" si="5"/>
        <v/>
      </c>
      <c r="AA12" s="202" t="s">
        <v>39</v>
      </c>
      <c r="AB12" s="174">
        <v>6</v>
      </c>
      <c r="AC12" s="171" t="str">
        <f t="shared" si="6"/>
        <v/>
      </c>
      <c r="AD12" s="202" t="s">
        <v>38</v>
      </c>
      <c r="AE12" s="174">
        <v>6</v>
      </c>
      <c r="AF12" s="171">
        <f t="shared" si="7"/>
        <v>-6</v>
      </c>
      <c r="AG12" s="202" t="s">
        <v>39</v>
      </c>
      <c r="AH12" s="174">
        <v>5</v>
      </c>
      <c r="AI12" s="171" t="str">
        <f t="shared" si="8"/>
        <v/>
      </c>
      <c r="AJ12" s="202" t="s">
        <v>39</v>
      </c>
      <c r="AK12" s="174">
        <v>6</v>
      </c>
      <c r="AL12" s="171" t="str">
        <f t="shared" si="9"/>
        <v/>
      </c>
      <c r="AM12" s="202" t="s">
        <v>39</v>
      </c>
      <c r="AN12" s="174">
        <v>8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7</v>
      </c>
      <c r="AV12" s="173" t="str">
        <f t="shared" ca="1" si="13"/>
        <v/>
      </c>
      <c r="AX12" s="4">
        <f t="shared" si="14"/>
        <v>-61</v>
      </c>
      <c r="AY12" s="4">
        <f t="shared" ca="1" si="22"/>
        <v>61</v>
      </c>
      <c r="AZ12" s="4">
        <f t="shared" ca="1" si="15"/>
        <v>61</v>
      </c>
      <c r="BA12" s="4">
        <f t="shared" ca="1" si="16"/>
        <v>61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84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83.933333333333337</v>
      </c>
      <c r="BL12" s="66">
        <f ca="1">$AC$23</f>
        <v>1259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["H","V","V","V","V","V","V","V","H","V","H","H","H","H","H","H"];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39</v>
      </c>
      <c r="G13" s="174">
        <v>3</v>
      </c>
      <c r="H13" s="171">
        <f t="shared" si="23"/>
        <v>-3</v>
      </c>
      <c r="I13" s="202"/>
      <c r="J13" s="174"/>
      <c r="K13" s="171" t="str">
        <f t="shared" si="0"/>
        <v/>
      </c>
      <c r="L13" s="202" t="s">
        <v>38</v>
      </c>
      <c r="M13" s="174">
        <v>1</v>
      </c>
      <c r="N13" s="171" t="str">
        <f t="shared" si="1"/>
        <v/>
      </c>
      <c r="O13" s="202" t="s">
        <v>38</v>
      </c>
      <c r="P13" s="174">
        <v>2</v>
      </c>
      <c r="Q13" s="171" t="str">
        <f t="shared" si="2"/>
        <v/>
      </c>
      <c r="R13" s="202" t="s">
        <v>38</v>
      </c>
      <c r="S13" s="174">
        <v>7</v>
      </c>
      <c r="T13" s="171" t="str">
        <f t="shared" si="3"/>
        <v/>
      </c>
      <c r="U13" s="202" t="s">
        <v>39</v>
      </c>
      <c r="V13" s="174">
        <v>10</v>
      </c>
      <c r="W13" s="171">
        <f t="shared" si="4"/>
        <v>-10</v>
      </c>
      <c r="X13" s="202" t="s">
        <v>38</v>
      </c>
      <c r="Y13" s="174">
        <v>3</v>
      </c>
      <c r="Z13" s="171" t="str">
        <f t="shared" si="5"/>
        <v/>
      </c>
      <c r="AA13" s="202" t="s">
        <v>38</v>
      </c>
      <c r="AB13" s="174">
        <v>1</v>
      </c>
      <c r="AC13" s="171" t="str">
        <f t="shared" si="6"/>
        <v/>
      </c>
      <c r="AD13" s="202" t="s">
        <v>39</v>
      </c>
      <c r="AE13" s="174">
        <v>2</v>
      </c>
      <c r="AF13" s="171">
        <f t="shared" si="7"/>
        <v>-2</v>
      </c>
      <c r="AG13" s="202" t="s">
        <v>38</v>
      </c>
      <c r="AH13" s="174">
        <v>4</v>
      </c>
      <c r="AI13" s="171" t="str">
        <f t="shared" si="8"/>
        <v/>
      </c>
      <c r="AJ13" s="202" t="s">
        <v>38</v>
      </c>
      <c r="AK13" s="174">
        <v>2</v>
      </c>
      <c r="AL13" s="171" t="str">
        <f t="shared" si="9"/>
        <v/>
      </c>
      <c r="AM13" s="202" t="s">
        <v>38</v>
      </c>
      <c r="AN13" s="174">
        <v>9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2</v>
      </c>
      <c r="AV13" s="173" t="str">
        <f t="shared" ca="1" si="13"/>
        <v/>
      </c>
      <c r="AX13" s="4">
        <f t="shared" si="14"/>
        <v>14</v>
      </c>
      <c r="AY13" s="4">
        <f t="shared" ca="1" si="22"/>
        <v>14</v>
      </c>
      <c r="AZ13" s="4">
        <f t="shared" ca="1" si="15"/>
        <v>14</v>
      </c>
      <c r="BA13" s="4">
        <f t="shared" ca="1" si="16"/>
        <v>14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83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83.4</v>
      </c>
      <c r="BL13" s="66">
        <f ca="1">$AF$23</f>
        <v>1251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["H","V","V","V","V","H","V","H","V","H","H","V","H","H","H","H"];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99" t="s">
        <v>38</v>
      </c>
      <c r="F14" s="200" t="s">
        <v>38</v>
      </c>
      <c r="G14" s="174">
        <v>9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>
        <f t="shared" si="2"/>
        <v>-10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4</v>
      </c>
      <c r="W14" s="171">
        <f t="shared" si="4"/>
        <v>-4</v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12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61</v>
      </c>
      <c r="AY14" s="4">
        <f t="shared" ca="1" si="22"/>
        <v>61</v>
      </c>
      <c r="AZ14" s="4">
        <f t="shared" ca="1" si="15"/>
        <v>61.1</v>
      </c>
      <c r="BA14" s="4">
        <f t="shared" ca="1" si="16"/>
        <v>61.1</v>
      </c>
      <c r="BB14" s="4">
        <v>11</v>
      </c>
      <c r="BC14" s="4">
        <f ca="1">COUNTIF($AY$4:OFFSET($AY$4,0,0,BB14,1),AY14)</f>
        <v>2</v>
      </c>
      <c r="BE14" s="33">
        <f ca="1">$AE$21</f>
        <v>11</v>
      </c>
      <c r="BF14" s="71" t="str">
        <f>$AD$2</f>
        <v>KK</v>
      </c>
      <c r="BG14" s="72">
        <f ca="1">$AF$21</f>
        <v>77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81.266666666666666</v>
      </c>
      <c r="BL14" s="66">
        <f ca="1">$W$23</f>
        <v>1219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["H","V","V","H","V","V","V","H","V","H","H","H","H","H","H","H"];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99" t="s">
        <v>38</v>
      </c>
      <c r="F15" s="200" t="s">
        <v>39</v>
      </c>
      <c r="G15" s="174">
        <v>1</v>
      </c>
      <c r="H15" s="171">
        <f t="shared" si="23"/>
        <v>-1</v>
      </c>
      <c r="I15" s="202"/>
      <c r="J15" s="174"/>
      <c r="K15" s="171" t="str">
        <f t="shared" si="0"/>
        <v/>
      </c>
      <c r="L15" s="202" t="s">
        <v>38</v>
      </c>
      <c r="M15" s="174">
        <v>3</v>
      </c>
      <c r="N15" s="171" t="str">
        <f t="shared" si="1"/>
        <v/>
      </c>
      <c r="O15" s="202" t="s">
        <v>38</v>
      </c>
      <c r="P15" s="174">
        <v>3</v>
      </c>
      <c r="Q15" s="171" t="str">
        <f t="shared" si="2"/>
        <v/>
      </c>
      <c r="R15" s="202" t="s">
        <v>38</v>
      </c>
      <c r="S15" s="174">
        <v>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4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3</v>
      </c>
      <c r="AF15" s="171" t="str">
        <f t="shared" si="7"/>
        <v/>
      </c>
      <c r="AG15" s="202" t="s">
        <v>39</v>
      </c>
      <c r="AH15" s="174">
        <v>2</v>
      </c>
      <c r="AI15" s="171">
        <f t="shared" si="8"/>
        <v>-2</v>
      </c>
      <c r="AJ15" s="202" t="s">
        <v>38</v>
      </c>
      <c r="AK15" s="174">
        <v>3</v>
      </c>
      <c r="AL15" s="171" t="str">
        <f t="shared" si="9"/>
        <v/>
      </c>
      <c r="AM15" s="202" t="s">
        <v>39</v>
      </c>
      <c r="AN15" s="174">
        <v>2</v>
      </c>
      <c r="AO15" s="173">
        <f t="shared" si="10"/>
        <v>-2</v>
      </c>
      <c r="AT15" s="166" t="str">
        <f t="shared" ca="1" si="11"/>
        <v>H</v>
      </c>
      <c r="AU15" s="174">
        <f t="shared" ca="1" si="12"/>
        <v>3</v>
      </c>
      <c r="AV15" s="173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71.13333333333334</v>
      </c>
      <c r="BL15" s="68">
        <f ca="1">$K$23</f>
        <v>1067</v>
      </c>
      <c r="BM15" s="142"/>
      <c r="BN15" s="37">
        <f t="shared" ca="1" si="18"/>
        <v>12</v>
      </c>
      <c r="BO15" s="57" t="str">
        <f>$X$2</f>
        <v>JL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Summary'!W$3:OFFSET('Season Summary'!W$3,$C$2+$AR$2,0),"=1")&gt;0,COUNTIF('Season Summary'!W$3:OFFSET('Season Summary'!W$3,$C$2+$AR$2,0),"=1"),"")</f>
        <v/>
      </c>
      <c r="BS15" s="54" t="str">
        <f ca="1">IF(BR15="","",BR15*'Season Summary'!$AO$6)</f>
        <v/>
      </c>
      <c r="BT15" s="176" t="str">
        <f ca="1">IF($Y$22=1,"✓","")</f>
        <v/>
      </c>
      <c r="BU15" s="54" t="str">
        <f t="shared" ca="1" si="20"/>
        <v/>
      </c>
      <c r="BV15" s="176" t="str">
        <f ca="1">IF($Y$22=2,"✓","")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["H","V","V","V","V","V","V","H","V","H","H","V","H","H","H","H"];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14</v>
      </c>
      <c r="H16" s="171">
        <f t="shared" si="23"/>
        <v>-14</v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>
        <f t="shared" si="1"/>
        <v>-13</v>
      </c>
      <c r="O16" s="202" t="s">
        <v>38</v>
      </c>
      <c r="P16" s="174">
        <v>13</v>
      </c>
      <c r="Q16" s="171">
        <f t="shared" si="2"/>
        <v>-13</v>
      </c>
      <c r="R16" s="202" t="s">
        <v>38</v>
      </c>
      <c r="S16" s="174">
        <v>12</v>
      </c>
      <c r="T16" s="171">
        <f t="shared" si="3"/>
        <v>-12</v>
      </c>
      <c r="U16" s="202" t="s">
        <v>38</v>
      </c>
      <c r="V16" s="174">
        <v>9</v>
      </c>
      <c r="W16" s="171">
        <f t="shared" si="4"/>
        <v>-9</v>
      </c>
      <c r="X16" s="202" t="s">
        <v>38</v>
      </c>
      <c r="Y16" s="174">
        <v>11</v>
      </c>
      <c r="Z16" s="171">
        <f t="shared" si="5"/>
        <v>-11</v>
      </c>
      <c r="AA16" s="202" t="s">
        <v>38</v>
      </c>
      <c r="AB16" s="174">
        <v>13</v>
      </c>
      <c r="AC16" s="171">
        <f t="shared" si="6"/>
        <v>-13</v>
      </c>
      <c r="AD16" s="202" t="s">
        <v>38</v>
      </c>
      <c r="AE16" s="174">
        <v>13</v>
      </c>
      <c r="AF16" s="171">
        <f t="shared" si="7"/>
        <v>-13</v>
      </c>
      <c r="AG16" s="202" t="s">
        <v>38</v>
      </c>
      <c r="AH16" s="174">
        <v>9</v>
      </c>
      <c r="AI16" s="171">
        <f t="shared" si="8"/>
        <v>-9</v>
      </c>
      <c r="AJ16" s="202" t="s">
        <v>38</v>
      </c>
      <c r="AK16" s="174">
        <v>13</v>
      </c>
      <c r="AL16" s="171">
        <f t="shared" si="9"/>
        <v>-13</v>
      </c>
      <c r="AM16" s="202" t="s">
        <v>38</v>
      </c>
      <c r="AN16" s="174">
        <v>11</v>
      </c>
      <c r="AO16" s="173">
        <f t="shared" si="10"/>
        <v>-11</v>
      </c>
      <c r="AT16" s="166" t="str">
        <f t="shared" ca="1" si="11"/>
        <v>H</v>
      </c>
      <c r="AU16" s="174">
        <f t="shared" ca="1" si="12"/>
        <v>12</v>
      </c>
      <c r="AV16" s="173">
        <f t="shared" ca="1" si="13"/>
        <v>-12</v>
      </c>
      <c r="AX16" s="4">
        <f t="shared" si="14"/>
        <v>131</v>
      </c>
      <c r="AY16" s="4">
        <f t="shared" ca="1" si="22"/>
        <v>131</v>
      </c>
      <c r="AZ16" s="4">
        <f t="shared" ca="1" si="15"/>
        <v>131</v>
      </c>
      <c r="BA16" s="4">
        <f t="shared" ca="1" si="16"/>
        <v>131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["11","4","12","2","13","8","7","5","10","3","9","1","14","15","16","6"];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99" t="s">
        <v>39</v>
      </c>
      <c r="F17" s="200" t="s">
        <v>38</v>
      </c>
      <c r="G17" s="174">
        <v>15</v>
      </c>
      <c r="H17" s="171">
        <f t="shared" si="23"/>
        <v>-15</v>
      </c>
      <c r="I17" s="202"/>
      <c r="J17" s="174"/>
      <c r="K17" s="171" t="str">
        <f t="shared" si="0"/>
        <v/>
      </c>
      <c r="L17" s="202" t="s">
        <v>38</v>
      </c>
      <c r="M17" s="174">
        <v>14</v>
      </c>
      <c r="N17" s="171">
        <f t="shared" si="1"/>
        <v>-14</v>
      </c>
      <c r="O17" s="202" t="s">
        <v>38</v>
      </c>
      <c r="P17" s="174">
        <v>14</v>
      </c>
      <c r="Q17" s="171">
        <f t="shared" si="2"/>
        <v>-14</v>
      </c>
      <c r="R17" s="202" t="s">
        <v>38</v>
      </c>
      <c r="S17" s="174">
        <v>6</v>
      </c>
      <c r="T17" s="171">
        <f t="shared" si="3"/>
        <v>-6</v>
      </c>
      <c r="U17" s="202" t="s">
        <v>38</v>
      </c>
      <c r="V17" s="174">
        <v>2</v>
      </c>
      <c r="W17" s="171">
        <f t="shared" si="4"/>
        <v>-2</v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16</v>
      </c>
      <c r="AF17" s="171">
        <f t="shared" si="7"/>
        <v>-16</v>
      </c>
      <c r="AG17" s="202" t="s">
        <v>38</v>
      </c>
      <c r="AH17" s="174">
        <v>15</v>
      </c>
      <c r="AI17" s="171">
        <f t="shared" si="8"/>
        <v>-15</v>
      </c>
      <c r="AJ17" s="202" t="s">
        <v>38</v>
      </c>
      <c r="AK17" s="174">
        <v>14</v>
      </c>
      <c r="AL17" s="171">
        <f t="shared" si="9"/>
        <v>-14</v>
      </c>
      <c r="AM17" s="202" t="s">
        <v>38</v>
      </c>
      <c r="AN17" s="174">
        <v>14</v>
      </c>
      <c r="AO17" s="173">
        <f t="shared" si="10"/>
        <v>-14</v>
      </c>
      <c r="AT17" s="166" t="str">
        <f t="shared" ca="1" si="11"/>
        <v>H</v>
      </c>
      <c r="AU17" s="174">
        <f t="shared" ca="1" si="12"/>
        <v>14</v>
      </c>
      <c r="AV17" s="173">
        <f t="shared" ca="1" si="13"/>
        <v>-14</v>
      </c>
      <c r="AX17" s="4">
        <f t="shared" si="14"/>
        <v>138</v>
      </c>
      <c r="AY17" s="4">
        <f t="shared" ca="1" si="22"/>
        <v>138</v>
      </c>
      <c r="AZ17" s="4">
        <f t="shared" ca="1" si="15"/>
        <v>138</v>
      </c>
      <c r="BA17" s="4">
        <f t="shared" ca="1" si="16"/>
        <v>138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16</v>
      </c>
      <c r="Q18" s="171" t="str">
        <f t="shared" si="2"/>
        <v/>
      </c>
      <c r="R18" s="202" t="s">
        <v>38</v>
      </c>
      <c r="S18" s="174">
        <v>13</v>
      </c>
      <c r="T18" s="171" t="str">
        <f t="shared" si="3"/>
        <v/>
      </c>
      <c r="U18" s="202" t="s">
        <v>38</v>
      </c>
      <c r="V18" s="174">
        <v>12</v>
      </c>
      <c r="W18" s="171" t="str">
        <f t="shared" si="4"/>
        <v/>
      </c>
      <c r="X18" s="202" t="s">
        <v>38</v>
      </c>
      <c r="Y18" s="174">
        <v>16</v>
      </c>
      <c r="Z18" s="171" t="str">
        <f t="shared" si="5"/>
        <v/>
      </c>
      <c r="AA18" s="202" t="s">
        <v>38</v>
      </c>
      <c r="AB18" s="174">
        <v>15</v>
      </c>
      <c r="AC18" s="171" t="str">
        <f t="shared" si="6"/>
        <v/>
      </c>
      <c r="AD18" s="202" t="s">
        <v>38</v>
      </c>
      <c r="AE18" s="174">
        <v>14</v>
      </c>
      <c r="AF18" s="171" t="str">
        <f t="shared" si="7"/>
        <v/>
      </c>
      <c r="AG18" s="202" t="s">
        <v>38</v>
      </c>
      <c r="AH18" s="174">
        <v>14</v>
      </c>
      <c r="AI18" s="171" t="str">
        <f t="shared" si="8"/>
        <v/>
      </c>
      <c r="AJ18" s="202" t="s">
        <v>38</v>
      </c>
      <c r="AK18" s="174">
        <v>15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161</v>
      </c>
      <c r="AY18" s="4">
        <f t="shared" ca="1" si="22"/>
        <v>161</v>
      </c>
      <c r="AZ18" s="4">
        <f t="shared" ca="1" si="15"/>
        <v>161</v>
      </c>
      <c r="BA18" s="4">
        <f t="shared" ca="1" si="16"/>
        <v>161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["9","4","16","2","11","5","8","7","6","1","10","3","13","14","15","12"];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39</v>
      </c>
      <c r="F19" s="200" t="s">
        <v>38</v>
      </c>
      <c r="G19" s="174">
        <v>6</v>
      </c>
      <c r="H19" s="171">
        <f t="shared" si="23"/>
        <v>-6</v>
      </c>
      <c r="I19" s="202"/>
      <c r="J19" s="174"/>
      <c r="K19" s="171" t="str">
        <f t="shared" si="0"/>
        <v/>
      </c>
      <c r="L19" s="202" t="s">
        <v>38</v>
      </c>
      <c r="M19" s="174">
        <v>12</v>
      </c>
      <c r="N19" s="171">
        <f t="shared" si="1"/>
        <v>-12</v>
      </c>
      <c r="O19" s="202" t="s">
        <v>38</v>
      </c>
      <c r="P19" s="174">
        <v>12</v>
      </c>
      <c r="Q19" s="171">
        <f t="shared" si="2"/>
        <v>-12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10</v>
      </c>
      <c r="Z19" s="171">
        <f t="shared" si="5"/>
        <v>-10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12</v>
      </c>
      <c r="AF19" s="171">
        <f t="shared" si="7"/>
        <v>-12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12</v>
      </c>
      <c r="AL19" s="171">
        <f t="shared" si="9"/>
        <v>-12</v>
      </c>
      <c r="AM19" s="202" t="s">
        <v>38</v>
      </c>
      <c r="AN19" s="174">
        <v>1</v>
      </c>
      <c r="AO19" s="173">
        <f t="shared" si="10"/>
        <v>-1</v>
      </c>
      <c r="AT19" s="166" t="str">
        <f ca="1">IF($B19="","",IF(AX19&lt;0,"V","H"))</f>
        <v>H</v>
      </c>
      <c r="AU19" s="174">
        <f ca="1">IF($B19="","",RANK(BA19,BA$4:BA$19,1))</f>
        <v>10</v>
      </c>
      <c r="AV19" s="173">
        <f t="shared" ca="1" si="13"/>
        <v>-10</v>
      </c>
      <c r="AX19" s="4">
        <f t="shared" si="14"/>
        <v>96</v>
      </c>
      <c r="AY19" s="4">
        <f t="shared" ca="1" si="22"/>
        <v>96</v>
      </c>
      <c r="AZ19" s="4">
        <f t="shared" ca="1" si="15"/>
        <v>96</v>
      </c>
      <c r="BA19" s="4">
        <f t="shared" ca="1" si="16"/>
        <v>96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["7","4","15","1","11","8","6","9","5","2","10","3","13","14","16","12"];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["14","11","10","4","16","3","15","8","9","7","5","2","12","6","13","1"];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93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6</v>
      </c>
      <c r="N21" s="182">
        <f ca="1">IF(SUM(M4:M19)&gt;0,SUM(N4:N19)+$F$31,0)</f>
        <v>91</v>
      </c>
      <c r="O21" s="183"/>
      <c r="P21" s="181">
        <f ca="1">RANK(Q21,$H34:$AO34,0)+P52</f>
        <v>10</v>
      </c>
      <c r="Q21" s="182">
        <f ca="1">IF(SUM(P4:P19)&gt;0,SUM(Q4:Q19)+$F$31,0)</f>
        <v>83</v>
      </c>
      <c r="R21" s="183"/>
      <c r="S21" s="181">
        <f ca="1">RANK(T21,$H34:$AO34,0)+S52</f>
        <v>2</v>
      </c>
      <c r="T21" s="182">
        <f ca="1">IF(SUM(S4:S19)&gt;0,SUM(T4:T19)+$F$31,0)</f>
        <v>97</v>
      </c>
      <c r="U21" s="183"/>
      <c r="V21" s="181">
        <f ca="1">RANK(W21,$H34:$AO34,0)+V52</f>
        <v>3</v>
      </c>
      <c r="W21" s="182">
        <f ca="1">IF(SUM(V4:V19)&gt;0,SUM(W4:W19)+$F$31,0)</f>
        <v>93</v>
      </c>
      <c r="X21" s="183"/>
      <c r="Y21" s="181">
        <f ca="1">RANK(Z21,$H34:$AO34,0)+Y52</f>
        <v>8</v>
      </c>
      <c r="Z21" s="182">
        <f ca="1">IF(SUM(Y4:Y19)&gt;0,SUM(Z4:Z19)+$F$31,0)</f>
        <v>86</v>
      </c>
      <c r="AA21" s="183"/>
      <c r="AB21" s="181">
        <f ca="1">RANK(AC21,$H34:$AO34,0)+AB52</f>
        <v>7</v>
      </c>
      <c r="AC21" s="182">
        <f ca="1">IF(SUM(AB4:AB19)&gt;0,SUM(AC4:AC19)+$F$31,0)</f>
        <v>89</v>
      </c>
      <c r="AD21" s="183"/>
      <c r="AE21" s="181">
        <f ca="1">RANK(AF21,$H34:$AO34,0)+AE52</f>
        <v>11</v>
      </c>
      <c r="AF21" s="182">
        <f ca="1">IF(SUM(AE4:AE19)&gt;0,SUM(AF4:AF19)+$F$31,0)</f>
        <v>77</v>
      </c>
      <c r="AG21" s="183"/>
      <c r="AH21" s="181">
        <f ca="1">RANK(AI21,$H34:$AO34,0)+AH52</f>
        <v>9</v>
      </c>
      <c r="AI21" s="182">
        <f ca="1">IF(SUM(AH4:AH19)&gt;0,SUM(AI4:AI19)+$F$31,0)</f>
        <v>84</v>
      </c>
      <c r="AJ21" s="183"/>
      <c r="AK21" s="181">
        <f ca="1">RANK(AL21,$H34:$AO34,0)+AK52</f>
        <v>3</v>
      </c>
      <c r="AL21" s="182">
        <f ca="1">IF(SUM(AK4:AK19)&gt;0,SUM(AL4:AL19)+$F$31,0)</f>
        <v>93</v>
      </c>
      <c r="AM21" s="183"/>
      <c r="AN21" s="181">
        <f ca="1">RANK(AO21,$H34:$AO34,0)+AN52</f>
        <v>1</v>
      </c>
      <c r="AO21" s="184">
        <f ca="1">IF(SUM(AN4:AN19)&gt;0,SUM(AO4:AO19)+$F$31,0)</f>
        <v>101</v>
      </c>
      <c r="AP21" s="3"/>
      <c r="AT21" s="185"/>
      <c r="AU21" s="186">
        <f ca="1">RANK(AV34,$H34:$AV34,0)</f>
        <v>3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["15","16","14","1","11","5","8","7","6","10","4","3","9","2","12","13"];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93.466666666666669</v>
      </c>
      <c r="I22" s="123"/>
      <c r="J22" s="121">
        <f ca="1">RANK(K35,($H35:$AO35),0)</f>
        <v>12</v>
      </c>
      <c r="K22" s="122">
        <f ca="1">IF($AR$3&lt;3,K23,K23/($AR$3-1))</f>
        <v>71.13333333333334</v>
      </c>
      <c r="L22" s="123"/>
      <c r="M22" s="121">
        <f ca="1">RANK(N35,($H35:$AO35),0)</f>
        <v>1</v>
      </c>
      <c r="N22" s="122">
        <f ca="1">IF($AR$3&lt;3,N23,N23/($AR$3-1))</f>
        <v>94.533333333333331</v>
      </c>
      <c r="O22" s="123"/>
      <c r="P22" s="121">
        <f ca="1">RANK(Q35,($H35:$AO35),0)</f>
        <v>4</v>
      </c>
      <c r="Q22" s="122">
        <f ca="1">IF($AR$3&lt;3,Q23,Q23/($AR$3-1))</f>
        <v>92.8</v>
      </c>
      <c r="R22" s="123"/>
      <c r="S22" s="121">
        <f ca="1">RANK(T35,($H35:$AO35),0)</f>
        <v>8</v>
      </c>
      <c r="T22" s="122">
        <f ca="1">IF($AR$3&lt;3,T23,T23/($AR$3-1))</f>
        <v>86.2</v>
      </c>
      <c r="U22" s="123"/>
      <c r="V22" s="121">
        <f ca="1">RANK(W35,($H35:$AO35),0)</f>
        <v>11</v>
      </c>
      <c r="W22" s="122">
        <f ca="1">IF($AR$3&lt;3,W23,W23/($AR$3-1))</f>
        <v>81.266666666666666</v>
      </c>
      <c r="X22" s="123"/>
      <c r="Y22" s="121">
        <f ca="1">RANK(Z35,($H35:$AO35),0)</f>
        <v>5</v>
      </c>
      <c r="Z22" s="122">
        <f ca="1">IF($AR$3&lt;3,Z23,Z23/($AR$3-1))</f>
        <v>91.733333333333334</v>
      </c>
      <c r="AA22" s="123"/>
      <c r="AB22" s="121">
        <f ca="1">RANK(AC35,($H35:$AO35),0)</f>
        <v>9</v>
      </c>
      <c r="AC22" s="122">
        <f ca="1">IF($AR$3&lt;3,AC23,AC23/($AR$3-1))</f>
        <v>83.933333333333337</v>
      </c>
      <c r="AD22" s="123"/>
      <c r="AE22" s="121">
        <f ca="1">RANK(AF35,($H35:$AO35),0)</f>
        <v>10</v>
      </c>
      <c r="AF22" s="122">
        <f ca="1">IF($AR$3&lt;3,AF23,AF23/($AR$3-1))</f>
        <v>83.4</v>
      </c>
      <c r="AG22" s="123"/>
      <c r="AH22" s="121">
        <f ca="1">RANK(AI35,($H35:$AO35),0)</f>
        <v>7</v>
      </c>
      <c r="AI22" s="122">
        <f ca="1">IF($AR$3&lt;3,AI23,AI23/($AR$3-1))</f>
        <v>86.86666666666666</v>
      </c>
      <c r="AJ22" s="123"/>
      <c r="AK22" s="121">
        <f ca="1">RANK(AL35,($H35:$AO35),0)</f>
        <v>3</v>
      </c>
      <c r="AL22" s="122">
        <f ca="1">IF($AR$3&lt;3,AL23,AL23/($AR$3-1))</f>
        <v>93.266666666666666</v>
      </c>
      <c r="AM22" s="123"/>
      <c r="AN22" s="121">
        <f ca="1">RANK(AO35,($H35:$AO35),0)</f>
        <v>6</v>
      </c>
      <c r="AO22" s="124">
        <f ca="1">IF($AR$3&lt;3,AO23,AO23/($AR$3-1))</f>
        <v>89.266666666666666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["8","12","15","1","13","5","7","2","6","3","9","4","11","14","16","10"];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1418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1392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1293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1219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1259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1303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1399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1339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["9","4","12","2","11","5","8","7","6","1","10","3","13","14","15","16"];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["9","4","15","1","11","7","8","5","6","2","10","3","13","16","14","12"];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0.625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["11","10","16","7","13","8","6","3","5","4","12","2","9","15","14","1"];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0.64583333333333337</v>
      </c>
      <c r="H26" s="139">
        <f ca="1">SUM('Season Summary'!F3:OFFSET('Season Summary'!F3,$C$2+$AR$2,0))</f>
        <v>155</v>
      </c>
      <c r="I26" s="140"/>
      <c r="J26" s="138">
        <f ca="1">IF($AR$3=0,0,K26/SUM('Season Summary'!$D3:OFFSET('Season Summary'!$D3,$C$2+$AR$2,0)))</f>
        <v>0.45416666666666666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0.67083333333333328</v>
      </c>
      <c r="N26" s="139">
        <f ca="1">SUM('Season Summary'!L3:OFFSET('Season Summary'!L3,$C$2+$AR$2,0))</f>
        <v>161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152</v>
      </c>
      <c r="R26" s="140"/>
      <c r="S26" s="138">
        <f ca="1">IF($AR$3=0,0,T26/SUM('Season Summary'!$D3:OFFSET('Season Summary'!$D3,$C$2+$AR$2,0)))</f>
        <v>0.6166666666666667</v>
      </c>
      <c r="T26" s="139">
        <f ca="1">SUM('Season Summary'!R3:OFFSET('Season Summary'!R3,$C$2+$AR$2,0))</f>
        <v>148</v>
      </c>
      <c r="U26" s="140"/>
      <c r="V26" s="138">
        <f ca="1">IF($AR$3=0,0,W26/SUM('Season Summary'!$D3:OFFSET('Season Summary'!$D3,$C$2+$AR$2,0)))</f>
        <v>0.54583333333333328</v>
      </c>
      <c r="W26" s="139">
        <f ca="1">SUM('Season Summary'!U3:OFFSET('Season Summary'!U3,$C$2+$AR$2,0))</f>
        <v>131</v>
      </c>
      <c r="X26" s="140"/>
      <c r="Y26" s="138">
        <f ca="1">IF($AR$3=0,0,Z26/SUM('Season Summary'!$D3:OFFSET('Season Summary'!$D3,$C$2+$AR$2,0)))</f>
        <v>0.62083333333333335</v>
      </c>
      <c r="Z26" s="139">
        <f ca="1">SUM('Season Summary'!X3:OFFSET('Season Summary'!X3,$C$2+$AR$2,0))</f>
        <v>149</v>
      </c>
      <c r="AA26" s="140"/>
      <c r="AB26" s="138">
        <f ca="1">IF($AR$3=0,0,AC26/SUM('Season Summary'!$D3:OFFSET('Season Summary'!$D3,$C$2+$AR$2,0)))</f>
        <v>0.56666666666666665</v>
      </c>
      <c r="AC26" s="139">
        <f ca="1">SUM('Season Summary'!AA3:OFFSET('Season Summary'!AA3,$C$2+$AR$2,0))</f>
        <v>136</v>
      </c>
      <c r="AD26" s="140"/>
      <c r="AE26" s="138">
        <f ca="1">IF($AR$3=0,0,AF26/SUM('Season Summary'!$D3:OFFSET('Season Summary'!$D3,$C$2+$AR$2,0)))</f>
        <v>0.54166666666666663</v>
      </c>
      <c r="AF26" s="139">
        <f ca="1">SUM('Season Summary'!AD3:OFFSET('Season Summary'!AD3,$C$2+$AR$2,0))</f>
        <v>130</v>
      </c>
      <c r="AG26" s="140"/>
      <c r="AH26" s="138">
        <f ca="1">IF($AR$3=0,0,AI26/SUM('Season Summary'!$D3:OFFSET('Season Summary'!$D3,$C$2+$AR$2,0)))</f>
        <v>0.56666666666666665</v>
      </c>
      <c r="AI26" s="139">
        <f ca="1">SUM('Season Summary'!AG3:OFFSET('Season Summary'!AG3,$C$2+$AR$2,0))</f>
        <v>136</v>
      </c>
      <c r="AJ26" s="140"/>
      <c r="AK26" s="138">
        <f ca="1">IF($AR$3=0,0,AL26/SUM('Season Summary'!$D3:OFFSET('Season Summary'!$D3,$C$2+$AR$2,0)))</f>
        <v>0.64583333333333337</v>
      </c>
      <c r="AL26" s="139">
        <f ca="1">SUM('Season Summary'!AJ3:OFFSET('Season Summary'!AJ3,$C$2+$AR$2,0))</f>
        <v>155</v>
      </c>
      <c r="AM26" s="140"/>
      <c r="AN26" s="138">
        <f ca="1">IF($AR$3=0,0,AO26/SUM('Season Summary'!$D3:OFFSET('Season Summary'!$D3,$C$2+$AR$2,0)))</f>
        <v>0.59583333333333333</v>
      </c>
      <c r="AO26" s="141">
        <f ca="1">SUM('Season Summary'!AM3:OFFSET('Season Summary'!AM3,$C$2+$AR$2,0))</f>
        <v>143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["9","4","16","1","11","5","8","7","6","2","10","3","13","14","15","12"];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["12","3","16","4","13","5","6","7","8","9","10","2","11","14","15","1"];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["H","H","V","H","V","V","V","H","V","H","H","H","V","V","H","V"];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["48","","46","42","51","38","50","47","46","49","47","52"];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93</v>
      </c>
      <c r="K34" s="4">
        <f t="shared" ref="K34:K39" si="25">K21</f>
        <v>0</v>
      </c>
      <c r="N34" s="4">
        <f t="shared" ref="N34:N39" ca="1" si="26">N21</f>
        <v>91</v>
      </c>
      <c r="Q34" s="4">
        <f t="shared" ref="Q34:Q39" ca="1" si="27">Q21</f>
        <v>83</v>
      </c>
      <c r="T34" s="4">
        <f t="shared" ref="T34:T39" ca="1" si="28">T21</f>
        <v>97</v>
      </c>
      <c r="W34" s="4">
        <f t="shared" ref="W34:W39" ca="1" si="29">W21</f>
        <v>93</v>
      </c>
      <c r="Z34" s="4">
        <f t="shared" ref="Z34:Z39" ca="1" si="30">Z21</f>
        <v>86</v>
      </c>
      <c r="AC34" s="4">
        <f t="shared" ref="AC34:AC39" ca="1" si="31">AC21</f>
        <v>89</v>
      </c>
      <c r="AF34" s="4">
        <f t="shared" ref="AF34:AF39" ca="1" si="32">AF21</f>
        <v>77</v>
      </c>
      <c r="AI34" s="4">
        <f t="shared" ref="AI34:AI39" ca="1" si="33">AI21</f>
        <v>84</v>
      </c>
      <c r="AL34" s="4">
        <f t="shared" ref="AL34:AL39" ca="1" si="34">AL21</f>
        <v>93</v>
      </c>
      <c r="AO34" s="4">
        <f t="shared" ref="AO34:AO39" ca="1" si="35">AO21</f>
        <v>101</v>
      </c>
      <c r="AP34" s="147"/>
      <c r="AV34" s="4">
        <f ca="1">AV21</f>
        <v>94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93.466666666666669</v>
      </c>
      <c r="I35" s="147"/>
      <c r="J35" s="147"/>
      <c r="K35" s="302">
        <f t="shared" ca="1" si="25"/>
        <v>71.13333333333334</v>
      </c>
      <c r="L35" s="147"/>
      <c r="M35" s="147"/>
      <c r="N35" s="302">
        <f t="shared" ca="1" si="26"/>
        <v>94.533333333333331</v>
      </c>
      <c r="Q35" s="302">
        <f t="shared" ca="1" si="27"/>
        <v>92.8</v>
      </c>
      <c r="T35" s="302">
        <f t="shared" ca="1" si="28"/>
        <v>86.2</v>
      </c>
      <c r="W35" s="302">
        <f t="shared" ca="1" si="29"/>
        <v>81.266666666666666</v>
      </c>
      <c r="Z35" s="302">
        <f t="shared" ca="1" si="30"/>
        <v>91.733333333333334</v>
      </c>
      <c r="AC35" s="302">
        <f t="shared" ca="1" si="31"/>
        <v>83.933333333333337</v>
      </c>
      <c r="AF35" s="302">
        <f t="shared" ca="1" si="32"/>
        <v>83.4</v>
      </c>
      <c r="AI35" s="302">
        <f t="shared" ca="1" si="33"/>
        <v>86.86666666666666</v>
      </c>
      <c r="AL35" s="302">
        <f t="shared" ca="1" si="34"/>
        <v>93.266666666666666</v>
      </c>
      <c r="AO35" s="302">
        <f t="shared" ca="1" si="35"/>
        <v>89.266666666666666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1402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1418</v>
      </c>
      <c r="Q36" s="302">
        <f t="shared" ca="1" si="27"/>
        <v>1392</v>
      </c>
      <c r="T36" s="302">
        <f t="shared" ca="1" si="28"/>
        <v>1293</v>
      </c>
      <c r="W36" s="302">
        <f t="shared" ca="1" si="29"/>
        <v>1219</v>
      </c>
      <c r="Z36" s="302">
        <f t="shared" ca="1" si="30"/>
        <v>1376</v>
      </c>
      <c r="AC36" s="302">
        <f t="shared" ca="1" si="31"/>
        <v>1259</v>
      </c>
      <c r="AF36" s="302">
        <f t="shared" ca="1" si="32"/>
        <v>1251</v>
      </c>
      <c r="AI36" s="302">
        <f t="shared" ca="1" si="33"/>
        <v>1303</v>
      </c>
      <c r="AL36" s="302">
        <f t="shared" ca="1" si="34"/>
        <v>1399</v>
      </c>
      <c r="AO36" s="302">
        <f t="shared" ca="1" si="35"/>
        <v>1339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10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9</v>
      </c>
      <c r="AL38" s="302">
        <f t="shared" si="34"/>
        <v>12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155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161</v>
      </c>
      <c r="Q39" s="302">
        <f t="shared" ca="1" si="27"/>
        <v>152</v>
      </c>
      <c r="T39" s="302">
        <f t="shared" ca="1" si="28"/>
        <v>148</v>
      </c>
      <c r="W39" s="302">
        <f t="shared" ca="1" si="29"/>
        <v>131</v>
      </c>
      <c r="Z39" s="302">
        <f t="shared" ca="1" si="30"/>
        <v>149</v>
      </c>
      <c r="AC39" s="302">
        <f t="shared" ca="1" si="31"/>
        <v>136</v>
      </c>
      <c r="AF39" s="302">
        <f t="shared" ca="1" si="32"/>
        <v>130</v>
      </c>
      <c r="AI39" s="302">
        <f t="shared" ca="1" si="33"/>
        <v>136</v>
      </c>
      <c r="AL39" s="302">
        <f t="shared" ca="1" si="34"/>
        <v>155</v>
      </c>
      <c r="AO39" s="302">
        <f t="shared" ca="1" si="35"/>
        <v>143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9</v>
      </c>
      <c r="AC40" s="302"/>
      <c r="AE40" s="301">
        <f ca="1">AE22</f>
        <v>10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0.5625</v>
      </c>
      <c r="AK41" s="301">
        <f ca="1">AK25</f>
        <v>0.75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0.64583333333333337</v>
      </c>
      <c r="H42" s="147"/>
      <c r="I42" s="147"/>
      <c r="J42" s="301">
        <f ca="1">J26</f>
        <v>0.45416666666666666</v>
      </c>
      <c r="K42" s="147"/>
      <c r="L42" s="147"/>
      <c r="M42" s="301">
        <f ca="1">M26</f>
        <v>0.67083333333333328</v>
      </c>
      <c r="P42" s="301">
        <f ca="1">P26</f>
        <v>0.6333333333333333</v>
      </c>
      <c r="S42" s="301">
        <f ca="1">S26</f>
        <v>0.6166666666666667</v>
      </c>
      <c r="V42" s="301">
        <f ca="1">V26</f>
        <v>0.54583333333333328</v>
      </c>
      <c r="Y42" s="301">
        <f ca="1">Y26</f>
        <v>0.62083333333333335</v>
      </c>
      <c r="AB42" s="301">
        <f ca="1">AB26</f>
        <v>0.56666666666666665</v>
      </c>
      <c r="AE42" s="301">
        <f ca="1">AE26</f>
        <v>0.54166666666666663</v>
      </c>
      <c r="AH42" s="301">
        <f ca="1">AH26</f>
        <v>0.56666666666666665</v>
      </c>
      <c r="AK42" s="301">
        <f ca="1">AK26</f>
        <v>0.64583333333333337</v>
      </c>
      <c r="AN42" s="301">
        <f ca="1">AN26</f>
        <v>0.59583333333333333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93" t="s">
        <v>38</v>
      </c>
      <c r="G4" s="164">
        <v>14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11</v>
      </c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131</v>
      </c>
      <c r="AY4" s="4">
        <f ca="1">ABS(AX4)+IF($B4="",-0.1,0)</f>
        <v>131</v>
      </c>
      <c r="AZ4" s="4">
        <f t="shared" ref="AZ4:AZ19" ca="1" si="15">AY4+IF(AT4="H",IF(BC4&gt;1,0.1*BC4-0.1,0),0)</f>
        <v>131</v>
      </c>
      <c r="BA4" s="4">
        <f t="shared" ref="BA4:BA19" ca="1" si="16">AZ4+IF(AT4="V",IF(BC4&gt;1,0.1*BC4-0.1,0),0)</f>
        <v>131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94.533333333333331</v>
      </c>
      <c r="BL4" s="64">
        <f ca="1">$N$23</f>
        <v>1418</v>
      </c>
      <c r="BM4" s="142"/>
      <c r="BN4" s="38">
        <f t="shared" ref="BN4:BN15" ca="1" si="18">RANK(BP4,BP$4:BP$15,0)</f>
        <v>1</v>
      </c>
      <c r="BO4" s="55" t="str">
        <f>$R$2</f>
        <v>DH</v>
      </c>
      <c r="BP4" s="44">
        <f t="shared" ref="BP4:BP15" ca="1" si="19">SUM(BQ4,BS4,BU4,BW4)</f>
        <v>45</v>
      </c>
      <c r="BQ4" s="43">
        <f ca="1">-$AR$3*'Season Summary'!$AO$3</f>
        <v>-48</v>
      </c>
      <c r="BR4" s="49">
        <f ca="1">IF(COUNTIF('Season Summary'!Q$3:OFFSET('Season Summary'!Q$3,$C$2+$AR$2,0),"=1")&gt;0,COUNTIF('Season Summary'!Q$3:OFFSET('Season Summary'!Q$3,$C$2+$AR$2,0),"=1"),"")</f>
        <v>3</v>
      </c>
      <c r="BS4" s="50">
        <f ca="1">IF(BR4="","",BR4*'Season Summary'!$AO$6)</f>
        <v>93</v>
      </c>
      <c r="BT4" s="165" t="str">
        <f ca="1">IF($S$22=1,"✓","")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IF($S$22=2,"✓","")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["H","H","H","H","H","H","H","H","V","H","H","V","H","H","H","H"];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200" t="s">
        <v>38</v>
      </c>
      <c r="G5" s="174">
        <v>9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10</v>
      </c>
      <c r="N5" s="171" t="str">
        <f>IF(M5&gt;0,IF(ISTEXT($E5),IF($E5&lt;&gt;L5,M5-2*M5,""),""),"")</f>
        <v/>
      </c>
      <c r="O5" s="202" t="s">
        <v>38</v>
      </c>
      <c r="P5" s="174">
        <v>10</v>
      </c>
      <c r="Q5" s="171" t="str">
        <f>IF(P5&gt;0,IF(ISTEXT($E5),IF($E5&lt;&gt;O5,P5-2*P5,""),""),"")</f>
        <v/>
      </c>
      <c r="R5" s="202" t="s">
        <v>38</v>
      </c>
      <c r="S5" s="174">
        <v>1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38</v>
      </c>
      <c r="AH5" s="174">
        <v>2</v>
      </c>
      <c r="AI5" s="171" t="str">
        <f>IF(AH5&gt;0,IF(ISTEXT($E5),IF($E5&lt;&gt;AG5,AH5-2*AH5,""),""),"")</f>
        <v/>
      </c>
      <c r="AJ5" s="202" t="s">
        <v>38</v>
      </c>
      <c r="AK5" s="174">
        <v>10</v>
      </c>
      <c r="AL5" s="171" t="str">
        <f>IF(AK5&gt;0,IF(ISTEXT($E5),IF($E5&lt;&gt;AJ5,AK5-2*AK5,""),""),"")</f>
        <v/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54</v>
      </c>
      <c r="AY5" s="4">
        <f t="shared" ref="AY5:AY19" ca="1" si="22">ABS(AX5)+IF($B5="",-0.1,0)</f>
        <v>54</v>
      </c>
      <c r="AZ5" s="4">
        <f ca="1"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3">
        <f ca="1">$M$21</f>
        <v>1</v>
      </c>
      <c r="BF5" s="71" t="str">
        <f>$L$2</f>
        <v>CP</v>
      </c>
      <c r="BG5" s="72">
        <f ca="1">$N$21</f>
        <v>136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93.466666666666669</v>
      </c>
      <c r="BL5" s="66">
        <f ca="1">$H$23</f>
        <v>1402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4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38</v>
      </c>
      <c r="V6" s="174">
        <v>4</v>
      </c>
      <c r="W6" s="171" t="str">
        <f t="shared" si="4"/>
        <v/>
      </c>
      <c r="X6" s="202" t="s">
        <v>38</v>
      </c>
      <c r="Y6" s="174">
        <v>8</v>
      </c>
      <c r="Z6" s="171" t="str">
        <f t="shared" si="5"/>
        <v/>
      </c>
      <c r="AA6" s="202" t="s">
        <v>38</v>
      </c>
      <c r="AB6" s="174">
        <v>5</v>
      </c>
      <c r="AC6" s="171" t="str">
        <f t="shared" si="6"/>
        <v/>
      </c>
      <c r="AD6" s="202"/>
      <c r="AE6" s="174"/>
      <c r="AF6" s="171" t="str">
        <f t="shared" si="7"/>
        <v/>
      </c>
      <c r="AG6" s="202" t="s">
        <v>38</v>
      </c>
      <c r="AH6" s="174">
        <v>9</v>
      </c>
      <c r="AI6" s="171" t="str">
        <f t="shared" si="8"/>
        <v/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7</v>
      </c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8</v>
      </c>
      <c r="AV6" s="173" t="str">
        <f t="shared" ca="1" si="13"/>
        <v/>
      </c>
      <c r="AX6" s="4">
        <f t="shared" si="14"/>
        <v>56</v>
      </c>
      <c r="AY6" s="4">
        <f t="shared" ca="1" si="22"/>
        <v>56</v>
      </c>
      <c r="AZ6" s="4">
        <f t="shared" ca="1" si="15"/>
        <v>56</v>
      </c>
      <c r="BA6" s="4">
        <f t="shared" ca="1" si="16"/>
        <v>56</v>
      </c>
      <c r="BB6" s="4">
        <v>3</v>
      </c>
      <c r="BC6" s="4">
        <f ca="1">COUNTIF($AY$4:OFFSET($AY$4,0,0,BB6,1),AY6)</f>
        <v>1</v>
      </c>
      <c r="BE6" s="33">
        <f ca="1">$P$21</f>
        <v>1</v>
      </c>
      <c r="BF6" s="71" t="str">
        <f>$O$2</f>
        <v>DC</v>
      </c>
      <c r="BG6" s="72">
        <f ca="1">$Q$21</f>
        <v>136</v>
      </c>
      <c r="BH6" s="145"/>
      <c r="BI6" s="36">
        <f t="shared" ca="1" si="17"/>
        <v>3</v>
      </c>
      <c r="BJ6" s="56" t="str">
        <f>$AJ$2</f>
        <v>RR</v>
      </c>
      <c r="BK6" s="65">
        <f ca="1">$AL$22</f>
        <v>93.266666666666666</v>
      </c>
      <c r="BL6" s="66">
        <f ca="1">$AL$23</f>
        <v>1399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48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["H","H","H","H","H","H","H","H","V","H","H","V","H","H","H","H"];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200" t="s">
        <v>38</v>
      </c>
      <c r="G7" s="174">
        <v>13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38</v>
      </c>
      <c r="M7" s="174">
        <v>16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7</v>
      </c>
      <c r="T7" s="171" t="str">
        <f t="shared" si="3"/>
        <v/>
      </c>
      <c r="U7" s="202" t="s">
        <v>38</v>
      </c>
      <c r="V7" s="174">
        <v>12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15</v>
      </c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16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14</v>
      </c>
      <c r="AV7" s="173" t="str">
        <f t="shared" ca="1" si="13"/>
        <v/>
      </c>
      <c r="AX7" s="4">
        <f t="shared" si="14"/>
        <v>132</v>
      </c>
      <c r="AY7" s="4">
        <f t="shared" ca="1" si="22"/>
        <v>132</v>
      </c>
      <c r="AZ7" s="4">
        <f t="shared" ca="1" si="15"/>
        <v>132</v>
      </c>
      <c r="BA7" s="4">
        <f t="shared" ca="1" si="16"/>
        <v>132</v>
      </c>
      <c r="BB7" s="4">
        <v>4</v>
      </c>
      <c r="BC7" s="4">
        <f ca="1">COUNTIF($AY$4:OFFSET($AY$4,0,0,BB7,1),AY7)</f>
        <v>1</v>
      </c>
      <c r="BE7" s="33">
        <f ca="1">$S$21</f>
        <v>1</v>
      </c>
      <c r="BF7" s="71" t="str">
        <f>$R$2</f>
        <v>DH</v>
      </c>
      <c r="BG7" s="72">
        <f ca="1">$T$21</f>
        <v>136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92.8</v>
      </c>
      <c r="BL7" s="66">
        <f ca="1">$Q$23</f>
        <v>1392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["H","H","H","H","H","H","H","H","V","H","V","V","H","H","H","V"];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200" t="s">
        <v>38</v>
      </c>
      <c r="G8" s="174">
        <v>3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4</v>
      </c>
      <c r="T8" s="171" t="str">
        <f t="shared" si="3"/>
        <v/>
      </c>
      <c r="U8" s="202" t="s">
        <v>38</v>
      </c>
      <c r="V8" s="174">
        <v>6</v>
      </c>
      <c r="W8" s="171" t="str">
        <f t="shared" si="4"/>
        <v/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/>
      <c r="AE8" s="174"/>
      <c r="AF8" s="171" t="str">
        <f t="shared" si="7"/>
        <v/>
      </c>
      <c r="AG8" s="202" t="s">
        <v>39</v>
      </c>
      <c r="AH8" s="174">
        <v>4</v>
      </c>
      <c r="AI8" s="171" t="str">
        <f t="shared" si="8"/>
        <v/>
      </c>
      <c r="AJ8" s="202" t="s">
        <v>38</v>
      </c>
      <c r="AK8" s="174">
        <v>3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3</v>
      </c>
      <c r="AV8" s="173" t="str">
        <f t="shared" ca="1" si="13"/>
        <v/>
      </c>
      <c r="AX8" s="4">
        <f t="shared" si="14"/>
        <v>20</v>
      </c>
      <c r="AY8" s="4">
        <f t="shared" ca="1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3">
        <f ca="1">$V$21</f>
        <v>1</v>
      </c>
      <c r="BF8" s="71" t="str">
        <f>$U$2</f>
        <v>JG</v>
      </c>
      <c r="BG8" s="72">
        <f ca="1">$W$21</f>
        <v>136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91.733333333333334</v>
      </c>
      <c r="BL8" s="66">
        <f ca="1">$Z$23</f>
        <v>1376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Summary'!N$3:OFFSET('Season Summary'!N$3,$C$2+$AR$2,0),"=1")&gt;0,COUNTIF('Season Summary'!N$3:OFFSET('Season Summary'!N$3,$C$2+$AR$2,0),"=1"),"")</f>
        <v>2</v>
      </c>
      <c r="BS8" s="52">
        <f ca="1">IF(BR8="","",BR8*'Season Summary'!$AO$6)</f>
        <v>62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["H","H","H","H","H","V","V","H","V","H","H","V","H","H","H","V"];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200" t="s">
        <v>38</v>
      </c>
      <c r="G9" s="174">
        <v>8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38</v>
      </c>
      <c r="M9" s="174">
        <v>8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6</v>
      </c>
      <c r="T9" s="171" t="str">
        <f t="shared" si="3"/>
        <v/>
      </c>
      <c r="U9" s="202" t="s">
        <v>38</v>
      </c>
      <c r="V9" s="174">
        <v>1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7</v>
      </c>
      <c r="AC9" s="171" t="str">
        <f t="shared" si="6"/>
        <v/>
      </c>
      <c r="AD9" s="202"/>
      <c r="AE9" s="174"/>
      <c r="AF9" s="171" t="str">
        <f t="shared" si="7"/>
        <v/>
      </c>
      <c r="AG9" s="202" t="s">
        <v>38</v>
      </c>
      <c r="AH9" s="174">
        <v>7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8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55</v>
      </c>
      <c r="AY9" s="4">
        <f t="shared" ca="1" si="22"/>
        <v>55</v>
      </c>
      <c r="AZ9" s="4">
        <f t="shared" ca="1" si="15"/>
        <v>55</v>
      </c>
      <c r="BA9" s="4">
        <f t="shared" ca="1" si="16"/>
        <v>55</v>
      </c>
      <c r="BB9" s="4">
        <v>6</v>
      </c>
      <c r="BC9" s="4">
        <f ca="1">COUNTIF($AY$4:OFFSET($AY$4,0,0,BB9,1),AY9)</f>
        <v>1</v>
      </c>
      <c r="BE9" s="33">
        <f ca="1">$Y$21</f>
        <v>1</v>
      </c>
      <c r="BF9" s="71" t="str">
        <f>$X$2</f>
        <v>JL</v>
      </c>
      <c r="BG9" s="72">
        <f ca="1">$Z$21</f>
        <v>136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89.266666666666666</v>
      </c>
      <c r="BL9" s="66">
        <f ca="1">$AO$23</f>
        <v>1339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32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["H","V","H","H","H","H","V","H","V","H","H","V","V","H","H","V"];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200" t="s">
        <v>38</v>
      </c>
      <c r="G10" s="174">
        <v>5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5</v>
      </c>
      <c r="N10" s="171" t="str">
        <f t="shared" si="1"/>
        <v/>
      </c>
      <c r="O10" s="202" t="s">
        <v>38</v>
      </c>
      <c r="P10" s="174">
        <v>5</v>
      </c>
      <c r="Q10" s="171" t="str">
        <f t="shared" si="2"/>
        <v/>
      </c>
      <c r="R10" s="202" t="s">
        <v>39</v>
      </c>
      <c r="S10" s="174">
        <v>5</v>
      </c>
      <c r="T10" s="171" t="str">
        <f t="shared" si="3"/>
        <v/>
      </c>
      <c r="U10" s="202" t="s">
        <v>39</v>
      </c>
      <c r="V10" s="174">
        <v>13</v>
      </c>
      <c r="W10" s="171" t="str">
        <f t="shared" si="4"/>
        <v/>
      </c>
      <c r="X10" s="202" t="s">
        <v>38</v>
      </c>
      <c r="Y10" s="174">
        <v>1</v>
      </c>
      <c r="Z10" s="171" t="str">
        <f t="shared" si="5"/>
        <v/>
      </c>
      <c r="AA10" s="202" t="s">
        <v>38</v>
      </c>
      <c r="AB10" s="174">
        <v>4</v>
      </c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3</v>
      </c>
      <c r="AI10" s="171" t="str">
        <f t="shared" si="8"/>
        <v/>
      </c>
      <c r="AJ10" s="202" t="s">
        <v>38</v>
      </c>
      <c r="AK10" s="174">
        <v>4</v>
      </c>
      <c r="AL10" s="171" t="str">
        <f t="shared" si="9"/>
        <v/>
      </c>
      <c r="AM10" s="202" t="s">
        <v>39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1</v>
      </c>
      <c r="AV10" s="173" t="str">
        <f t="shared" ca="1" si="13"/>
        <v/>
      </c>
      <c r="AX10" s="4">
        <f t="shared" si="14"/>
        <v>-1</v>
      </c>
      <c r="AY10" s="4">
        <f t="shared" ca="1" si="22"/>
        <v>1</v>
      </c>
      <c r="AZ10" s="4">
        <f t="shared" ca="1" si="15"/>
        <v>1</v>
      </c>
      <c r="BA10" s="4">
        <f t="shared" ca="1" si="16"/>
        <v>1</v>
      </c>
      <c r="BB10" s="4">
        <v>7</v>
      </c>
      <c r="BC10" s="4">
        <f ca="1">COUNTIF($AY$4:OFFSET($AY$4,0,0,BB10,1),AY10)</f>
        <v>1</v>
      </c>
      <c r="BE10" s="33">
        <f ca="1">$AB$21</f>
        <v>1</v>
      </c>
      <c r="BF10" s="71" t="str">
        <f>$AA$2</f>
        <v>KC</v>
      </c>
      <c r="BG10" s="72">
        <f ca="1">$AC$21</f>
        <v>136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86.86666666666666</v>
      </c>
      <c r="BL10" s="66">
        <f ca="1">$AI$23</f>
        <v>1303</v>
      </c>
      <c r="BM10" s="142"/>
      <c r="BN10" s="36">
        <f t="shared" ca="1" si="18"/>
        <v>7</v>
      </c>
      <c r="BO10" s="56" t="str">
        <f>$U$2</f>
        <v>JG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Summary'!T$3:OFFSET('Season Summary'!T$3,$C$2+$AR$2,0),"=1")&gt;0,COUNTIF('Season Summary'!T$3:OFFSET('Season Summary'!T$3,$C$2+$AR$2,0),"=1"),"")</f>
        <v>1</v>
      </c>
      <c r="BS10" s="52">
        <f ca="1">IF(BR10="","",BR10*'Season Summary'!$AO$6)</f>
        <v>31</v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["H","H","H","H","H","H","H","H","V","H","H","V","H","H","H","H"];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200" t="s">
        <v>38</v>
      </c>
      <c r="G11" s="174">
        <v>12</v>
      </c>
      <c r="H11" s="171" t="str">
        <f t="shared" si="23"/>
        <v/>
      </c>
      <c r="I11" s="202"/>
      <c r="J11" s="174"/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11</v>
      </c>
      <c r="Q11" s="171" t="str">
        <f t="shared" si="2"/>
        <v/>
      </c>
      <c r="R11" s="202" t="s">
        <v>38</v>
      </c>
      <c r="S11" s="174">
        <v>3</v>
      </c>
      <c r="T11" s="171" t="str">
        <f t="shared" si="3"/>
        <v/>
      </c>
      <c r="U11" s="202" t="s">
        <v>38</v>
      </c>
      <c r="V11" s="174">
        <v>3</v>
      </c>
      <c r="W11" s="171" t="str">
        <f t="shared" si="4"/>
        <v/>
      </c>
      <c r="X11" s="202" t="s">
        <v>38</v>
      </c>
      <c r="Y11" s="174">
        <v>11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39</v>
      </c>
      <c r="AN11" s="174">
        <v>2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1</v>
      </c>
      <c r="BF11" s="71" t="str">
        <f>$AG$2</f>
        <v>MB</v>
      </c>
      <c r="BG11" s="72">
        <f ca="1">$AI$21</f>
        <v>136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86.2</v>
      </c>
      <c r="BL11" s="66">
        <f ca="1">$T$23</f>
        <v>1293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["H","H","H","H","H","H","H","H","V","H","H","V","H","H","H","H"];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200" t="s">
        <v>39</v>
      </c>
      <c r="G12" s="174">
        <v>10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9</v>
      </c>
      <c r="N12" s="171" t="str">
        <f t="shared" si="1"/>
        <v/>
      </c>
      <c r="O12" s="202" t="s">
        <v>39</v>
      </c>
      <c r="P12" s="174">
        <v>7</v>
      </c>
      <c r="Q12" s="171" t="str">
        <f t="shared" si="2"/>
        <v/>
      </c>
      <c r="R12" s="202" t="s">
        <v>39</v>
      </c>
      <c r="S12" s="174">
        <v>16</v>
      </c>
      <c r="T12" s="171" t="str">
        <f t="shared" si="3"/>
        <v/>
      </c>
      <c r="U12" s="202" t="s">
        <v>39</v>
      </c>
      <c r="V12" s="174">
        <v>15</v>
      </c>
      <c r="W12" s="171" t="str">
        <f t="shared" si="4"/>
        <v/>
      </c>
      <c r="X12" s="202" t="s">
        <v>39</v>
      </c>
      <c r="Y12" s="174">
        <v>10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39</v>
      </c>
      <c r="AN12" s="174">
        <v>10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11</v>
      </c>
      <c r="AV12" s="173" t="str">
        <f t="shared" ca="1" si="13"/>
        <v/>
      </c>
      <c r="AX12" s="4">
        <f t="shared" si="14"/>
        <v>-106</v>
      </c>
      <c r="AY12" s="4">
        <f t="shared" ca="1" si="22"/>
        <v>106</v>
      </c>
      <c r="AZ12" s="4">
        <f t="shared" ca="1" si="15"/>
        <v>106</v>
      </c>
      <c r="BA12" s="4">
        <f t="shared" ca="1" si="16"/>
        <v>106</v>
      </c>
      <c r="BB12" s="4">
        <v>9</v>
      </c>
      <c r="BC12" s="4">
        <f ca="1">COUNTIF($AY$4:OFFSET($AY$4,0,0,BB12,1),AY12)</f>
        <v>1</v>
      </c>
      <c r="BE12" s="33">
        <f ca="1">$AK$21</f>
        <v>1</v>
      </c>
      <c r="BF12" s="71" t="str">
        <f>$AJ$2</f>
        <v>RR</v>
      </c>
      <c r="BG12" s="72">
        <f ca="1">$AL$21</f>
        <v>136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83.933333333333337</v>
      </c>
      <c r="BL12" s="66">
        <f ca="1">$AC$23</f>
        <v>1259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200" t="s">
        <v>38</v>
      </c>
      <c r="G13" s="174">
        <v>15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15</v>
      </c>
      <c r="T13" s="171" t="str">
        <f t="shared" si="3"/>
        <v/>
      </c>
      <c r="U13" s="202" t="s">
        <v>38</v>
      </c>
      <c r="V13" s="174">
        <v>7</v>
      </c>
      <c r="W13" s="171" t="str">
        <f t="shared" si="4"/>
        <v/>
      </c>
      <c r="X13" s="202" t="s">
        <v>38</v>
      </c>
      <c r="Y13" s="174">
        <v>15</v>
      </c>
      <c r="Z13" s="171" t="str">
        <f t="shared" si="5"/>
        <v/>
      </c>
      <c r="AA13" s="202" t="s">
        <v>38</v>
      </c>
      <c r="AB13" s="174">
        <v>14</v>
      </c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38</v>
      </c>
      <c r="AH13" s="174">
        <v>15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138</v>
      </c>
      <c r="AY13" s="4">
        <f t="shared" ca="1" si="22"/>
        <v>138</v>
      </c>
      <c r="AZ13" s="4">
        <f t="shared" ca="1" si="15"/>
        <v>138</v>
      </c>
      <c r="BA13" s="4">
        <f t="shared" ca="1" si="16"/>
        <v>138</v>
      </c>
      <c r="BB13" s="4">
        <v>10</v>
      </c>
      <c r="BC13" s="4">
        <f ca="1">COUNTIF($AY$4:OFFSET($AY$4,0,0,BB13,1),AY13)</f>
        <v>1</v>
      </c>
      <c r="BE13" s="33">
        <f ca="1">$AN$21</f>
        <v>1</v>
      </c>
      <c r="BF13" s="71" t="str">
        <f>$AM$2</f>
        <v>TB</v>
      </c>
      <c r="BG13" s="72">
        <f ca="1">$AO$21</f>
        <v>136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83.4</v>
      </c>
      <c r="BL13" s="66">
        <f ca="1">$AF$23</f>
        <v>1251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["H","H","H","H","V","H","V","H","V","H","H","V","H","H","H","H"];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200" t="s">
        <v>38</v>
      </c>
      <c r="G14" s="174">
        <v>7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2</v>
      </c>
      <c r="N14" s="171" t="str">
        <f t="shared" si="1"/>
        <v/>
      </c>
      <c r="O14" s="202" t="s">
        <v>39</v>
      </c>
      <c r="P14" s="174">
        <v>3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9</v>
      </c>
      <c r="W14" s="171" t="str">
        <f t="shared" si="4"/>
        <v/>
      </c>
      <c r="X14" s="202" t="s">
        <v>38</v>
      </c>
      <c r="Y14" s="174">
        <v>5</v>
      </c>
      <c r="Z14" s="171" t="str">
        <f t="shared" si="5"/>
        <v/>
      </c>
      <c r="AA14" s="202" t="s">
        <v>38</v>
      </c>
      <c r="AB14" s="174">
        <v>3</v>
      </c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38</v>
      </c>
      <c r="AH14" s="174">
        <v>6</v>
      </c>
      <c r="AI14" s="171" t="str">
        <f t="shared" si="8"/>
        <v/>
      </c>
      <c r="AJ14" s="202" t="s">
        <v>38</v>
      </c>
      <c r="AK14" s="174">
        <v>2</v>
      </c>
      <c r="AL14" s="171" t="str">
        <f t="shared" si="9"/>
        <v/>
      </c>
      <c r="AM14" s="202" t="s">
        <v>38</v>
      </c>
      <c r="AN14" s="174">
        <v>13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5</v>
      </c>
      <c r="AV14" s="173" t="str">
        <f t="shared" ca="1" si="13"/>
        <v/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>$K$21</f>
        <v>0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81.266666666666666</v>
      </c>
      <c r="BL14" s="66">
        <f ca="1">$W$23</f>
        <v>1219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["H","H","H","H","H","H","H","H","V","H","H","V","H","H","H","H"];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200" t="s">
        <v>39</v>
      </c>
      <c r="G15" s="174">
        <v>16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16</v>
      </c>
      <c r="Q15" s="171" t="str">
        <f t="shared" si="2"/>
        <v/>
      </c>
      <c r="R15" s="202" t="s">
        <v>39</v>
      </c>
      <c r="S15" s="174">
        <v>13</v>
      </c>
      <c r="T15" s="171" t="str">
        <f t="shared" si="3"/>
        <v/>
      </c>
      <c r="U15" s="202" t="s">
        <v>39</v>
      </c>
      <c r="V15" s="174">
        <v>14</v>
      </c>
      <c r="W15" s="171" t="str">
        <f t="shared" si="4"/>
        <v/>
      </c>
      <c r="X15" s="202" t="s">
        <v>39</v>
      </c>
      <c r="Y15" s="174">
        <v>16</v>
      </c>
      <c r="Z15" s="171" t="str">
        <f t="shared" si="5"/>
        <v/>
      </c>
      <c r="AA15" s="202" t="s">
        <v>39</v>
      </c>
      <c r="AB15" s="174">
        <v>16</v>
      </c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16</v>
      </c>
      <c r="AL15" s="171" t="str">
        <f t="shared" si="9"/>
        <v/>
      </c>
      <c r="AM15" s="202" t="s">
        <v>39</v>
      </c>
      <c r="AN15" s="174">
        <v>14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16</v>
      </c>
      <c r="AV15" s="173" t="str">
        <f t="shared" ca="1" si="13"/>
        <v/>
      </c>
      <c r="AX15" s="4">
        <f t="shared" si="14"/>
        <v>-150</v>
      </c>
      <c r="AY15" s="4">
        <f t="shared" ca="1" si="22"/>
        <v>150</v>
      </c>
      <c r="AZ15" s="4">
        <f t="shared" ca="1" si="15"/>
        <v>150</v>
      </c>
      <c r="BA15" s="4">
        <f t="shared" ca="1" si="16"/>
        <v>150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71.13333333333334</v>
      </c>
      <c r="BL15" s="68">
        <f ca="1">$K$23</f>
        <v>1067</v>
      </c>
      <c r="BM15" s="142"/>
      <c r="BN15" s="37">
        <f t="shared" ca="1" si="18"/>
        <v>12</v>
      </c>
      <c r="BO15" s="57" t="str">
        <f>$X$2</f>
        <v>JL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Summary'!W$3:OFFSET('Season Summary'!W$3,$C$2+$AR$2,0),"=1")&gt;0,COUNTIF('Season Summary'!W$3:OFFSET('Season Summary'!W$3,$C$2+$AR$2,0),"=1"),"")</f>
        <v/>
      </c>
      <c r="BS15" s="54" t="str">
        <f ca="1">IF(BR15="","",BR15*'Season Summary'!$AO$6)</f>
        <v/>
      </c>
      <c r="BT15" s="176" t="str">
        <f ca="1">IF($Y$22=1,"✓","")</f>
        <v/>
      </c>
      <c r="BU15" s="54" t="str">
        <f t="shared" ca="1" si="20"/>
        <v/>
      </c>
      <c r="BV15" s="176" t="str">
        <f ca="1">IF($Y$22=2,"✓","")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["H","H","H","H","V","H","V","V","V","H","H","V","H","H","H","V"];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200" t="s">
        <v>38</v>
      </c>
      <c r="G16" s="174">
        <v>4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7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12</v>
      </c>
      <c r="T16" s="171" t="str">
        <f t="shared" si="3"/>
        <v/>
      </c>
      <c r="U16" s="202" t="s">
        <v>39</v>
      </c>
      <c r="V16" s="174">
        <v>16</v>
      </c>
      <c r="W16" s="171" t="str">
        <f t="shared" si="4"/>
        <v/>
      </c>
      <c r="X16" s="202" t="s">
        <v>38</v>
      </c>
      <c r="Y16" s="174">
        <v>6</v>
      </c>
      <c r="Z16" s="171" t="str">
        <f t="shared" si="5"/>
        <v/>
      </c>
      <c r="AA16" s="202" t="s">
        <v>38</v>
      </c>
      <c r="AB16" s="174">
        <v>6</v>
      </c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 t="str">
        <f t="shared" si="8"/>
        <v/>
      </c>
      <c r="AJ16" s="202" t="s">
        <v>38</v>
      </c>
      <c r="AK16" s="174">
        <v>6</v>
      </c>
      <c r="AL16" s="171" t="str">
        <f t="shared" si="9"/>
        <v/>
      </c>
      <c r="AM16" s="202" t="s">
        <v>38</v>
      </c>
      <c r="AN16" s="174">
        <v>5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4</v>
      </c>
      <c r="AV16" s="173" t="str">
        <f t="shared" ca="1" si="13"/>
        <v/>
      </c>
      <c r="AX16" s="4">
        <f t="shared" si="14"/>
        <v>43</v>
      </c>
      <c r="AY16" s="4">
        <f t="shared" ca="1" si="22"/>
        <v>43</v>
      </c>
      <c r="AZ16" s="4">
        <f t="shared" ca="1" si="15"/>
        <v>43</v>
      </c>
      <c r="BA16" s="4">
        <f t="shared" ca="1" si="16"/>
        <v>43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["14","9","6","13","3","8","5","12","10","15","7","16","4","2","11","1"];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200" t="s">
        <v>38</v>
      </c>
      <c r="G17" s="174">
        <v>2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6</v>
      </c>
      <c r="N17" s="171" t="str">
        <f t="shared" si="1"/>
        <v/>
      </c>
      <c r="O17" s="202" t="s">
        <v>38</v>
      </c>
      <c r="P17" s="174">
        <v>9</v>
      </c>
      <c r="Q17" s="171" t="str">
        <f t="shared" si="2"/>
        <v/>
      </c>
      <c r="R17" s="202" t="s">
        <v>38</v>
      </c>
      <c r="S17" s="174">
        <v>11</v>
      </c>
      <c r="T17" s="171" t="str">
        <f t="shared" si="3"/>
        <v/>
      </c>
      <c r="U17" s="202" t="s">
        <v>38</v>
      </c>
      <c r="V17" s="174">
        <v>10</v>
      </c>
      <c r="W17" s="171" t="str">
        <f t="shared" si="4"/>
        <v/>
      </c>
      <c r="X17" s="202" t="s">
        <v>38</v>
      </c>
      <c r="Y17" s="174">
        <v>9</v>
      </c>
      <c r="Z17" s="171" t="str">
        <f t="shared" si="5"/>
        <v/>
      </c>
      <c r="AA17" s="202" t="s">
        <v>38</v>
      </c>
      <c r="AB17" s="174">
        <v>8</v>
      </c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5</v>
      </c>
      <c r="AL17" s="171" t="str">
        <f t="shared" si="9"/>
        <v/>
      </c>
      <c r="AM17" s="202" t="s">
        <v>38</v>
      </c>
      <c r="AN17" s="174">
        <v>11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84</v>
      </c>
      <c r="AY17" s="4">
        <f t="shared" ca="1" si="22"/>
        <v>84</v>
      </c>
      <c r="AZ17" s="4">
        <f t="shared" ca="1" si="15"/>
        <v>84</v>
      </c>
      <c r="BA17" s="4">
        <f t="shared" ca="1" si="16"/>
        <v>84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200" t="s">
        <v>38</v>
      </c>
      <c r="G18" s="174">
        <v>11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12</v>
      </c>
      <c r="N18" s="171" t="str">
        <f t="shared" si="1"/>
        <v/>
      </c>
      <c r="O18" s="202" t="s">
        <v>38</v>
      </c>
      <c r="P18" s="174">
        <v>12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2</v>
      </c>
      <c r="W18" s="171" t="str">
        <f t="shared" si="4"/>
        <v/>
      </c>
      <c r="X18" s="202" t="s">
        <v>38</v>
      </c>
      <c r="Y18" s="174">
        <v>13</v>
      </c>
      <c r="Z18" s="171" t="str">
        <f t="shared" si="5"/>
        <v/>
      </c>
      <c r="AA18" s="202" t="s">
        <v>38</v>
      </c>
      <c r="AB18" s="174">
        <v>12</v>
      </c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38</v>
      </c>
      <c r="AH18" s="174">
        <v>10</v>
      </c>
      <c r="AI18" s="171" t="str">
        <f t="shared" si="8"/>
        <v/>
      </c>
      <c r="AJ18" s="202" t="s">
        <v>38</v>
      </c>
      <c r="AK18" s="174">
        <v>12</v>
      </c>
      <c r="AL18" s="171" t="str">
        <f t="shared" si="9"/>
        <v/>
      </c>
      <c r="AM18" s="202" t="s">
        <v>38</v>
      </c>
      <c r="AN18" s="174">
        <v>12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12</v>
      </c>
      <c r="AV18" s="173" t="str">
        <f t="shared" ca="1" si="13"/>
        <v/>
      </c>
      <c r="AX18" s="4">
        <f t="shared" si="14"/>
        <v>106</v>
      </c>
      <c r="AY18" s="4">
        <f t="shared" ca="1" si="22"/>
        <v>106</v>
      </c>
      <c r="AZ18" s="4">
        <f t="shared" ca="1" si="15"/>
        <v>106.1</v>
      </c>
      <c r="BA18" s="4">
        <f t="shared" ca="1" si="16"/>
        <v>106.1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["13","10","4","16","3","8","5","11","9","14","2","15","7","6","12","1"];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200" t="s">
        <v>38</v>
      </c>
      <c r="G19" s="174">
        <v>1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38</v>
      </c>
      <c r="M19" s="174">
        <v>1</v>
      </c>
      <c r="N19" s="171" t="str">
        <f t="shared" si="1"/>
        <v/>
      </c>
      <c r="O19" s="202" t="s">
        <v>39</v>
      </c>
      <c r="P19" s="174">
        <v>1</v>
      </c>
      <c r="Q19" s="171" t="str">
        <f t="shared" si="2"/>
        <v/>
      </c>
      <c r="R19" s="202" t="s">
        <v>39</v>
      </c>
      <c r="S19" s="174">
        <v>9</v>
      </c>
      <c r="T19" s="171" t="str">
        <f t="shared" si="3"/>
        <v/>
      </c>
      <c r="U19" s="202" t="s">
        <v>39</v>
      </c>
      <c r="V19" s="174">
        <v>8</v>
      </c>
      <c r="W19" s="171" t="str">
        <f t="shared" si="4"/>
        <v/>
      </c>
      <c r="X19" s="202" t="s">
        <v>38</v>
      </c>
      <c r="Y19" s="174">
        <v>3</v>
      </c>
      <c r="Z19" s="171" t="str">
        <f t="shared" si="5"/>
        <v/>
      </c>
      <c r="AA19" s="202" t="s">
        <v>38</v>
      </c>
      <c r="AB19" s="174">
        <v>1</v>
      </c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38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 t="str">
        <f t="shared" si="9"/>
        <v/>
      </c>
      <c r="AM19" s="202" t="s">
        <v>39</v>
      </c>
      <c r="AN19" s="174">
        <v>1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["13","10","4","15","2","6","5","11","7","14","3","16","8","9","12","1"];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47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["14","1","2","7","4","6","5","3","16","15","8","13","12","11","10","9"];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11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["11","5","4","12","6","1","13","3","15","7","9","14","16","10","2","8"];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93.466666666666669</v>
      </c>
      <c r="I22" s="123"/>
      <c r="J22" s="121">
        <f ca="1">RANK(K35,($H35:$AO35),0)</f>
        <v>12</v>
      </c>
      <c r="K22" s="122">
        <f ca="1">IF($AR$3&lt;3,K23,K23/($AR$3-1))</f>
        <v>71.13333333333334</v>
      </c>
      <c r="L22" s="123"/>
      <c r="M22" s="121">
        <f ca="1">RANK(N35,($H35:$AO35),0)</f>
        <v>1</v>
      </c>
      <c r="N22" s="122">
        <f ca="1">IF($AR$3&lt;3,N23,N23/($AR$3-1))</f>
        <v>94.533333333333331</v>
      </c>
      <c r="O22" s="123"/>
      <c r="P22" s="121">
        <f ca="1">RANK(Q35,($H35:$AO35),0)</f>
        <v>4</v>
      </c>
      <c r="Q22" s="122">
        <f ca="1">IF($AR$3&lt;3,Q23,Q23/($AR$3-1))</f>
        <v>92.8</v>
      </c>
      <c r="R22" s="123"/>
      <c r="S22" s="121">
        <f ca="1">RANK(T35,($H35:$AO35),0)</f>
        <v>8</v>
      </c>
      <c r="T22" s="122">
        <f ca="1">IF($AR$3&lt;3,T23,T23/($AR$3-1))</f>
        <v>86.2</v>
      </c>
      <c r="U22" s="123"/>
      <c r="V22" s="121">
        <f ca="1">RANK(W35,($H35:$AO35),0)</f>
        <v>11</v>
      </c>
      <c r="W22" s="122">
        <f ca="1">IF($AR$3&lt;3,W23,W23/($AR$3-1))</f>
        <v>81.266666666666666</v>
      </c>
      <c r="X22" s="123"/>
      <c r="Y22" s="121">
        <f ca="1">RANK(Z35,($H35:$AO35),0)</f>
        <v>5</v>
      </c>
      <c r="Z22" s="122">
        <f ca="1">IF($AR$3&lt;3,Z23,Z23/($AR$3-1))</f>
        <v>91.733333333333334</v>
      </c>
      <c r="AA22" s="123"/>
      <c r="AB22" s="121">
        <f ca="1">RANK(AC35,($H35:$AO35),0)</f>
        <v>9</v>
      </c>
      <c r="AC22" s="122">
        <f ca="1">IF($AR$3&lt;3,AC23,AC23/($AR$3-1))</f>
        <v>83.933333333333337</v>
      </c>
      <c r="AD22" s="123"/>
      <c r="AE22" s="121">
        <f ca="1">RANK(AF35,($H35:$AO35),0)</f>
        <v>10</v>
      </c>
      <c r="AF22" s="122">
        <f ca="1">IF($AR$3&lt;3,AF23,AF23/($AR$3-1))</f>
        <v>83.4</v>
      </c>
      <c r="AG22" s="123"/>
      <c r="AH22" s="121">
        <f ca="1">RANK(AI35,($H35:$AO35),0)</f>
        <v>7</v>
      </c>
      <c r="AI22" s="122">
        <f ca="1">IF($AR$3&lt;3,AI23,AI23/($AR$3-1))</f>
        <v>86.86666666666666</v>
      </c>
      <c r="AJ22" s="123"/>
      <c r="AK22" s="121">
        <f ca="1">RANK(AL35,($H35:$AO35),0)</f>
        <v>3</v>
      </c>
      <c r="AL22" s="122">
        <f ca="1">IF($AR$3&lt;3,AL23,AL23/($AR$3-1))</f>
        <v>93.266666666666666</v>
      </c>
      <c r="AM22" s="123"/>
      <c r="AN22" s="121">
        <f ca="1">RANK(AO35,($H35:$AO35),0)</f>
        <v>6</v>
      </c>
      <c r="AO22" s="124">
        <f ca="1">IF($AR$3&lt;3,AO23,AO23/($AR$3-1))</f>
        <v>89.266666666666666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["12","2","8","14","4","7","1","11","10","15","5","16","6","9","13","3"];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1418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1392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1293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1219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1259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1303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1399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1339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["13","9","5","15","2","7","4","11","10","14","3","16","6","8","12","1"];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["12","2","9","16","4","7","3","8","11","15","6","14","5","13","10","1"];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0.64583333333333337</v>
      </c>
      <c r="H26" s="139">
        <f ca="1">SUM('Season Summary'!F3:OFFSET('Season Summary'!F3,$C$2+$AR$2,0))</f>
        <v>155</v>
      </c>
      <c r="I26" s="140"/>
      <c r="J26" s="138">
        <f ca="1">IF($AR$3=0,0,K26/SUM('Season Summary'!$D3:OFFSET('Season Summary'!$D3,$C$2+$AR$2,0)))</f>
        <v>0.45416666666666666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0.67083333333333328</v>
      </c>
      <c r="N26" s="139">
        <f ca="1">SUM('Season Summary'!L3:OFFSET('Season Summary'!L3,$C$2+$AR$2,0))</f>
        <v>161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152</v>
      </c>
      <c r="R26" s="140"/>
      <c r="S26" s="138">
        <f ca="1">IF($AR$3=0,0,T26/SUM('Season Summary'!$D3:OFFSET('Season Summary'!$D3,$C$2+$AR$2,0)))</f>
        <v>0.6166666666666667</v>
      </c>
      <c r="T26" s="139">
        <f ca="1">SUM('Season Summary'!R3:OFFSET('Season Summary'!R3,$C$2+$AR$2,0))</f>
        <v>148</v>
      </c>
      <c r="U26" s="140"/>
      <c r="V26" s="138">
        <f ca="1">IF($AR$3=0,0,W26/SUM('Season Summary'!$D3:OFFSET('Season Summary'!$D3,$C$2+$AR$2,0)))</f>
        <v>0.54583333333333328</v>
      </c>
      <c r="W26" s="139">
        <f ca="1">SUM('Season Summary'!U3:OFFSET('Season Summary'!U3,$C$2+$AR$2,0))</f>
        <v>131</v>
      </c>
      <c r="X26" s="140"/>
      <c r="Y26" s="138">
        <f ca="1">IF($AR$3=0,0,Z26/SUM('Season Summary'!$D3:OFFSET('Season Summary'!$D3,$C$2+$AR$2,0)))</f>
        <v>0.62083333333333335</v>
      </c>
      <c r="Z26" s="139">
        <f ca="1">SUM('Season Summary'!X3:OFFSET('Season Summary'!X3,$C$2+$AR$2,0))</f>
        <v>149</v>
      </c>
      <c r="AA26" s="140"/>
      <c r="AB26" s="138">
        <f ca="1">IF($AR$3=0,0,AC26/SUM('Season Summary'!$D3:OFFSET('Season Summary'!$D3,$C$2+$AR$2,0)))</f>
        <v>0.56666666666666665</v>
      </c>
      <c r="AC26" s="139">
        <f ca="1">SUM('Season Summary'!AA3:OFFSET('Season Summary'!AA3,$C$2+$AR$2,0))</f>
        <v>136</v>
      </c>
      <c r="AD26" s="140"/>
      <c r="AE26" s="138">
        <f ca="1">IF($AR$3=0,0,AF26/SUM('Season Summary'!$D3:OFFSET('Season Summary'!$D3,$C$2+$AR$2,0)))</f>
        <v>0.54166666666666663</v>
      </c>
      <c r="AF26" s="139">
        <f ca="1">SUM('Season Summary'!AD3:OFFSET('Season Summary'!AD3,$C$2+$AR$2,0))</f>
        <v>130</v>
      </c>
      <c r="AG26" s="140"/>
      <c r="AH26" s="138">
        <f ca="1">IF($AR$3=0,0,AI26/SUM('Season Summary'!$D3:OFFSET('Season Summary'!$D3,$C$2+$AR$2,0)))</f>
        <v>0.56666666666666665</v>
      </c>
      <c r="AI26" s="139">
        <f ca="1">SUM('Season Summary'!AG3:OFFSET('Season Summary'!AG3,$C$2+$AR$2,0))</f>
        <v>136</v>
      </c>
      <c r="AJ26" s="140"/>
      <c r="AK26" s="138">
        <f ca="1">IF($AR$3=0,0,AL26/SUM('Season Summary'!$D3:OFFSET('Season Summary'!$D3,$C$2+$AR$2,0)))</f>
        <v>0.64583333333333337</v>
      </c>
      <c r="AL26" s="139">
        <f ca="1">SUM('Season Summary'!AJ3:OFFSET('Season Summary'!AJ3,$C$2+$AR$2,0))</f>
        <v>155</v>
      </c>
      <c r="AM26" s="140"/>
      <c r="AN26" s="138">
        <f ca="1">IF($AR$3=0,0,AO26/SUM('Season Summary'!$D3:OFFSET('Season Summary'!$D3,$C$2+$AR$2,0)))</f>
        <v>0.59583333333333333</v>
      </c>
      <c r="AO26" s="141">
        <f ca="1">SUM('Season Summary'!AM3:OFFSET('Season Summary'!AM3,$C$2+$AR$2,0))</f>
        <v>143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["13","10","7","15","3","9","4","11","8","14","2","16","6","5","12","1"];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["16","6","7","9","3","8","4","2","10","15","13","14","5","11","12","1"];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["44","","46","42","47","38","46","47","","49","47","43"];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si="25">K21</f>
        <v>0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si="32">AF21</f>
        <v>0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93.466666666666669</v>
      </c>
      <c r="I35" s="147"/>
      <c r="J35" s="147"/>
      <c r="K35" s="302">
        <f t="shared" ca="1" si="25"/>
        <v>71.13333333333334</v>
      </c>
      <c r="L35" s="147"/>
      <c r="M35" s="147"/>
      <c r="N35" s="302">
        <f t="shared" ca="1" si="26"/>
        <v>94.533333333333331</v>
      </c>
      <c r="Q35" s="302">
        <f t="shared" ca="1" si="27"/>
        <v>92.8</v>
      </c>
      <c r="T35" s="302">
        <f t="shared" ca="1" si="28"/>
        <v>86.2</v>
      </c>
      <c r="W35" s="302">
        <f t="shared" ca="1" si="29"/>
        <v>81.266666666666666</v>
      </c>
      <c r="Z35" s="302">
        <f t="shared" ca="1" si="30"/>
        <v>91.733333333333334</v>
      </c>
      <c r="AC35" s="302">
        <f t="shared" ca="1" si="31"/>
        <v>83.933333333333337</v>
      </c>
      <c r="AF35" s="302">
        <f t="shared" ca="1" si="32"/>
        <v>83.4</v>
      </c>
      <c r="AI35" s="302">
        <f t="shared" ca="1" si="33"/>
        <v>86.86666666666666</v>
      </c>
      <c r="AL35" s="302">
        <f t="shared" ca="1" si="34"/>
        <v>93.266666666666666</v>
      </c>
      <c r="AO35" s="302">
        <f t="shared" ca="1" si="35"/>
        <v>89.266666666666666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1402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1418</v>
      </c>
      <c r="Q36" s="302">
        <f t="shared" ca="1" si="27"/>
        <v>1392</v>
      </c>
      <c r="T36" s="302">
        <f t="shared" ca="1" si="28"/>
        <v>1293</v>
      </c>
      <c r="W36" s="302">
        <f t="shared" ca="1" si="29"/>
        <v>1219</v>
      </c>
      <c r="Z36" s="302">
        <f t="shared" ca="1" si="30"/>
        <v>1376</v>
      </c>
      <c r="AC36" s="302">
        <f t="shared" ca="1" si="31"/>
        <v>1259</v>
      </c>
      <c r="AF36" s="302">
        <f t="shared" ca="1" si="32"/>
        <v>1251</v>
      </c>
      <c r="AI36" s="302">
        <f t="shared" ca="1" si="33"/>
        <v>1303</v>
      </c>
      <c r="AL36" s="302">
        <f t="shared" ca="1" si="34"/>
        <v>1399</v>
      </c>
      <c r="AO36" s="302">
        <f t="shared" ca="1" si="35"/>
        <v>1339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155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161</v>
      </c>
      <c r="Q39" s="302">
        <f t="shared" ca="1" si="27"/>
        <v>152</v>
      </c>
      <c r="T39" s="302">
        <f t="shared" ca="1" si="28"/>
        <v>148</v>
      </c>
      <c r="W39" s="302">
        <f t="shared" ca="1" si="29"/>
        <v>131</v>
      </c>
      <c r="Z39" s="302">
        <f t="shared" ca="1" si="30"/>
        <v>149</v>
      </c>
      <c r="AC39" s="302">
        <f t="shared" ca="1" si="31"/>
        <v>136</v>
      </c>
      <c r="AF39" s="302">
        <f t="shared" ca="1" si="32"/>
        <v>130</v>
      </c>
      <c r="AI39" s="302">
        <f t="shared" ca="1" si="33"/>
        <v>136</v>
      </c>
      <c r="AL39" s="302">
        <f t="shared" ca="1" si="34"/>
        <v>155</v>
      </c>
      <c r="AO39" s="302">
        <f t="shared" ca="1" si="35"/>
        <v>143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9</v>
      </c>
      <c r="AC40" s="302"/>
      <c r="AE40" s="301">
        <f ca="1">AE22</f>
        <v>10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0.64583333333333337</v>
      </c>
      <c r="H42" s="147"/>
      <c r="I42" s="147"/>
      <c r="J42" s="301">
        <f ca="1">J26</f>
        <v>0.45416666666666666</v>
      </c>
      <c r="K42" s="147"/>
      <c r="L42" s="147"/>
      <c r="M42" s="301">
        <f ca="1">M26</f>
        <v>0.67083333333333328</v>
      </c>
      <c r="P42" s="301">
        <f ca="1">P26</f>
        <v>0.6333333333333333</v>
      </c>
      <c r="S42" s="301">
        <f ca="1">S26</f>
        <v>0.6166666666666667</v>
      </c>
      <c r="V42" s="301">
        <f ca="1">V26</f>
        <v>0.54583333333333328</v>
      </c>
      <c r="Y42" s="301">
        <f ca="1">Y26</f>
        <v>0.62083333333333335</v>
      </c>
      <c r="AB42" s="301">
        <f ca="1">AB26</f>
        <v>0.56666666666666665</v>
      </c>
      <c r="AE42" s="301">
        <f ca="1">AE26</f>
        <v>0.54166666666666663</v>
      </c>
      <c r="AH42" s="301">
        <f ca="1">AH26</f>
        <v>0.56666666666666665</v>
      </c>
      <c r="AK42" s="301">
        <f ca="1">AK26</f>
        <v>0.64583333333333337</v>
      </c>
      <c r="AN42" s="301">
        <f ca="1">AN26</f>
        <v>0.59583333333333333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-48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93.466666666666669</v>
      </c>
      <c r="BL4" s="64">
        <f ca="1">$H$23</f>
        <v>1402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-16</v>
      </c>
      <c r="BQ4" s="43">
        <f ca="1">-$AR$3*'Season Summary'!$AO$3</f>
        <v>-48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32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71.13333333333334</v>
      </c>
      <c r="BL5" s="66">
        <f ca="1">$K$23</f>
        <v>1067</v>
      </c>
      <c r="BM5" s="142"/>
      <c r="BN5" s="36">
        <f t="shared" ca="1" si="18"/>
        <v>4</v>
      </c>
      <c r="BO5" s="56" t="str">
        <f>$I$2</f>
        <v>CK</v>
      </c>
      <c r="BP5" s="46">
        <f t="shared" ca="1" si="19"/>
        <v>14</v>
      </c>
      <c r="BQ5" s="45">
        <f ca="1">-$AR$3*'Season Summary'!$AO$3</f>
        <v>-48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94.533333333333331</v>
      </c>
      <c r="BL6" s="66">
        <f ca="1">$N$23</f>
        <v>1418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-48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48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92.8</v>
      </c>
      <c r="BL7" s="66">
        <f ca="1">$Q$23</f>
        <v>1392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86.2</v>
      </c>
      <c r="BL8" s="66">
        <f ca="1">$T$23</f>
        <v>1293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45</v>
      </c>
      <c r="BQ8" s="45">
        <f ca="1">-$AR$3*'Season Summary'!$AO$3</f>
        <v>-48</v>
      </c>
      <c r="BR8" s="51">
        <f ca="1">IF(COUNTIF('Season Summary'!Q$3:OFFSET('Season Summary'!Q$3,$C$2+$AR$2,0),"=1")&gt;0,COUNTIF('Season Summary'!Q$3:OFFSET('Season Summary'!Q$3,$C$2+$AR$2,0),"=1"),"")</f>
        <v>3</v>
      </c>
      <c r="BS8" s="52">
        <f ca="1">IF(BR8="","",BR8*'Season Summary'!$AO$6)</f>
        <v>93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11</v>
      </c>
      <c r="BJ9" s="56" t="str">
        <f>$U$2</f>
        <v>JG</v>
      </c>
      <c r="BK9" s="65">
        <f ca="1">$W$22</f>
        <v>81.266666666666666</v>
      </c>
      <c r="BL9" s="66">
        <f ca="1">$W$23</f>
        <v>1219</v>
      </c>
      <c r="BM9" s="142"/>
      <c r="BN9" s="36">
        <f t="shared" ca="1" si="18"/>
        <v>7</v>
      </c>
      <c r="BO9" s="56" t="str">
        <f>$U$2</f>
        <v>JG</v>
      </c>
      <c r="BP9" s="46">
        <f t="shared" ca="1" si="19"/>
        <v>-17</v>
      </c>
      <c r="BQ9" s="45">
        <f ca="1">-$AR$3*'Season Summary'!$AO$3</f>
        <v>-48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91.733333333333334</v>
      </c>
      <c r="BL10" s="66">
        <f ca="1">$Z$23</f>
        <v>1376</v>
      </c>
      <c r="BM10" s="142"/>
      <c r="BN10" s="36">
        <f t="shared" ca="1" si="18"/>
        <v>12</v>
      </c>
      <c r="BO10" s="56" t="str">
        <f>$X$2</f>
        <v>JL</v>
      </c>
      <c r="BP10" s="46">
        <f t="shared" ca="1" si="19"/>
        <v>-48</v>
      </c>
      <c r="BQ10" s="45">
        <f ca="1">-$AR$3*'Season Summary'!$AO$3</f>
        <v>-48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83.933333333333337</v>
      </c>
      <c r="BL11" s="66">
        <f ca="1">$AC$23</f>
        <v>1259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10</v>
      </c>
      <c r="BJ12" s="56" t="str">
        <f>$AD$2</f>
        <v>KK</v>
      </c>
      <c r="BK12" s="65">
        <f ca="1">$AF$22</f>
        <v>83.4</v>
      </c>
      <c r="BL12" s="66">
        <f ca="1">$AF$23</f>
        <v>1251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86.86666666666666</v>
      </c>
      <c r="BL13" s="66">
        <f ca="1">$AI$23</f>
        <v>1303</v>
      </c>
      <c r="BM13" s="142"/>
      <c r="BN13" s="36">
        <f t="shared" ca="1" si="18"/>
        <v>7</v>
      </c>
      <c r="BO13" s="56" t="str">
        <f>$AG$2</f>
        <v>MB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3</v>
      </c>
      <c r="BJ14" s="56" t="str">
        <f>$AJ$2</f>
        <v>RR</v>
      </c>
      <c r="BK14" s="65">
        <f ca="1">$AL$22</f>
        <v>93.266666666666666</v>
      </c>
      <c r="BL14" s="66">
        <f ca="1">$AL$23</f>
        <v>1399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-17</v>
      </c>
      <c r="BQ14" s="45">
        <f ca="1">-$AR$3*'Season Summary'!$AO$3</f>
        <v>-48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89.266666666666666</v>
      </c>
      <c r="BL15" s="68">
        <f ca="1">$AO$23</f>
        <v>1339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45</v>
      </c>
      <c r="BQ15" s="47">
        <f ca="1">-$AR$3*'Season Summary'!$AO$3</f>
        <v>-48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93.466666666666669</v>
      </c>
      <c r="I22" s="123"/>
      <c r="J22" s="121">
        <f ca="1">RANK(K35,($H35:$AO35),0)</f>
        <v>12</v>
      </c>
      <c r="K22" s="122">
        <f ca="1">IF($AR$3&lt;3,K23,K23/($AR$3-1))</f>
        <v>71.13333333333334</v>
      </c>
      <c r="L22" s="123"/>
      <c r="M22" s="121">
        <f ca="1">RANK(N35,($H35:$AO35),0)</f>
        <v>1</v>
      </c>
      <c r="N22" s="122">
        <f ca="1">IF($AR$3&lt;3,N23,N23/($AR$3-1))</f>
        <v>94.533333333333331</v>
      </c>
      <c r="O22" s="123"/>
      <c r="P22" s="121">
        <f ca="1">RANK(Q35,($H35:$AO35),0)</f>
        <v>4</v>
      </c>
      <c r="Q22" s="122">
        <f ca="1">IF($AR$3&lt;3,Q23,Q23/($AR$3-1))</f>
        <v>92.8</v>
      </c>
      <c r="R22" s="123"/>
      <c r="S22" s="121">
        <f ca="1">RANK(T35,($H35:$AO35),0)</f>
        <v>8</v>
      </c>
      <c r="T22" s="122">
        <f ca="1">IF($AR$3&lt;3,T23,T23/($AR$3-1))</f>
        <v>86.2</v>
      </c>
      <c r="U22" s="123"/>
      <c r="V22" s="121">
        <f ca="1">RANK(W35,($H35:$AO35),0)</f>
        <v>11</v>
      </c>
      <c r="W22" s="122">
        <f ca="1">IF($AR$3&lt;3,W23,W23/($AR$3-1))</f>
        <v>81.266666666666666</v>
      </c>
      <c r="X22" s="123"/>
      <c r="Y22" s="121">
        <f ca="1">RANK(Z35,($H35:$AO35),0)</f>
        <v>5</v>
      </c>
      <c r="Z22" s="122">
        <f ca="1">IF($AR$3&lt;3,Z23,Z23/($AR$3-1))</f>
        <v>91.733333333333334</v>
      </c>
      <c r="AA22" s="123"/>
      <c r="AB22" s="121">
        <f ca="1">RANK(AC35,($H35:$AO35),0)</f>
        <v>9</v>
      </c>
      <c r="AC22" s="122">
        <f ca="1">IF($AR$3&lt;3,AC23,AC23/($AR$3-1))</f>
        <v>83.933333333333337</v>
      </c>
      <c r="AD22" s="123"/>
      <c r="AE22" s="121">
        <f ca="1">RANK(AF35,($H35:$AO35),0)</f>
        <v>10</v>
      </c>
      <c r="AF22" s="122">
        <f ca="1">IF($AR$3&lt;3,AF23,AF23/($AR$3-1))</f>
        <v>83.4</v>
      </c>
      <c r="AG22" s="123"/>
      <c r="AH22" s="121">
        <f ca="1">RANK(AI35,($H35:$AO35),0)</f>
        <v>7</v>
      </c>
      <c r="AI22" s="122">
        <f ca="1">IF($AR$3&lt;3,AI23,AI23/($AR$3-1))</f>
        <v>86.86666666666666</v>
      </c>
      <c r="AJ22" s="123"/>
      <c r="AK22" s="121">
        <f ca="1">RANK(AL35,($H35:$AO35),0)</f>
        <v>3</v>
      </c>
      <c r="AL22" s="122">
        <f ca="1">IF($AR$3&lt;3,AL23,AL23/($AR$3-1))</f>
        <v>93.266666666666666</v>
      </c>
      <c r="AM22" s="123"/>
      <c r="AN22" s="121">
        <f ca="1">RANK(AO35,($H35:$AO35),0)</f>
        <v>6</v>
      </c>
      <c r="AO22" s="124">
        <f ca="1">IF($AR$3&lt;3,AO23,AO23/($AR$3-1))</f>
        <v>89.266666666666666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1418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1392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1293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1219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1259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1303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1399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1339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58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31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0.64583333333333337</v>
      </c>
      <c r="H26" s="139">
        <f ca="1">SUM('Season Summary'!F3:OFFSET('Season Summary'!F3,$C$2+$AR$2,0))</f>
        <v>155</v>
      </c>
      <c r="I26" s="140"/>
      <c r="J26" s="138">
        <f ca="1">IF($AR$3=0,0,K26/SUM('Season Summary'!$D3:OFFSET('Season Summary'!$D3,$C$2+$AR$2,0)))</f>
        <v>0.45416666666666666</v>
      </c>
      <c r="K26" s="139">
        <f ca="1">SUM('Season Summary'!I3:OFFSET('Season Summary'!I3,$C$2+$AR$2,0))</f>
        <v>109</v>
      </c>
      <c r="L26" s="140"/>
      <c r="M26" s="138">
        <f ca="1">IF($AR$3=0,0,N26/SUM('Season Summary'!$D3:OFFSET('Season Summary'!$D3,$C$2+$AR$2,0)))</f>
        <v>0.67083333333333328</v>
      </c>
      <c r="N26" s="139">
        <f ca="1">SUM('Season Summary'!L3:OFFSET('Season Summary'!L3,$C$2+$AR$2,0))</f>
        <v>161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152</v>
      </c>
      <c r="R26" s="140"/>
      <c r="S26" s="138">
        <f ca="1">IF($AR$3=0,0,T26/SUM('Season Summary'!$D3:OFFSET('Season Summary'!$D3,$C$2+$AR$2,0)))</f>
        <v>0.6166666666666667</v>
      </c>
      <c r="T26" s="139">
        <f ca="1">SUM('Season Summary'!R3:OFFSET('Season Summary'!R3,$C$2+$AR$2,0))</f>
        <v>148</v>
      </c>
      <c r="U26" s="140"/>
      <c r="V26" s="138">
        <f ca="1">IF($AR$3=0,0,W26/SUM('Season Summary'!$D3:OFFSET('Season Summary'!$D3,$C$2+$AR$2,0)))</f>
        <v>0.54583333333333328</v>
      </c>
      <c r="W26" s="139">
        <f ca="1">SUM('Season Summary'!U3:OFFSET('Season Summary'!U3,$C$2+$AR$2,0))</f>
        <v>131</v>
      </c>
      <c r="X26" s="140"/>
      <c r="Y26" s="138">
        <f ca="1">IF($AR$3=0,0,Z26/SUM('Season Summary'!$D3:OFFSET('Season Summary'!$D3,$C$2+$AR$2,0)))</f>
        <v>0.62083333333333335</v>
      </c>
      <c r="Z26" s="139">
        <f ca="1">SUM('Season Summary'!X3:OFFSET('Season Summary'!X3,$C$2+$AR$2,0))</f>
        <v>149</v>
      </c>
      <c r="AA26" s="140"/>
      <c r="AB26" s="138">
        <f ca="1">IF($AR$3=0,0,AC26/SUM('Season Summary'!$D3:OFFSET('Season Summary'!$D3,$C$2+$AR$2,0)))</f>
        <v>0.56666666666666665</v>
      </c>
      <c r="AC26" s="139">
        <f ca="1">SUM('Season Summary'!AA3:OFFSET('Season Summary'!AA3,$C$2+$AR$2,0))</f>
        <v>136</v>
      </c>
      <c r="AD26" s="140"/>
      <c r="AE26" s="138">
        <f ca="1">IF($AR$3=0,0,AF26/SUM('Season Summary'!$D3:OFFSET('Season Summary'!$D3,$C$2+$AR$2,0)))</f>
        <v>0.54166666666666663</v>
      </c>
      <c r="AF26" s="139">
        <f ca="1">SUM('Season Summary'!AD3:OFFSET('Season Summary'!AD3,$C$2+$AR$2,0))</f>
        <v>130</v>
      </c>
      <c r="AG26" s="140"/>
      <c r="AH26" s="138">
        <f ca="1">IF($AR$3=0,0,AI26/SUM('Season Summary'!$D3:OFFSET('Season Summary'!$D3,$C$2+$AR$2,0)))</f>
        <v>0.56666666666666665</v>
      </c>
      <c r="AI26" s="139">
        <f ca="1">SUM('Season Summary'!AG3:OFFSET('Season Summary'!AG3,$C$2+$AR$2,0))</f>
        <v>136</v>
      </c>
      <c r="AJ26" s="140"/>
      <c r="AK26" s="138">
        <f ca="1">IF($AR$3=0,0,AL26/SUM('Season Summary'!$D3:OFFSET('Season Summary'!$D3,$C$2+$AR$2,0)))</f>
        <v>0.64583333333333337</v>
      </c>
      <c r="AL26" s="139">
        <f ca="1">SUM('Season Summary'!AJ3:OFFSET('Season Summary'!AJ3,$C$2+$AR$2,0))</f>
        <v>155</v>
      </c>
      <c r="AM26" s="140"/>
      <c r="AN26" s="138">
        <f ca="1">IF($AR$3=0,0,AO26/SUM('Season Summary'!$D3:OFFSET('Season Summary'!$D3,$C$2+$AR$2,0)))</f>
        <v>0.59583333333333333</v>
      </c>
      <c r="AO26" s="141">
        <f ca="1">SUM('Season Summary'!AM3:OFFSET('Season Summary'!AM3,$C$2+$AR$2,0))</f>
        <v>143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93.466666666666669</v>
      </c>
      <c r="I35" s="147"/>
      <c r="J35" s="147"/>
      <c r="K35" s="302">
        <f t="shared" ca="1" si="25"/>
        <v>71.13333333333334</v>
      </c>
      <c r="L35" s="147"/>
      <c r="M35" s="147"/>
      <c r="N35" s="302">
        <f t="shared" ca="1" si="26"/>
        <v>94.533333333333331</v>
      </c>
      <c r="Q35" s="302">
        <f t="shared" ca="1" si="27"/>
        <v>92.8</v>
      </c>
      <c r="T35" s="302">
        <f t="shared" ca="1" si="28"/>
        <v>86.2</v>
      </c>
      <c r="W35" s="302">
        <f t="shared" ca="1" si="29"/>
        <v>81.266666666666666</v>
      </c>
      <c r="Z35" s="302">
        <f t="shared" ca="1" si="30"/>
        <v>91.733333333333334</v>
      </c>
      <c r="AC35" s="302">
        <f t="shared" ca="1" si="31"/>
        <v>83.933333333333337</v>
      </c>
      <c r="AF35" s="302">
        <f t="shared" ca="1" si="32"/>
        <v>83.4</v>
      </c>
      <c r="AI35" s="302">
        <f t="shared" ca="1" si="33"/>
        <v>86.86666666666666</v>
      </c>
      <c r="AL35" s="302">
        <f t="shared" ca="1" si="34"/>
        <v>93.266666666666666</v>
      </c>
      <c r="AO35" s="302">
        <f t="shared" ca="1" si="35"/>
        <v>89.266666666666666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1402</v>
      </c>
      <c r="I36" s="147"/>
      <c r="J36" s="147"/>
      <c r="K36" s="302">
        <f t="shared" ca="1" si="25"/>
        <v>1067</v>
      </c>
      <c r="L36" s="147"/>
      <c r="M36" s="147"/>
      <c r="N36" s="302">
        <f t="shared" ca="1" si="26"/>
        <v>1418</v>
      </c>
      <c r="Q36" s="302">
        <f t="shared" ca="1" si="27"/>
        <v>1392</v>
      </c>
      <c r="T36" s="302">
        <f t="shared" ca="1" si="28"/>
        <v>1293</v>
      </c>
      <c r="W36" s="302">
        <f t="shared" ca="1" si="29"/>
        <v>1219</v>
      </c>
      <c r="Z36" s="302">
        <f t="shared" ca="1" si="30"/>
        <v>1376</v>
      </c>
      <c r="AC36" s="302">
        <f t="shared" ca="1" si="31"/>
        <v>1259</v>
      </c>
      <c r="AF36" s="302">
        <f t="shared" ca="1" si="32"/>
        <v>1251</v>
      </c>
      <c r="AI36" s="302">
        <f t="shared" ca="1" si="33"/>
        <v>1303</v>
      </c>
      <c r="AL36" s="302">
        <f t="shared" ca="1" si="34"/>
        <v>1399</v>
      </c>
      <c r="AO36" s="302">
        <f t="shared" ca="1" si="35"/>
        <v>1339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58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44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31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155</v>
      </c>
      <c r="I39" s="147"/>
      <c r="J39" s="147"/>
      <c r="K39" s="302">
        <f t="shared" ca="1" si="25"/>
        <v>109</v>
      </c>
      <c r="L39" s="147"/>
      <c r="M39" s="147"/>
      <c r="N39" s="302">
        <f t="shared" ca="1" si="26"/>
        <v>161</v>
      </c>
      <c r="Q39" s="302">
        <f t="shared" ca="1" si="27"/>
        <v>152</v>
      </c>
      <c r="T39" s="302">
        <f t="shared" ca="1" si="28"/>
        <v>148</v>
      </c>
      <c r="W39" s="302">
        <f t="shared" ca="1" si="29"/>
        <v>131</v>
      </c>
      <c r="Z39" s="302">
        <f t="shared" ca="1" si="30"/>
        <v>149</v>
      </c>
      <c r="AC39" s="302">
        <f t="shared" ca="1" si="31"/>
        <v>136</v>
      </c>
      <c r="AF39" s="302">
        <f t="shared" ca="1" si="32"/>
        <v>130</v>
      </c>
      <c r="AI39" s="302">
        <f t="shared" ca="1" si="33"/>
        <v>136</v>
      </c>
      <c r="AL39" s="302">
        <f t="shared" ca="1" si="34"/>
        <v>155</v>
      </c>
      <c r="AO39" s="302">
        <f t="shared" ca="1" si="35"/>
        <v>143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11</v>
      </c>
      <c r="W40" s="302"/>
      <c r="Y40" s="301">
        <f ca="1">Y22</f>
        <v>5</v>
      </c>
      <c r="Z40" s="302"/>
      <c r="AB40" s="301">
        <f ca="1">AB22</f>
        <v>9</v>
      </c>
      <c r="AC40" s="302"/>
      <c r="AE40" s="301">
        <f ca="1">AE22</f>
        <v>10</v>
      </c>
      <c r="AF40" s="302"/>
      <c r="AH40" s="301">
        <f ca="1">AH22</f>
        <v>7</v>
      </c>
      <c r="AI40" s="302"/>
      <c r="AK40" s="301">
        <f ca="1">AK22</f>
        <v>3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0.64583333333333337</v>
      </c>
      <c r="H42" s="147"/>
      <c r="I42" s="147"/>
      <c r="J42" s="301">
        <f ca="1">J26</f>
        <v>0.45416666666666666</v>
      </c>
      <c r="K42" s="147"/>
      <c r="L42" s="147"/>
      <c r="M42" s="301">
        <f ca="1">M26</f>
        <v>0.67083333333333328</v>
      </c>
      <c r="P42" s="301">
        <f ca="1">P26</f>
        <v>0.6333333333333333</v>
      </c>
      <c r="S42" s="301">
        <f ca="1">S26</f>
        <v>0.6166666666666667</v>
      </c>
      <c r="V42" s="301">
        <f ca="1">V26</f>
        <v>0.54583333333333328</v>
      </c>
      <c r="Y42" s="301">
        <f ca="1">Y26</f>
        <v>0.62083333333333335</v>
      </c>
      <c r="AB42" s="301">
        <f ca="1">AB26</f>
        <v>0.56666666666666665</v>
      </c>
      <c r="AE42" s="301">
        <f ca="1">AE26</f>
        <v>0.54166666666666663</v>
      </c>
      <c r="AH42" s="301">
        <f ca="1">AH26</f>
        <v>0.56666666666666665</v>
      </c>
      <c r="AK42" s="301">
        <f ca="1">AK26</f>
        <v>0.64583333333333337</v>
      </c>
      <c r="AN42" s="301">
        <f ca="1">AN26</f>
        <v>0.59583333333333333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2" t="str">
        <f ca="1">IF($AQ$2=0,"",CONCATENATE("Week ",AQ2," Final"))</f>
        <v>Week 16 Final</v>
      </c>
      <c r="C2" s="323">
        <f>$AR$12</f>
        <v>0</v>
      </c>
      <c r="D2" s="324"/>
      <c r="E2" s="91" t="s">
        <v>761</v>
      </c>
      <c r="F2" s="92">
        <f ca="1">INDIRECT("'"&amp;INDEX(worksheet_names,_xlfn.SHEET()-1)&amp;"'!G2")</f>
        <v>-16</v>
      </c>
      <c r="G2" s="93"/>
      <c r="H2" s="91" t="s">
        <v>762</v>
      </c>
      <c r="I2" s="92">
        <f ca="1">INDIRECT("'"&amp;INDEX(worksheet_names,_xlfn.SHEET()-1)&amp;"'!J2")</f>
        <v>14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14</v>
      </c>
      <c r="P2" s="93"/>
      <c r="Q2" s="91" t="s">
        <v>765</v>
      </c>
      <c r="R2" s="92">
        <f ca="1">INDIRECT("'"&amp;INDEX(worksheet_names,_xlfn.SHEET()-1)&amp;"'!S2")</f>
        <v>45</v>
      </c>
      <c r="S2" s="93"/>
      <c r="T2" s="91" t="s">
        <v>766</v>
      </c>
      <c r="U2" s="92">
        <f ca="1">INDIRECT("'"&amp;INDEX(worksheet_names,_xlfn.SHEET()-1)&amp;"'!V2")</f>
        <v>-17</v>
      </c>
      <c r="V2" s="93"/>
      <c r="W2" s="91" t="s">
        <v>767</v>
      </c>
      <c r="X2" s="92">
        <f ca="1">INDIRECT("'"&amp;INDEX(worksheet_names,_xlfn.SHEET()-1)&amp;"'!Y2")</f>
        <v>-48</v>
      </c>
      <c r="Y2" s="93"/>
      <c r="Z2" s="91" t="s">
        <v>768</v>
      </c>
      <c r="AA2" s="92">
        <f ca="1">INDIRECT("'"&amp;INDEX(worksheet_names,_xlfn.SHEET()-1)&amp;"'!AB2")</f>
        <v>-17</v>
      </c>
      <c r="AB2" s="93"/>
      <c r="AC2" s="91" t="s">
        <v>769</v>
      </c>
      <c r="AD2" s="92">
        <f ca="1">INDIRECT("'"&amp;INDEX(worksheet_names,_xlfn.SHEET()-1)&amp;"'!AE2")</f>
        <v>-17</v>
      </c>
      <c r="AE2" s="93"/>
      <c r="AF2" s="91" t="s">
        <v>770</v>
      </c>
      <c r="AG2" s="92">
        <f ca="1">INDIRECT("'"&amp;INDEX(worksheet_names,_xlfn.SHEET()-1)&amp;"'!AH2")</f>
        <v>-17</v>
      </c>
      <c r="AH2" s="93"/>
      <c r="AI2" s="91" t="s">
        <v>771</v>
      </c>
      <c r="AJ2" s="92">
        <f ca="1">INDIRECT("'"&amp;INDEX(worksheet_names,_xlfn.SHEET()-1)&amp;"'!AK2")</f>
        <v>-17</v>
      </c>
      <c r="AK2" s="93"/>
      <c r="AL2" s="91" t="s">
        <v>772</v>
      </c>
      <c r="AM2" s="92">
        <f ca="1">INDIRECT("'"&amp;INDEX(worksheet_names,_xlfn.SHEET()-1)&amp;"'!AN2")</f>
        <v>45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16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17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>
        <f t="shared" ca="1" si="13"/>
        <v>13</v>
      </c>
      <c r="E16" s="200">
        <f t="shared" ca="1" si="14"/>
        <v>4</v>
      </c>
      <c r="F16" s="167">
        <f t="shared" ca="1" si="15"/>
        <v>10</v>
      </c>
      <c r="G16" s="201">
        <f t="shared" ca="1" si="16"/>
        <v>91</v>
      </c>
      <c r="H16" s="202">
        <f t="shared" ca="1" si="17"/>
        <v>12</v>
      </c>
      <c r="I16" s="167">
        <f t="shared" ca="1" si="18"/>
        <v>5</v>
      </c>
      <c r="J16" s="201">
        <f t="shared" ca="1" si="19"/>
        <v>57</v>
      </c>
      <c r="K16" s="202">
        <f t="shared" ca="1" si="20"/>
        <v>2</v>
      </c>
      <c r="L16" s="167">
        <f t="shared" ca="1" si="21"/>
        <v>10</v>
      </c>
      <c r="M16" s="201">
        <f t="shared" ca="1" si="22"/>
        <v>92</v>
      </c>
      <c r="N16" s="202">
        <f t="shared" ca="1" si="23"/>
        <v>8</v>
      </c>
      <c r="O16" s="167">
        <f t="shared" ca="1" si="24"/>
        <v>9</v>
      </c>
      <c r="P16" s="201">
        <f t="shared" ca="1" si="25"/>
        <v>86</v>
      </c>
      <c r="Q16" s="202">
        <f t="shared" ca="1" si="26"/>
        <v>11</v>
      </c>
      <c r="R16" s="167">
        <f t="shared" ca="1" si="27"/>
        <v>8</v>
      </c>
      <c r="S16" s="201">
        <f t="shared" ca="1" si="28"/>
        <v>79</v>
      </c>
      <c r="T16" s="202">
        <f t="shared" ca="1" si="29"/>
        <v>4</v>
      </c>
      <c r="U16" s="167">
        <f t="shared" ca="1" si="30"/>
        <v>9</v>
      </c>
      <c r="V16" s="201">
        <f t="shared" ca="1" si="31"/>
        <v>91</v>
      </c>
      <c r="W16" s="202">
        <f t="shared" ca="1" si="32"/>
        <v>8</v>
      </c>
      <c r="X16" s="167">
        <f t="shared" ca="1" si="33"/>
        <v>9</v>
      </c>
      <c r="Y16" s="201">
        <f t="shared" ca="1" si="34"/>
        <v>86</v>
      </c>
      <c r="Z16" s="202">
        <f t="shared" ca="1" si="35"/>
        <v>2</v>
      </c>
      <c r="AA16" s="167">
        <f t="shared" ca="1" si="36"/>
        <v>10</v>
      </c>
      <c r="AB16" s="201">
        <f t="shared" ca="1" si="37"/>
        <v>92</v>
      </c>
      <c r="AC16" s="202">
        <f t="shared" ca="1" si="38"/>
        <v>10</v>
      </c>
      <c r="AD16" s="167">
        <f t="shared" ca="1" si="39"/>
        <v>8</v>
      </c>
      <c r="AE16" s="201">
        <f t="shared" ca="1" si="40"/>
        <v>80</v>
      </c>
      <c r="AF16" s="202">
        <f t="shared" ca="1" si="41"/>
        <v>6</v>
      </c>
      <c r="AG16" s="167">
        <f t="shared" ca="1" si="42"/>
        <v>8</v>
      </c>
      <c r="AH16" s="201">
        <f t="shared" ca="1" si="43"/>
        <v>89</v>
      </c>
      <c r="AI16" s="202">
        <f t="shared" ca="1" si="44"/>
        <v>1</v>
      </c>
      <c r="AJ16" s="167">
        <f t="shared" ca="1" si="45"/>
        <v>9</v>
      </c>
      <c r="AK16" s="201">
        <f t="shared" ca="1" si="46"/>
        <v>93</v>
      </c>
      <c r="AL16" s="202">
        <f t="shared" ca="1" si="47"/>
        <v>7</v>
      </c>
      <c r="AM16" s="167">
        <f t="shared" ca="1" si="48"/>
        <v>8</v>
      </c>
      <c r="AN16" s="203">
        <f t="shared" ca="1" si="49"/>
        <v>88</v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>
        <f t="shared" ca="1" si="52"/>
        <v>91</v>
      </c>
      <c r="BN16" s="4">
        <f t="shared" ca="1" si="53"/>
        <v>1</v>
      </c>
      <c r="BO16" s="4"/>
      <c r="BP16" s="4">
        <f t="shared" ca="1" si="54"/>
        <v>57</v>
      </c>
      <c r="BQ16" s="4" t="str">
        <f t="shared" ca="1" si="55"/>
        <v/>
      </c>
      <c r="BR16" s="4"/>
      <c r="BS16" s="4">
        <f t="shared" ca="1" si="56"/>
        <v>92</v>
      </c>
      <c r="BT16" s="4" t="str">
        <f t="shared" ca="1" si="57"/>
        <v/>
      </c>
      <c r="BU16" s="4"/>
      <c r="BV16" s="4">
        <f t="shared" ca="1" si="58"/>
        <v>86</v>
      </c>
      <c r="BW16" s="4" t="str">
        <f t="shared" ca="1" si="59"/>
        <v/>
      </c>
      <c r="BX16" s="4"/>
      <c r="BY16" s="4">
        <f t="shared" ca="1" si="60"/>
        <v>79</v>
      </c>
      <c r="BZ16" s="4" t="str">
        <f t="shared" ca="1" si="61"/>
        <v/>
      </c>
      <c r="CA16" s="4"/>
      <c r="CB16" s="4">
        <f t="shared" ca="1" si="62"/>
        <v>91</v>
      </c>
      <c r="CC16" s="4" t="str">
        <f t="shared" ca="1" si="63"/>
        <v/>
      </c>
      <c r="CD16" s="4"/>
      <c r="CE16" s="4">
        <f t="shared" ca="1" si="64"/>
        <v>86</v>
      </c>
      <c r="CF16" s="4" t="str">
        <f t="shared" ca="1" si="65"/>
        <v/>
      </c>
      <c r="CG16" s="4"/>
      <c r="CH16" s="4">
        <f t="shared" ca="1" si="66"/>
        <v>92</v>
      </c>
      <c r="CI16" s="4" t="str">
        <f t="shared" ca="1" si="67"/>
        <v/>
      </c>
      <c r="CJ16" s="4"/>
      <c r="CK16" s="4">
        <f t="shared" ca="1" si="68"/>
        <v>80</v>
      </c>
      <c r="CL16" s="4" t="str">
        <f t="shared" ca="1" si="69"/>
        <v/>
      </c>
      <c r="CM16" s="4"/>
      <c r="CN16" s="4">
        <f t="shared" ca="1" si="70"/>
        <v>89</v>
      </c>
      <c r="CO16" s="4" t="str">
        <f t="shared" ca="1" si="71"/>
        <v/>
      </c>
      <c r="CP16" s="4"/>
      <c r="CQ16" s="4">
        <f t="shared" ca="1" si="72"/>
        <v>93</v>
      </c>
      <c r="CR16" s="4" t="str">
        <f t="shared" ca="1" si="73"/>
        <v/>
      </c>
      <c r="CS16" s="4"/>
      <c r="CT16" s="4">
        <f t="shared" ca="1" si="74"/>
        <v>88</v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>
        <f t="shared" ca="1" si="13"/>
        <v>15</v>
      </c>
      <c r="E17" s="200">
        <f t="shared" ca="1" si="14"/>
        <v>6</v>
      </c>
      <c r="F17" s="167">
        <f t="shared" ca="1" si="15"/>
        <v>6</v>
      </c>
      <c r="G17" s="201">
        <f t="shared" ca="1" si="16"/>
        <v>58</v>
      </c>
      <c r="H17" s="202" t="str">
        <f t="shared" ca="1" si="17"/>
        <v/>
      </c>
      <c r="I17" s="167">
        <f t="shared" ca="1" si="18"/>
        <v>0</v>
      </c>
      <c r="J17" s="201">
        <f t="shared" ca="1" si="19"/>
        <v>0</v>
      </c>
      <c r="K17" s="202">
        <f t="shared" ca="1" si="20"/>
        <v>2</v>
      </c>
      <c r="L17" s="167">
        <f t="shared" ca="1" si="21"/>
        <v>8</v>
      </c>
      <c r="M17" s="201">
        <f t="shared" ca="1" si="22"/>
        <v>69</v>
      </c>
      <c r="N17" s="202">
        <f t="shared" ca="1" si="23"/>
        <v>3</v>
      </c>
      <c r="O17" s="167">
        <f t="shared" ca="1" si="24"/>
        <v>7</v>
      </c>
      <c r="P17" s="201">
        <f t="shared" ca="1" si="25"/>
        <v>68</v>
      </c>
      <c r="Q17" s="202">
        <f t="shared" ca="1" si="26"/>
        <v>1</v>
      </c>
      <c r="R17" s="167">
        <f t="shared" ca="1" si="27"/>
        <v>9</v>
      </c>
      <c r="S17" s="201">
        <f t="shared" ca="1" si="28"/>
        <v>72</v>
      </c>
      <c r="T17" s="202">
        <f t="shared" ca="1" si="29"/>
        <v>10</v>
      </c>
      <c r="U17" s="167">
        <f t="shared" ca="1" si="30"/>
        <v>5</v>
      </c>
      <c r="V17" s="201">
        <f t="shared" ca="1" si="31"/>
        <v>39</v>
      </c>
      <c r="W17" s="202">
        <f t="shared" ca="1" si="32"/>
        <v>9</v>
      </c>
      <c r="X17" s="167">
        <f t="shared" ca="1" si="33"/>
        <v>5</v>
      </c>
      <c r="Y17" s="201">
        <f t="shared" ca="1" si="34"/>
        <v>44</v>
      </c>
      <c r="Z17" s="202">
        <f t="shared" ca="1" si="35"/>
        <v>4</v>
      </c>
      <c r="AA17" s="167">
        <f t="shared" ca="1" si="36"/>
        <v>6</v>
      </c>
      <c r="AB17" s="201">
        <f t="shared" ca="1" si="37"/>
        <v>62</v>
      </c>
      <c r="AC17" s="202">
        <f t="shared" ca="1" si="38"/>
        <v>8</v>
      </c>
      <c r="AD17" s="167">
        <f t="shared" ca="1" si="39"/>
        <v>5</v>
      </c>
      <c r="AE17" s="201">
        <f t="shared" ca="1" si="40"/>
        <v>48</v>
      </c>
      <c r="AF17" s="202">
        <f t="shared" ca="1" si="41"/>
        <v>6</v>
      </c>
      <c r="AG17" s="167">
        <f t="shared" ca="1" si="42"/>
        <v>6</v>
      </c>
      <c r="AH17" s="201">
        <f t="shared" ca="1" si="43"/>
        <v>58</v>
      </c>
      <c r="AI17" s="202">
        <f t="shared" ca="1" si="44"/>
        <v>5</v>
      </c>
      <c r="AJ17" s="167">
        <f t="shared" ca="1" si="45"/>
        <v>6</v>
      </c>
      <c r="AK17" s="201">
        <f t="shared" ca="1" si="46"/>
        <v>61</v>
      </c>
      <c r="AL17" s="202">
        <f t="shared" ca="1" si="47"/>
        <v>11</v>
      </c>
      <c r="AM17" s="167">
        <f t="shared" ca="1" si="48"/>
        <v>4</v>
      </c>
      <c r="AN17" s="203">
        <f t="shared" ca="1" si="49"/>
        <v>31</v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>
        <f t="shared" ca="1" si="52"/>
        <v>58</v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>
        <f t="shared" ca="1" si="56"/>
        <v>69</v>
      </c>
      <c r="BT17" s="4" t="str">
        <f t="shared" ca="1" si="57"/>
        <v/>
      </c>
      <c r="BU17" s="4"/>
      <c r="BV17" s="4">
        <f t="shared" ca="1" si="58"/>
        <v>68</v>
      </c>
      <c r="BW17" s="4" t="str">
        <f t="shared" ca="1" si="59"/>
        <v/>
      </c>
      <c r="BX17" s="4"/>
      <c r="BY17" s="4">
        <f t="shared" ca="1" si="60"/>
        <v>72</v>
      </c>
      <c r="BZ17" s="4" t="str">
        <f t="shared" ca="1" si="61"/>
        <v/>
      </c>
      <c r="CA17" s="4"/>
      <c r="CB17" s="4">
        <f t="shared" ca="1" si="62"/>
        <v>39</v>
      </c>
      <c r="CC17" s="4" t="str">
        <f t="shared" ca="1" si="63"/>
        <v/>
      </c>
      <c r="CD17" s="4"/>
      <c r="CE17" s="4">
        <f t="shared" ca="1" si="64"/>
        <v>44</v>
      </c>
      <c r="CF17" s="4" t="str">
        <f t="shared" ca="1" si="65"/>
        <v/>
      </c>
      <c r="CG17" s="4"/>
      <c r="CH17" s="4">
        <f t="shared" ca="1" si="66"/>
        <v>62</v>
      </c>
      <c r="CI17" s="4" t="str">
        <f t="shared" ca="1" si="67"/>
        <v/>
      </c>
      <c r="CJ17" s="4"/>
      <c r="CK17" s="4">
        <f t="shared" ca="1" si="68"/>
        <v>48</v>
      </c>
      <c r="CL17" s="4" t="str">
        <f t="shared" ca="1" si="69"/>
        <v/>
      </c>
      <c r="CM17" s="4"/>
      <c r="CN17" s="4">
        <f t="shared" ca="1" si="70"/>
        <v>58</v>
      </c>
      <c r="CO17" s="4" t="str">
        <f t="shared" ca="1" si="71"/>
        <v/>
      </c>
      <c r="CP17" s="4"/>
      <c r="CQ17" s="4">
        <f t="shared" ca="1" si="72"/>
        <v>61</v>
      </c>
      <c r="CR17" s="4">
        <f t="shared" ca="1" si="73"/>
        <v>1</v>
      </c>
      <c r="CS17" s="4"/>
      <c r="CT17" s="4">
        <f t="shared" ca="1" si="74"/>
        <v>31</v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7</v>
      </c>
      <c r="F18" s="167">
        <f t="shared" ca="1" si="15"/>
        <v>12</v>
      </c>
      <c r="G18" s="201">
        <f t="shared" ca="1" si="16"/>
        <v>104</v>
      </c>
      <c r="H18" s="202">
        <f t="shared" ca="1" si="17"/>
        <v>10</v>
      </c>
      <c r="I18" s="167">
        <f t="shared" ca="1" si="18"/>
        <v>10</v>
      </c>
      <c r="J18" s="201">
        <f t="shared" ca="1" si="19"/>
        <v>97</v>
      </c>
      <c r="K18" s="202">
        <f t="shared" ca="1" si="20"/>
        <v>3</v>
      </c>
      <c r="L18" s="167">
        <f t="shared" ca="1" si="21"/>
        <v>12</v>
      </c>
      <c r="M18" s="201">
        <f t="shared" ca="1" si="22"/>
        <v>109</v>
      </c>
      <c r="N18" s="202">
        <f t="shared" ca="1" si="23"/>
        <v>6</v>
      </c>
      <c r="O18" s="167">
        <f t="shared" ca="1" si="24"/>
        <v>11</v>
      </c>
      <c r="P18" s="201">
        <f t="shared" ca="1" si="25"/>
        <v>105</v>
      </c>
      <c r="Q18" s="202">
        <f t="shared" ca="1" si="26"/>
        <v>9</v>
      </c>
      <c r="R18" s="167">
        <f t="shared" ca="1" si="27"/>
        <v>11</v>
      </c>
      <c r="S18" s="201">
        <f t="shared" ca="1" si="28"/>
        <v>101</v>
      </c>
      <c r="T18" s="202">
        <f t="shared" ca="1" si="29"/>
        <v>11</v>
      </c>
      <c r="U18" s="167">
        <f t="shared" ca="1" si="30"/>
        <v>11</v>
      </c>
      <c r="V18" s="201">
        <f t="shared" ca="1" si="31"/>
        <v>95</v>
      </c>
      <c r="W18" s="202">
        <f t="shared" ca="1" si="32"/>
        <v>5</v>
      </c>
      <c r="X18" s="167">
        <f t="shared" ca="1" si="33"/>
        <v>11</v>
      </c>
      <c r="Y18" s="201">
        <f t="shared" ca="1" si="34"/>
        <v>107</v>
      </c>
      <c r="Z18" s="202">
        <f t="shared" ca="1" si="35"/>
        <v>1</v>
      </c>
      <c r="AA18" s="167">
        <f t="shared" ca="1" si="36"/>
        <v>12</v>
      </c>
      <c r="AB18" s="201">
        <f t="shared" ca="1" si="37"/>
        <v>114</v>
      </c>
      <c r="AC18" s="202">
        <f t="shared" ca="1" si="38"/>
        <v>7</v>
      </c>
      <c r="AD18" s="167">
        <f t="shared" ca="1" si="39"/>
        <v>10</v>
      </c>
      <c r="AE18" s="201">
        <f t="shared" ca="1" si="40"/>
        <v>104</v>
      </c>
      <c r="AF18" s="202">
        <f t="shared" ca="1" si="41"/>
        <v>11</v>
      </c>
      <c r="AG18" s="167">
        <f t="shared" ca="1" si="42"/>
        <v>9</v>
      </c>
      <c r="AH18" s="201">
        <f t="shared" ca="1" si="43"/>
        <v>95</v>
      </c>
      <c r="AI18" s="202">
        <f t="shared" ca="1" si="44"/>
        <v>3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2</v>
      </c>
      <c r="AM18" s="167">
        <f t="shared" ca="1" si="48"/>
        <v>12</v>
      </c>
      <c r="AN18" s="203">
        <f t="shared" ca="1" si="49"/>
        <v>112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104</v>
      </c>
      <c r="BN18" s="4" t="str">
        <f t="shared" ca="1" si="53"/>
        <v/>
      </c>
      <c r="BO18" s="4"/>
      <c r="BP18" s="4">
        <f t="shared" ca="1" si="54"/>
        <v>97</v>
      </c>
      <c r="BQ18" s="4" t="str">
        <f t="shared" ca="1" si="55"/>
        <v/>
      </c>
      <c r="BR18" s="4"/>
      <c r="BS18" s="4">
        <f t="shared" ca="1" si="56"/>
        <v>109</v>
      </c>
      <c r="BT18" s="4" t="str">
        <f t="shared" ca="1" si="57"/>
        <v/>
      </c>
      <c r="BU18" s="4"/>
      <c r="BV18" s="4">
        <f t="shared" ca="1" si="58"/>
        <v>105</v>
      </c>
      <c r="BW18" s="4" t="str">
        <f t="shared" ca="1" si="59"/>
        <v/>
      </c>
      <c r="BX18" s="4"/>
      <c r="BY18" s="4">
        <f t="shared" ca="1" si="60"/>
        <v>101</v>
      </c>
      <c r="BZ18" s="4">
        <f t="shared" ca="1" si="61"/>
        <v>1</v>
      </c>
      <c r="CA18" s="4"/>
      <c r="CB18" s="4">
        <f t="shared" ca="1" si="62"/>
        <v>95</v>
      </c>
      <c r="CC18" s="4" t="str">
        <f t="shared" ca="1" si="63"/>
        <v/>
      </c>
      <c r="CD18" s="4"/>
      <c r="CE18" s="4">
        <f t="shared" ca="1" si="64"/>
        <v>107</v>
      </c>
      <c r="CF18" s="4" t="str">
        <f t="shared" ca="1" si="65"/>
        <v/>
      </c>
      <c r="CG18" s="4"/>
      <c r="CH18" s="4">
        <f t="shared" ca="1" si="66"/>
        <v>114</v>
      </c>
      <c r="CI18" s="4" t="str">
        <f t="shared" ca="1" si="67"/>
        <v/>
      </c>
      <c r="CJ18" s="4"/>
      <c r="CK18" s="4">
        <f t="shared" ca="1" si="68"/>
        <v>104</v>
      </c>
      <c r="CL18" s="4">
        <f t="shared" ca="1" si="69"/>
        <v>1</v>
      </c>
      <c r="CM18" s="4"/>
      <c r="CN18" s="4">
        <f t="shared" ca="1" si="70"/>
        <v>95</v>
      </c>
      <c r="CO18" s="4" t="str">
        <f t="shared" ca="1" si="71"/>
        <v/>
      </c>
      <c r="CP18" s="4"/>
      <c r="CQ18" s="4">
        <f t="shared" ca="1" si="72"/>
        <v>109</v>
      </c>
      <c r="CR18" s="4" t="str">
        <f t="shared" ca="1" si="73"/>
        <v/>
      </c>
      <c r="CS18" s="4"/>
      <c r="CT18" s="4">
        <f t="shared" ca="1" si="74"/>
        <v>112</v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>
        <f t="shared" ca="1" si="13"/>
        <v>16</v>
      </c>
      <c r="E19" s="200">
        <f t="shared" ca="1" si="14"/>
        <v>3</v>
      </c>
      <c r="F19" s="167">
        <f t="shared" ca="1" si="15"/>
        <v>10</v>
      </c>
      <c r="G19" s="201">
        <f t="shared" ca="1" si="16"/>
        <v>93</v>
      </c>
      <c r="H19" s="202" t="str">
        <f t="shared" ca="1" si="17"/>
        <v/>
      </c>
      <c r="I19" s="167">
        <f t="shared" ca="1" si="18"/>
        <v>0</v>
      </c>
      <c r="J19" s="201">
        <f t="shared" ca="1" si="19"/>
        <v>0</v>
      </c>
      <c r="K19" s="202">
        <f t="shared" ca="1" si="20"/>
        <v>6</v>
      </c>
      <c r="L19" s="167">
        <f t="shared" ca="1" si="21"/>
        <v>11</v>
      </c>
      <c r="M19" s="201">
        <f t="shared" ca="1" si="22"/>
        <v>91</v>
      </c>
      <c r="N19" s="202">
        <f t="shared" ca="1" si="23"/>
        <v>10</v>
      </c>
      <c r="O19" s="167">
        <f t="shared" ca="1" si="24"/>
        <v>11</v>
      </c>
      <c r="P19" s="201">
        <f t="shared" ca="1" si="25"/>
        <v>83</v>
      </c>
      <c r="Q19" s="202">
        <f t="shared" ca="1" si="26"/>
        <v>2</v>
      </c>
      <c r="R19" s="167">
        <f t="shared" ca="1" si="27"/>
        <v>10</v>
      </c>
      <c r="S19" s="201">
        <f t="shared" ca="1" si="28"/>
        <v>97</v>
      </c>
      <c r="T19" s="202">
        <f t="shared" ca="1" si="29"/>
        <v>3</v>
      </c>
      <c r="U19" s="167">
        <f t="shared" ca="1" si="30"/>
        <v>10</v>
      </c>
      <c r="V19" s="201">
        <f t="shared" ca="1" si="31"/>
        <v>93</v>
      </c>
      <c r="W19" s="202">
        <f t="shared" ca="1" si="32"/>
        <v>8</v>
      </c>
      <c r="X19" s="167">
        <f t="shared" ca="1" si="33"/>
        <v>10</v>
      </c>
      <c r="Y19" s="201">
        <f t="shared" ca="1" si="34"/>
        <v>86</v>
      </c>
      <c r="Z19" s="202">
        <f t="shared" ca="1" si="35"/>
        <v>7</v>
      </c>
      <c r="AA19" s="167">
        <f t="shared" ca="1" si="36"/>
        <v>12</v>
      </c>
      <c r="AB19" s="201">
        <f t="shared" ca="1" si="37"/>
        <v>89</v>
      </c>
      <c r="AC19" s="202">
        <f t="shared" ca="1" si="38"/>
        <v>11</v>
      </c>
      <c r="AD19" s="167">
        <f t="shared" ca="1" si="39"/>
        <v>8</v>
      </c>
      <c r="AE19" s="201">
        <f t="shared" ca="1" si="40"/>
        <v>77</v>
      </c>
      <c r="AF19" s="202">
        <f t="shared" ca="1" si="41"/>
        <v>9</v>
      </c>
      <c r="AG19" s="167">
        <f t="shared" ca="1" si="42"/>
        <v>9</v>
      </c>
      <c r="AH19" s="201">
        <f t="shared" ca="1" si="43"/>
        <v>84</v>
      </c>
      <c r="AI19" s="202">
        <f t="shared" ca="1" si="44"/>
        <v>3</v>
      </c>
      <c r="AJ19" s="167">
        <f t="shared" ca="1" si="45"/>
        <v>12</v>
      </c>
      <c r="AK19" s="201">
        <f t="shared" ca="1" si="46"/>
        <v>93</v>
      </c>
      <c r="AL19" s="202">
        <f t="shared" ca="1" si="47"/>
        <v>1</v>
      </c>
      <c r="AM19" s="167">
        <f t="shared" ca="1" si="48"/>
        <v>10</v>
      </c>
      <c r="AN19" s="203">
        <f t="shared" ca="1" si="49"/>
        <v>101</v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>
        <f t="shared" ca="1" si="52"/>
        <v>93</v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>
        <f t="shared" ca="1" si="56"/>
        <v>91</v>
      </c>
      <c r="BT19" s="4" t="str">
        <f t="shared" ca="1" si="57"/>
        <v/>
      </c>
      <c r="BU19" s="4"/>
      <c r="BV19" s="4">
        <f t="shared" ca="1" si="58"/>
        <v>83</v>
      </c>
      <c r="BW19" s="4" t="str">
        <f t="shared" ca="1" si="59"/>
        <v/>
      </c>
      <c r="BX19" s="4"/>
      <c r="BY19" s="4">
        <f t="shared" ca="1" si="60"/>
        <v>97</v>
      </c>
      <c r="BZ19" s="4" t="str">
        <f t="shared" ca="1" si="61"/>
        <v/>
      </c>
      <c r="CA19" s="4"/>
      <c r="CB19" s="4">
        <f t="shared" ca="1" si="62"/>
        <v>93</v>
      </c>
      <c r="CC19" s="4" t="str">
        <f t="shared" ca="1" si="63"/>
        <v/>
      </c>
      <c r="CD19" s="4"/>
      <c r="CE19" s="4">
        <f t="shared" ca="1" si="64"/>
        <v>86</v>
      </c>
      <c r="CF19" s="4" t="str">
        <f t="shared" ca="1" si="65"/>
        <v/>
      </c>
      <c r="CG19" s="4"/>
      <c r="CH19" s="4">
        <f t="shared" ca="1" si="66"/>
        <v>89</v>
      </c>
      <c r="CI19" s="4">
        <f t="shared" ca="1" si="67"/>
        <v>1</v>
      </c>
      <c r="CJ19" s="4"/>
      <c r="CK19" s="4">
        <f t="shared" ca="1" si="68"/>
        <v>77</v>
      </c>
      <c r="CL19" s="4" t="str">
        <f t="shared" ca="1" si="69"/>
        <v/>
      </c>
      <c r="CM19" s="4"/>
      <c r="CN19" s="4">
        <f t="shared" ca="1" si="70"/>
        <v>84</v>
      </c>
      <c r="CO19" s="4" t="str">
        <f t="shared" ca="1" si="71"/>
        <v/>
      </c>
      <c r="CP19" s="4"/>
      <c r="CQ19" s="4">
        <f t="shared" ca="1" si="72"/>
        <v>93</v>
      </c>
      <c r="CR19" s="4" t="str">
        <f t="shared" ca="1" si="73"/>
        <v/>
      </c>
      <c r="CS19" s="4"/>
      <c r="CT19" s="4">
        <f t="shared" ca="1" si="74"/>
        <v>101</v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240</v>
      </c>
      <c r="E22" s="217">
        <f ca="1">IF($AQ$2=0,"",RANK(G22,$BM22:$CT22,0))</f>
        <v>2</v>
      </c>
      <c r="F22" s="218">
        <f ca="1">IF($AQ$2=0,"",SUM(F4:F21))</f>
        <v>155</v>
      </c>
      <c r="G22" s="219">
        <f ca="1">IF($AQ$2=0,"",IF($AQ$2=1,SUM(G4:G21),SUM(G4:G21)-MIN(G4:G21)))</f>
        <v>1402</v>
      </c>
      <c r="H22" s="220">
        <f ca="1">IF($AQ$2=0,"",RANK(J22,$BM22:$CT22,0))</f>
        <v>12</v>
      </c>
      <c r="I22" s="218">
        <f ca="1">IF($AQ$2=0,"",SUM(I4:I21))</f>
        <v>109</v>
      </c>
      <c r="J22" s="219">
        <f ca="1">IF($AQ$2=0,"",IF($AQ$2=1,SUM(J4:J21),SUM(J4:J21)-MIN(J4:J21)))</f>
        <v>1067</v>
      </c>
      <c r="K22" s="220">
        <f ca="1">IF($AQ$2=0,"",RANK(M22,$BM22:$CT22,0))</f>
        <v>1</v>
      </c>
      <c r="L22" s="218">
        <f ca="1">IF($AQ$2=0,"",SUM(L4:L21))</f>
        <v>161</v>
      </c>
      <c r="M22" s="219">
        <f ca="1">IF($AQ$2=0,"",IF($AQ$2=1,SUM(M4:M21),SUM(M4:M21)-MIN(M4:M21)))</f>
        <v>1418</v>
      </c>
      <c r="N22" s="220">
        <f ca="1">IF($AQ$2=0,"",RANK(P22,$BM22:$CT22,0))</f>
        <v>4</v>
      </c>
      <c r="O22" s="218">
        <f ca="1">IF($AQ$2=0,"",SUM(O4:O21))</f>
        <v>152</v>
      </c>
      <c r="P22" s="219">
        <f ca="1">IF($AQ$2=0,"",IF($AQ$2=1,SUM(P4:P21),SUM(P4:P21)-MIN(P4:P21)))</f>
        <v>1392</v>
      </c>
      <c r="Q22" s="220">
        <f ca="1">IF($AQ$2=0,"",RANK(S22,$BM22:$CT22,0))</f>
        <v>8</v>
      </c>
      <c r="R22" s="218">
        <f ca="1">IF($AQ$2=0,"",SUM(R4:R21))</f>
        <v>148</v>
      </c>
      <c r="S22" s="219">
        <f ca="1">IF($AQ$2=0,"",IF($AQ$2=1,SUM(S4:S21),SUM(S4:S21)-MIN(S4:S21)))</f>
        <v>1293</v>
      </c>
      <c r="T22" s="220">
        <f ca="1">IF($AQ$2=0,"",RANK(V22,$BM22:$CT22,0))</f>
        <v>11</v>
      </c>
      <c r="U22" s="218">
        <f ca="1">IF($AQ$2=0,"",SUM(U4:U21))</f>
        <v>131</v>
      </c>
      <c r="V22" s="219">
        <f ca="1">IF($AQ$2=0,"",IF($AQ$2=1,SUM(V4:V21),SUM(V4:V21)-MIN(V4:V21)))</f>
        <v>1219</v>
      </c>
      <c r="W22" s="220">
        <f ca="1">IF($AQ$2=0,"",RANK(Y22,$BM22:$CT22,0))</f>
        <v>5</v>
      </c>
      <c r="X22" s="218">
        <f ca="1">IF($AQ$2=0,"",SUM(X4:X21))</f>
        <v>149</v>
      </c>
      <c r="Y22" s="219">
        <f ca="1">IF($AQ$2=0,"",IF($AQ$2=1,SUM(Y4:Y21),SUM(Y4:Y21)-MIN(Y4:Y21)))</f>
        <v>1376</v>
      </c>
      <c r="Z22" s="220">
        <f ca="1">IF($AQ$2=0,"",RANK(AB22,$BM22:$CT22,0))</f>
        <v>9</v>
      </c>
      <c r="AA22" s="218">
        <f ca="1">IF($AQ$2=0,"",SUM(AA4:AA21))</f>
        <v>136</v>
      </c>
      <c r="AB22" s="219">
        <f ca="1">IF($AQ$2=0,"",IF($AQ$2=1,SUM(AB4:AB21),SUM(AB4:AB21)-MIN(AB4:AB21)))</f>
        <v>1259</v>
      </c>
      <c r="AC22" s="220">
        <f ca="1">IF($AQ$2=0,"",RANK(AE22,$BM22:$CT22,0))</f>
        <v>10</v>
      </c>
      <c r="AD22" s="218">
        <f ca="1">IF($AQ$2=0,"",SUM(AD4:AD21))</f>
        <v>130</v>
      </c>
      <c r="AE22" s="219">
        <f ca="1">IF($AQ$2=0,"",IF($AQ$2=1,SUM(AE4:AE21),SUM(AE4:AE21)-MIN(AE4:AE21)))</f>
        <v>1251</v>
      </c>
      <c r="AF22" s="220">
        <f ca="1">IF($AQ$2=0,"",RANK(AH22,$BM22:$CT22,0))</f>
        <v>7</v>
      </c>
      <c r="AG22" s="218">
        <f ca="1">IF($AQ$2=0,"",SUM(AG4:AG21))</f>
        <v>136</v>
      </c>
      <c r="AH22" s="219">
        <f ca="1">IF($AQ$2=0,"",IF($AQ$2=1,SUM(AH4:AH21),SUM(AH4:AH21)-MIN(AH4:AH21)))</f>
        <v>1303</v>
      </c>
      <c r="AI22" s="220">
        <f ca="1">IF($AQ$2=0,"",RANK(AK22,$BM22:$CT22,0))</f>
        <v>3</v>
      </c>
      <c r="AJ22" s="218">
        <f ca="1">IF($AQ$2=0,"",SUM(AJ4:AJ21))</f>
        <v>155</v>
      </c>
      <c r="AK22" s="219">
        <f ca="1">IF($AQ$2=0,"",IF($AQ$2=1,SUM(AK4:AK21),SUM(AK4:AK21)-MIN(AK4:AK21)))</f>
        <v>1399</v>
      </c>
      <c r="AL22" s="220">
        <f ca="1">IF($AQ$2=0,"",RANK(AN22,$BM22:$CT22,0))</f>
        <v>6</v>
      </c>
      <c r="AM22" s="218">
        <f ca="1">IF($AQ$2=0,"",SUM(AM4:AM21))</f>
        <v>143</v>
      </c>
      <c r="AN22" s="221">
        <f ca="1">IF($AQ$2=0,"",IF($AQ$2=1,SUM(AN4:AN21),SUM(AN4:AN21)-MIN(AN4:AN21)))</f>
        <v>1339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1402</v>
      </c>
      <c r="BN22" s="4"/>
      <c r="BO22" s="4"/>
      <c r="BP22" s="4">
        <f ca="1">J22</f>
        <v>1067</v>
      </c>
      <c r="BQ22" s="4"/>
      <c r="BR22" s="4"/>
      <c r="BS22" s="4">
        <f ca="1">M22</f>
        <v>1418</v>
      </c>
      <c r="BT22" s="4"/>
      <c r="BU22" s="4"/>
      <c r="BV22" s="4">
        <f ca="1">P22</f>
        <v>1392</v>
      </c>
      <c r="BW22" s="4"/>
      <c r="BX22" s="4"/>
      <c r="BY22" s="4">
        <f ca="1">S22</f>
        <v>1293</v>
      </c>
      <c r="BZ22" s="4"/>
      <c r="CA22" s="4"/>
      <c r="CB22" s="4">
        <f ca="1">V22</f>
        <v>1219</v>
      </c>
      <c r="CC22" s="4"/>
      <c r="CD22" s="4"/>
      <c r="CE22" s="4">
        <f ca="1">Y22</f>
        <v>1376</v>
      </c>
      <c r="CF22" s="4"/>
      <c r="CG22" s="4"/>
      <c r="CH22" s="4">
        <f ca="1">AB22</f>
        <v>1259</v>
      </c>
      <c r="CI22" s="4"/>
      <c r="CJ22" s="4"/>
      <c r="CK22" s="4">
        <f ca="1">AE22</f>
        <v>1251</v>
      </c>
      <c r="CL22" s="4"/>
      <c r="CM22" s="4"/>
      <c r="CN22" s="4">
        <f ca="1">AH22</f>
        <v>1303</v>
      </c>
      <c r="CO22" s="4"/>
      <c r="CP22" s="4"/>
      <c r="CQ22" s="4">
        <f ca="1">AK22</f>
        <v>1399</v>
      </c>
      <c r="CR22" s="4"/>
      <c r="CS22" s="4"/>
      <c r="CT22" s="4">
        <f ca="1">AN22</f>
        <v>1339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4.4375</v>
      </c>
      <c r="F23" s="226">
        <f ca="1">IF($AQ$2=0,"",F22/(COUNTIF($D$4:OFFSET($D$4,$AQ$2-1,0),"&lt;&gt;""")))</f>
        <v>9.6875</v>
      </c>
      <c r="G23" s="227">
        <f ca="1">IF($AQ$2=0,"",IF($AQ$2=1,G22/((COUNTIF($D$4:OFFSET($D$4,$AQ$2-1,0),"&lt;&gt;"""))),G22/((COUNTIF($D$4:OFFSET($D$4,$AQ$2-1,0),"&lt;&gt;"""))-1)))</f>
        <v>93.466666666666669</v>
      </c>
      <c r="H23" s="228">
        <f ca="1">IF(COUNTIF(H4:H21,"&gt;0")&gt;0,SUM(H4:H21)/COUNTIF(H4:H21,"&gt;0"),"")</f>
        <v>7.333333333333333</v>
      </c>
      <c r="I23" s="226">
        <f ca="1">IF($AQ$2=0,"",I22/(COUNTIF($D$4:OFFSET($D$4,$AQ$2-1,0),"&lt;&gt;""")))</f>
        <v>6.8125</v>
      </c>
      <c r="J23" s="227">
        <f ca="1">IF($AQ$2=0,"",IF($AQ$2=1,J22/((COUNTIF($D$4:OFFSET($D$4,$AQ$2-1,0),"&lt;&gt;"""))),J22/((COUNTIF($D$4:OFFSET($D$4,$AQ$2-1,0),"&lt;&gt;"""))-1)))</f>
        <v>71.13333333333334</v>
      </c>
      <c r="K23" s="228">
        <f ca="1">IF(COUNTIF(K4:K21,"&gt;0")&gt;0,SUM(K4:K21)/COUNTIF(K4:K21,"&gt;0"),"")</f>
        <v>4.125</v>
      </c>
      <c r="L23" s="226">
        <f ca="1">IF($AQ$2=0,"",L22/(COUNTIF($D$4:OFFSET($D$4,$AQ$2-1,0),"&lt;&gt;""")))</f>
        <v>10.0625</v>
      </c>
      <c r="M23" s="227">
        <f ca="1">IF($AQ$2=0,"",IF($AQ$2=1,M22/((COUNTIF($D$4:OFFSET($D$4,$AQ$2-1,0),"&lt;&gt;"""))),M22/((COUNTIF($D$4:OFFSET($D$4,$AQ$2-1,0),"&lt;&gt;"""))-1)))</f>
        <v>94.533333333333331</v>
      </c>
      <c r="N23" s="228">
        <f ca="1">IF(COUNTIF(N4:N21,"&gt;0")&gt;0,SUM(N4:N21)/COUNTIF(N4:N21,"&gt;0"),"")</f>
        <v>5.5</v>
      </c>
      <c r="O23" s="226">
        <f ca="1">IF($AQ$2=0,"",O22/(COUNTIF($D$4:OFFSET($D$4,$AQ$2-1,0),"&lt;&gt;""")))</f>
        <v>9.5</v>
      </c>
      <c r="P23" s="227">
        <f ca="1">IF($AQ$2=0,"",IF($AQ$2=1,P22/((COUNTIF($D$4:OFFSET($D$4,$AQ$2-1,0),"&lt;&gt;"""))),P22/((COUNTIF($D$4:OFFSET($D$4,$AQ$2-1,0),"&lt;&gt;"""))-1)))</f>
        <v>92.8</v>
      </c>
      <c r="Q23" s="228">
        <f ca="1">IF(COUNTIF(Q4:Q21,"&gt;0")&gt;0,SUM(Q4:Q21)/COUNTIF(Q4:Q21,"&gt;0"),"")</f>
        <v>7.375</v>
      </c>
      <c r="R23" s="226">
        <f ca="1">IF($AQ$2=0,"",R22/(COUNTIF($D$4:OFFSET($D$4,$AQ$2-1,0),"&lt;&gt;""")))</f>
        <v>9.25</v>
      </c>
      <c r="S23" s="227">
        <f ca="1">IF($AQ$2=0,"",IF($AQ$2=1,S22/((COUNTIF($D$4:OFFSET($D$4,$AQ$2-1,0),"&lt;&gt;"""))),S22/((COUNTIF($D$4:OFFSET($D$4,$AQ$2-1,0),"&lt;&gt;"""))-1)))</f>
        <v>86.2</v>
      </c>
      <c r="T23" s="228">
        <f ca="1">IF(COUNTIF(T4:T21,"&gt;0")&gt;0,SUM(T4:T21)/COUNTIF(T4:T21,"&gt;0"),"")</f>
        <v>8</v>
      </c>
      <c r="U23" s="226">
        <f ca="1">IF($AQ$2=0,"",U22/(COUNTIF($D$4:OFFSET($D$4,$AQ$2-1,0),"&lt;&gt;""")))</f>
        <v>8.1875</v>
      </c>
      <c r="V23" s="227">
        <f ca="1">IF($AQ$2=0,"",IF($AQ$2=1,V22/((COUNTIF($D$4:OFFSET($D$4,$AQ$2-1,0),"&lt;&gt;"""))),V22/((COUNTIF($D$4:OFFSET($D$4,$AQ$2-1,0),"&lt;&gt;"""))-1)))</f>
        <v>81.266666666666666</v>
      </c>
      <c r="W23" s="228">
        <f ca="1">IF(COUNTIF(W4:W21,"&gt;0")&gt;0,SUM(W4:W21)/COUNTIF(W4:W21,"&gt;0"),"")</f>
        <v>5.9375</v>
      </c>
      <c r="X23" s="226">
        <f ca="1">IF($AQ$2=0,"",X22/(COUNTIF($D$4:OFFSET($D$4,$AQ$2-1,0),"&lt;&gt;""")))</f>
        <v>9.3125</v>
      </c>
      <c r="Y23" s="227">
        <f ca="1">IF($AQ$2=0,"",IF($AQ$2=1,Y22/((COUNTIF($D$4:OFFSET($D$4,$AQ$2-1,0),"&lt;&gt;"""))),Y22/((COUNTIF($D$4:OFFSET($D$4,$AQ$2-1,0),"&lt;&gt;"""))-1)))</f>
        <v>91.733333333333334</v>
      </c>
      <c r="Z23" s="228">
        <f ca="1">IF(COUNTIF(Z4:Z21,"&gt;0")&gt;0,SUM(Z4:Z21)/COUNTIF(Z4:Z21,"&gt;0"),"")</f>
        <v>4.3571428571428568</v>
      </c>
      <c r="AA23" s="226">
        <f ca="1">IF($AQ$2=0,"",AA22/(COUNTIF($D$4:OFFSET($D$4,$AQ$2-1,0),"&lt;&gt;""")))</f>
        <v>8.5</v>
      </c>
      <c r="AB23" s="227">
        <f ca="1">IF($AQ$2=0,"",IF($AQ$2=1,AB22/((COUNTIF($D$4:OFFSET($D$4,$AQ$2-1,0),"&lt;&gt;"""))),AB22/((COUNTIF($D$4:OFFSET($D$4,$AQ$2-1,0),"&lt;&gt;"""))-1)))</f>
        <v>83.933333333333337</v>
      </c>
      <c r="AC23" s="228">
        <f ca="1">IF(COUNTIF(AC4:AC21,"&gt;0")&gt;0,SUM(AC4:AC21)/COUNTIF(AC4:AC21,"&gt;0"),"")</f>
        <v>7.7333333333333334</v>
      </c>
      <c r="AD23" s="226">
        <f ca="1">IF($AQ$2=0,"",AD22/(COUNTIF($D$4:OFFSET($D$4,$AQ$2-1,0),"&lt;&gt;""")))</f>
        <v>8.125</v>
      </c>
      <c r="AE23" s="227">
        <f ca="1">IF($AQ$2=0,"",IF($AQ$2=1,AE22/((COUNTIF($D$4:OFFSET($D$4,$AQ$2-1,0),"&lt;&gt;"""))),AE22/((COUNTIF($D$4:OFFSET($D$4,$AQ$2-1,0),"&lt;&gt;"""))-1)))</f>
        <v>83.4</v>
      </c>
      <c r="AF23" s="228">
        <f ca="1">IF(COUNTIF(AF4:AF21,"&gt;0")&gt;0,SUM(AF4:AF21)/COUNTIF(AF4:AF21,"&gt;0"),"")</f>
        <v>7.625</v>
      </c>
      <c r="AG23" s="226">
        <f ca="1">IF($AQ$2=0,"",AG22/(COUNTIF($D$4:OFFSET($D$4,$AQ$2-1,0),"&lt;&gt;""")))</f>
        <v>8.5</v>
      </c>
      <c r="AH23" s="227">
        <f ca="1">IF($AQ$2=0,"",IF($AQ$2=1,AH22/((COUNTIF($D$4:OFFSET($D$4,$AQ$2-1,0),"&lt;&gt;"""))),AH22/((COUNTIF($D$4:OFFSET($D$4,$AQ$2-1,0),"&lt;&gt;"""))-1)))</f>
        <v>86.86666666666666</v>
      </c>
      <c r="AI23" s="228">
        <f ca="1">IF(COUNTIF(AI4:AI21,"&gt;0")&gt;0,SUM(AI4:AI21)/COUNTIF(AI4:AI21,"&gt;0"),"")</f>
        <v>4.4375</v>
      </c>
      <c r="AJ23" s="226">
        <f ca="1">IF($AQ$2=0,"",AJ22/(COUNTIF($D$4:OFFSET($D$4,$AQ$2-1,0),"&lt;&gt;""")))</f>
        <v>9.6875</v>
      </c>
      <c r="AK23" s="227">
        <f ca="1">IF($AQ$2=0,"",IF($AQ$2=1,AK22/((COUNTIF($D$4:OFFSET($D$4,$AQ$2-1,0),"&lt;&gt;"""))),AK22/((COUNTIF($D$4:OFFSET($D$4,$AQ$2-1,0),"&lt;&gt;"""))-1)))</f>
        <v>93.266666666666666</v>
      </c>
      <c r="AL23" s="228">
        <f ca="1">IF(COUNTIF(AL4:AL21,"&gt;0")&gt;0,SUM(AL4:AL21)/COUNTIF(AL4:AL21,"&gt;0"),"")</f>
        <v>6.5</v>
      </c>
      <c r="AM23" s="226">
        <f ca="1">IF($AQ$2=0,"",AM22/(COUNTIF($D$4:OFFSET($D$4,$AQ$2-1,0),"&lt;&gt;""")))</f>
        <v>8.9375</v>
      </c>
      <c r="AN23" s="229">
        <f ca="1">IF($AQ$2=0,"",IF($AQ$2=1,AN22/((COUNTIF($D$4:OFFSET($D$4,$AQ$2-1,0),"&lt;&gt;"""))),AN22/((COUNTIF($D$4:OFFSET($D$4,$AQ$2-1,0),"&lt;&gt;"""))-1)))</f>
        <v>89.266666666666666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3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>
        <f ca="1">IF(COUNTIF(Z4:Z21,"=1")&gt;0,COUNTIF(Z4:Z21,"=1"),"")</f>
        <v>1</v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3</v>
      </c>
      <c r="L25" s="90"/>
      <c r="M25" s="241"/>
      <c r="N25" s="242">
        <f ca="1">IF(COUNTIF(N4:N21,"=2")&gt;0,COUNTIF(N4:N21,"=2"),"")</f>
        <v>1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5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2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3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2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2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3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>
        <f ca="1">IF(SUM(BN4:BN21)=0,"",SUM(BN4:BN21))</f>
        <v>1</v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4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2</v>
      </c>
      <c r="AD27" s="90"/>
      <c r="AE27" s="241"/>
      <c r="AF27" s="242">
        <f ca="1">IF(SUM(CL4:CL21)=0,"",SUM(CL4:CL21))</f>
        <v>5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2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4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5" t="str">
        <f>CONCATENATE($AR$13," Results")</f>
        <v>2023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$Q$2</f>
        <v>DH</v>
      </c>
      <c r="AU33" s="251">
        <f t="shared" ref="AU33:AU44" ca="1" si="87">SUM(AV33,AX33,AZ33,BB33,BC33,BE33,BG33,BI33)</f>
        <v>45</v>
      </c>
      <c r="AV33" s="252">
        <f t="shared" ref="AV33:AV44" ca="1" si="88">$AQ$2*-$AO$3</f>
        <v>-48</v>
      </c>
      <c r="AW33" s="253">
        <f ca="1">IF($Q$24&gt;0,$Q$24,"")</f>
        <v>3</v>
      </c>
      <c r="AX33" s="254">
        <f t="shared" ref="AX33:AX44" ca="1" si="89">IF(AW33="","",AW33*$AO$6)</f>
        <v>93</v>
      </c>
      <c r="AY33" s="255" t="str">
        <f ca="1">IF($Q$22=1,"✓","")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IF($Q$22=2,"✓","")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$AL$2</f>
        <v>TB</v>
      </c>
      <c r="AU34" s="259">
        <f t="shared" ca="1" si="87"/>
        <v>45</v>
      </c>
      <c r="AV34" s="260">
        <f t="shared" ca="1" si="88"/>
        <v>-48</v>
      </c>
      <c r="AW34" s="261">
        <f ca="1">IF($AL$24&gt;0,$AL$24,"")</f>
        <v>3</v>
      </c>
      <c r="AX34" s="262">
        <f t="shared" ca="1" si="89"/>
        <v>93</v>
      </c>
      <c r="AY34" s="263" t="str">
        <f ca="1">IF($AL$22=1,"✓","")</f>
        <v/>
      </c>
      <c r="AZ34" s="262" t="str">
        <f t="shared" ca="1" si="90"/>
        <v/>
      </c>
      <c r="BA34" s="264" t="str">
        <f ca="1">IF($AL$22=2,"✓","")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$K$2</f>
        <v>CP</v>
      </c>
      <c r="AU35" s="259">
        <f t="shared" ca="1" si="87"/>
        <v>31</v>
      </c>
      <c r="AV35" s="260">
        <f t="shared" ca="1" si="88"/>
        <v>-48</v>
      </c>
      <c r="AW35" s="261">
        <f ca="1">IF($K$24&gt;0,$K$24,"")</f>
        <v>1</v>
      </c>
      <c r="AX35" s="262">
        <f t="shared" ca="1" si="89"/>
        <v>31</v>
      </c>
      <c r="AY35" s="263" t="str">
        <f ca="1">IF($K$22=1,"✓","")</f>
        <v>✓</v>
      </c>
      <c r="AZ35" s="262">
        <f t="shared" ca="1" si="90"/>
        <v>48</v>
      </c>
      <c r="BA35" s="264" t="str">
        <f ca="1">IF($K$22=2,"✓","")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$H$2</f>
        <v>CK</v>
      </c>
      <c r="AU36" s="259">
        <f t="shared" ca="1" si="87"/>
        <v>14</v>
      </c>
      <c r="AV36" s="260">
        <f t="shared" ca="1" si="88"/>
        <v>-48</v>
      </c>
      <c r="AW36" s="261">
        <f ca="1">IF($H$24&gt;0,$H$24,"")</f>
        <v>2</v>
      </c>
      <c r="AX36" s="262">
        <f t="shared" ca="1" si="89"/>
        <v>62</v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$N$2</f>
        <v>DC</v>
      </c>
      <c r="AU37" s="259">
        <f t="shared" ca="1" si="87"/>
        <v>14</v>
      </c>
      <c r="AV37" s="260">
        <f t="shared" ca="1" si="88"/>
        <v>-48</v>
      </c>
      <c r="AW37" s="261">
        <f ca="1">IF($N$24&gt;0,$N$24,"")</f>
        <v>2</v>
      </c>
      <c r="AX37" s="262">
        <f t="shared" ca="1" si="89"/>
        <v>62</v>
      </c>
      <c r="AY37" s="263" t="str">
        <f ca="1">IF($N$22=1,"✓","")</f>
        <v/>
      </c>
      <c r="AZ37" s="262" t="str">
        <f t="shared" ca="1" si="90"/>
        <v/>
      </c>
      <c r="BA37" s="264" t="str">
        <f ca="1">IF($N$22=2,"✓","")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10</v>
      </c>
      <c r="BM37" s="4"/>
      <c r="BN37" s="4"/>
      <c r="BO37" s="4">
        <f t="shared" ca="1" si="76"/>
        <v>5</v>
      </c>
      <c r="BP37" s="4"/>
      <c r="BQ37" s="4"/>
      <c r="BR37" s="4">
        <f t="shared" ca="1" si="77"/>
        <v>10</v>
      </c>
      <c r="BS37" s="4"/>
      <c r="BT37" s="4"/>
      <c r="BU37" s="4">
        <f t="shared" ca="1" si="78"/>
        <v>9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9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10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8</v>
      </c>
      <c r="CN37" s="4"/>
      <c r="CO37" s="4"/>
      <c r="CP37" s="4">
        <f t="shared" ca="1" si="85"/>
        <v>9</v>
      </c>
      <c r="CQ37" s="4"/>
      <c r="CR37" s="4"/>
      <c r="CS37" s="4">
        <f t="shared" ca="1" si="86"/>
        <v>8</v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$E$2</f>
        <v>BM</v>
      </c>
      <c r="AU38" s="259">
        <f t="shared" ca="1" si="87"/>
        <v>-16</v>
      </c>
      <c r="AV38" s="260">
        <f t="shared" ca="1" si="88"/>
        <v>-48</v>
      </c>
      <c r="AW38" s="261" t="str">
        <f ca="1">IF($E$24&gt;0,$E$24,"")</f>
        <v/>
      </c>
      <c r="AX38" s="262" t="str">
        <f t="shared" ca="1" si="89"/>
        <v/>
      </c>
      <c r="AY38" s="263" t="str">
        <f ca="1">IF($E$22=1,"✓","")</f>
        <v/>
      </c>
      <c r="AZ38" s="262" t="str">
        <f t="shared" ca="1" si="90"/>
        <v/>
      </c>
      <c r="BA38" s="264" t="str">
        <f ca="1">IF($E$22=2,"✓","")</f>
        <v>✓</v>
      </c>
      <c r="BB38" s="265">
        <f t="shared" ca="1" si="91"/>
        <v>32</v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12</v>
      </c>
      <c r="BS38" s="4"/>
      <c r="BT38" s="4"/>
      <c r="BU38" s="4">
        <f ca="1">O18</f>
        <v>11</v>
      </c>
      <c r="BV38" s="4"/>
      <c r="BW38" s="4"/>
      <c r="BX38" s="4">
        <f ca="1">R18</f>
        <v>11</v>
      </c>
      <c r="BY38" s="4"/>
      <c r="BZ38" s="4"/>
      <c r="CA38" s="4">
        <f ca="1">U18</f>
        <v>11</v>
      </c>
      <c r="CB38" s="4"/>
      <c r="CC38" s="4"/>
      <c r="CD38" s="4">
        <f ca="1">X18</f>
        <v>11</v>
      </c>
      <c r="CE38" s="4"/>
      <c r="CF38" s="4"/>
      <c r="CG38" s="4">
        <f ca="1">AA18</f>
        <v>12</v>
      </c>
      <c r="CH38" s="4"/>
      <c r="CI38" s="4"/>
      <c r="CJ38" s="4">
        <f ca="1">AD18</f>
        <v>10</v>
      </c>
      <c r="CK38" s="4"/>
      <c r="CL38" s="4"/>
      <c r="CM38" s="4">
        <f ca="1">AG18</f>
        <v>9</v>
      </c>
      <c r="CN38" s="4"/>
      <c r="CO38" s="4"/>
      <c r="CP38" s="4">
        <f ca="1">AJ18</f>
        <v>12</v>
      </c>
      <c r="CQ38" s="4"/>
      <c r="CR38" s="4"/>
      <c r="CS38" s="4">
        <f ca="1">AM18</f>
        <v>12</v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$T$2</f>
        <v>JG</v>
      </c>
      <c r="AU39" s="259">
        <f t="shared" ca="1" si="87"/>
        <v>-17</v>
      </c>
      <c r="AV39" s="260">
        <f t="shared" ca="1" si="88"/>
        <v>-48</v>
      </c>
      <c r="AW39" s="261">
        <f ca="1">IF($T$24&gt;0,$T$24,"")</f>
        <v>1</v>
      </c>
      <c r="AX39" s="262">
        <f t="shared" ca="1" si="89"/>
        <v>31</v>
      </c>
      <c r="AY39" s="263" t="str">
        <f ca="1">IF($T$22=1,"✓","")</f>
        <v/>
      </c>
      <c r="AZ39" s="262" t="str">
        <f t="shared" ca="1" si="90"/>
        <v/>
      </c>
      <c r="BA39" s="264" t="str">
        <f ca="1">IF($T$22=2,"✓","")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>
        <f ca="1">F19</f>
        <v>10</v>
      </c>
      <c r="BM39" s="4"/>
      <c r="BN39" s="4"/>
      <c r="BO39" s="4">
        <f ca="1">I19</f>
        <v>0</v>
      </c>
      <c r="BP39" s="4"/>
      <c r="BQ39" s="4"/>
      <c r="BR39" s="4">
        <f ca="1">L19</f>
        <v>11</v>
      </c>
      <c r="BS39" s="4"/>
      <c r="BT39" s="4"/>
      <c r="BU39" s="4">
        <f ca="1">O19</f>
        <v>11</v>
      </c>
      <c r="BV39" s="4"/>
      <c r="BW39" s="4"/>
      <c r="BX39" s="4">
        <f ca="1">R19</f>
        <v>10</v>
      </c>
      <c r="BY39" s="4"/>
      <c r="BZ39" s="4"/>
      <c r="CA39" s="4">
        <f ca="1">U19</f>
        <v>10</v>
      </c>
      <c r="CB39" s="4"/>
      <c r="CC39" s="4"/>
      <c r="CD39" s="4">
        <f ca="1">X19</f>
        <v>10</v>
      </c>
      <c r="CE39" s="4"/>
      <c r="CF39" s="4"/>
      <c r="CG39" s="4">
        <f ca="1">AA19</f>
        <v>12</v>
      </c>
      <c r="CH39" s="4"/>
      <c r="CI39" s="4"/>
      <c r="CJ39" s="4">
        <f ca="1">AD19</f>
        <v>8</v>
      </c>
      <c r="CK39" s="4"/>
      <c r="CL39" s="4"/>
      <c r="CM39" s="4">
        <f ca="1">AG19</f>
        <v>9</v>
      </c>
      <c r="CN39" s="4"/>
      <c r="CO39" s="4"/>
      <c r="CP39" s="4">
        <f ca="1">AJ19</f>
        <v>12</v>
      </c>
      <c r="CQ39" s="4"/>
      <c r="CR39" s="4"/>
      <c r="CS39" s="4">
        <f ca="1">AM19</f>
        <v>10</v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$Z$2</f>
        <v>KC</v>
      </c>
      <c r="AU40" s="259">
        <f t="shared" ca="1" si="87"/>
        <v>-17</v>
      </c>
      <c r="AV40" s="260">
        <f t="shared" ca="1" si="88"/>
        <v>-48</v>
      </c>
      <c r="AW40" s="261">
        <f ca="1">IF($Z$24&gt;0,$Z$24,"")</f>
        <v>1</v>
      </c>
      <c r="AX40" s="262">
        <f t="shared" ca="1" si="89"/>
        <v>31</v>
      </c>
      <c r="AY40" s="263" t="str">
        <f ca="1">IF($Z$22=1,"✓","")</f>
        <v/>
      </c>
      <c r="AZ40" s="262" t="str">
        <f t="shared" ca="1" si="90"/>
        <v/>
      </c>
      <c r="BA40" s="264" t="str">
        <f ca="1">IF($Z$22=2,"✓","")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$AC$2</f>
        <v>KK</v>
      </c>
      <c r="AU41" s="259">
        <f t="shared" ca="1" si="87"/>
        <v>-17</v>
      </c>
      <c r="AV41" s="260">
        <f t="shared" ca="1" si="88"/>
        <v>-48</v>
      </c>
      <c r="AW41" s="261">
        <f ca="1">IF($AC$24&gt;0,$AC$24,"")</f>
        <v>1</v>
      </c>
      <c r="AX41" s="262">
        <f t="shared" ca="1" si="89"/>
        <v>31</v>
      </c>
      <c r="AY41" s="263" t="str">
        <f ca="1">IF($AC$22=1,"✓","")</f>
        <v/>
      </c>
      <c r="AZ41" s="262" t="str">
        <f t="shared" ca="1" si="90"/>
        <v/>
      </c>
      <c r="BA41" s="264" t="str">
        <f ca="1">IF($AC$22=2,"✓","")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$AF$2</f>
        <v>MB</v>
      </c>
      <c r="AU42" s="259">
        <f t="shared" ca="1" si="87"/>
        <v>-17</v>
      </c>
      <c r="AV42" s="260">
        <f t="shared" ca="1" si="88"/>
        <v>-48</v>
      </c>
      <c r="AW42" s="261">
        <f ca="1">IF($AF$24&gt;0,$AF$24,"")</f>
        <v>1</v>
      </c>
      <c r="AX42" s="262">
        <f t="shared" ca="1" si="89"/>
        <v>31</v>
      </c>
      <c r="AY42" s="263" t="str">
        <f ca="1">IF($AF$22=1,"✓","")</f>
        <v/>
      </c>
      <c r="AZ42" s="262" t="str">
        <f t="shared" ca="1" si="90"/>
        <v/>
      </c>
      <c r="BA42" s="264" t="str">
        <f ca="1">IF($AF$22=2,"✓","")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155</v>
      </c>
      <c r="BM42" s="4"/>
      <c r="BN42" s="4"/>
      <c r="BO42" s="4">
        <f ca="1">I22</f>
        <v>109</v>
      </c>
      <c r="BP42" s="4"/>
      <c r="BQ42" s="4"/>
      <c r="BR42" s="4">
        <f ca="1">L22</f>
        <v>161</v>
      </c>
      <c r="BS42" s="4"/>
      <c r="BT42" s="4"/>
      <c r="BU42" s="4">
        <f ca="1">O22</f>
        <v>152</v>
      </c>
      <c r="BV42" s="4"/>
      <c r="BW42" s="4"/>
      <c r="BX42" s="4">
        <f ca="1">R22</f>
        <v>148</v>
      </c>
      <c r="BY42" s="4"/>
      <c r="BZ42" s="4"/>
      <c r="CA42" s="4">
        <f ca="1">U22</f>
        <v>131</v>
      </c>
      <c r="CB42" s="4"/>
      <c r="CC42" s="4"/>
      <c r="CD42" s="4">
        <f ca="1">X22</f>
        <v>149</v>
      </c>
      <c r="CE42" s="4"/>
      <c r="CF42" s="4"/>
      <c r="CG42" s="4">
        <f ca="1">AA22</f>
        <v>136</v>
      </c>
      <c r="CH42" s="4"/>
      <c r="CI42" s="4"/>
      <c r="CJ42" s="4">
        <f ca="1">AD22</f>
        <v>130</v>
      </c>
      <c r="CK42" s="4"/>
      <c r="CL42" s="4"/>
      <c r="CM42" s="4">
        <f ca="1">AG22</f>
        <v>136</v>
      </c>
      <c r="CN42" s="4"/>
      <c r="CO42" s="4"/>
      <c r="CP42" s="4">
        <f ca="1">AJ22</f>
        <v>155</v>
      </c>
      <c r="CQ42" s="4"/>
      <c r="CR42" s="4"/>
      <c r="CS42" s="4">
        <f ca="1">AM22</f>
        <v>143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311" t="str">
        <f>$AI$2</f>
        <v>RR</v>
      </c>
      <c r="AU43" s="259">
        <f t="shared" ca="1" si="87"/>
        <v>-17</v>
      </c>
      <c r="AV43" s="260">
        <f t="shared" ca="1" si="88"/>
        <v>-48</v>
      </c>
      <c r="AW43" s="261">
        <f ca="1">IF($AI$24&gt;0,$AI$24,"")</f>
        <v>1</v>
      </c>
      <c r="AX43" s="262">
        <f t="shared" ca="1" si="89"/>
        <v>31</v>
      </c>
      <c r="AY43" s="263" t="str">
        <f ca="1">IF($AI$22=1,"✓","")</f>
        <v/>
      </c>
      <c r="AZ43" s="262" t="str">
        <f t="shared" ca="1" si="90"/>
        <v/>
      </c>
      <c r="BA43" s="264" t="str">
        <f ca="1">IF($AI$22=2,"✓","")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4.4375</v>
      </c>
      <c r="BL43" s="25"/>
      <c r="BM43" s="25"/>
      <c r="BN43" s="25">
        <f ca="1">H23</f>
        <v>7.333333333333333</v>
      </c>
      <c r="BO43" s="25"/>
      <c r="BP43" s="25"/>
      <c r="BQ43" s="25">
        <f ca="1">K23</f>
        <v>4.125</v>
      </c>
      <c r="BR43" s="25"/>
      <c r="BS43" s="25"/>
      <c r="BT43" s="25">
        <f ca="1">N23</f>
        <v>5.5</v>
      </c>
      <c r="BU43" s="25"/>
      <c r="BV43" s="25"/>
      <c r="BW43" s="25">
        <f ca="1">Q23</f>
        <v>7.375</v>
      </c>
      <c r="BX43" s="25"/>
      <c r="BY43" s="25"/>
      <c r="BZ43" s="25">
        <f ca="1">T23</f>
        <v>8</v>
      </c>
      <c r="CA43" s="25"/>
      <c r="CB43" s="25"/>
      <c r="CC43" s="25">
        <f ca="1">W23</f>
        <v>5.9375</v>
      </c>
      <c r="CD43" s="25"/>
      <c r="CE43" s="25"/>
      <c r="CF43" s="25">
        <f ca="1">Z23</f>
        <v>4.3571428571428568</v>
      </c>
      <c r="CG43" s="25"/>
      <c r="CH43" s="25"/>
      <c r="CI43" s="25">
        <f ca="1">AC23</f>
        <v>7.7333333333333334</v>
      </c>
      <c r="CJ43" s="25"/>
      <c r="CK43" s="25"/>
      <c r="CL43" s="25">
        <f ca="1">AF23</f>
        <v>7.625</v>
      </c>
      <c r="CM43" s="25"/>
      <c r="CN43" s="25"/>
      <c r="CO43" s="25">
        <f ca="1">AI23</f>
        <v>4.4375</v>
      </c>
      <c r="CP43" s="25"/>
      <c r="CQ43" s="25"/>
      <c r="CR43" s="25">
        <f ca="1">AL23</f>
        <v>6.5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12" t="str">
        <f>$W$2</f>
        <v>JL</v>
      </c>
      <c r="AU44" s="267">
        <f t="shared" ca="1" si="87"/>
        <v>-48</v>
      </c>
      <c r="AV44" s="268">
        <f t="shared" ca="1" si="88"/>
        <v>-48</v>
      </c>
      <c r="AW44" s="269" t="str">
        <f ca="1">IF($W$24&gt;0,$W$24,"")</f>
        <v/>
      </c>
      <c r="AX44" s="270" t="str">
        <f t="shared" ca="1" si="89"/>
        <v/>
      </c>
      <c r="AY44" s="271" t="str">
        <f ca="1">IF($W$22=1,"✓","")</f>
        <v/>
      </c>
      <c r="AZ44" s="270" t="str">
        <f t="shared" ca="1" si="90"/>
        <v/>
      </c>
      <c r="BA44" s="272" t="str">
        <f ca="1">IF($W$22=2,"✓","")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["H","V","V","V","H","H","V","V","H","H","V","V","H"];</v>
      </c>
    </row>
    <row r="345" spans="100:100" x14ac:dyDescent="0.3">
      <c r="CV345" s="282" t="str">
        <f ca="1">'Week 13'!BY5</f>
        <v xml:space="preserve">   var w13_p2_picks         = ["H","H","H","H","H","H","H","H","H","H","V","V","H"];</v>
      </c>
    </row>
    <row r="346" spans="100:100" x14ac:dyDescent="0.3">
      <c r="CV346" s="282" t="str">
        <f ca="1">'Week 13'!BY6</f>
        <v xml:space="preserve">   var w13_p3_picks         = ["H","V","V","V","H","H","V","V","H","H","V","V","H"];</v>
      </c>
    </row>
    <row r="347" spans="100:100" x14ac:dyDescent="0.3">
      <c r="CV347" s="282" t="str">
        <f ca="1">'Week 13'!BY7</f>
        <v xml:space="preserve">   var w13_p4_picks         = ["H","V","V","V","H","H","V","V","H","H","H","V","H"];</v>
      </c>
    </row>
    <row r="348" spans="100:100" x14ac:dyDescent="0.3">
      <c r="CV348" s="282" t="str">
        <f ca="1">'Week 13'!BY8</f>
        <v xml:space="preserve">   var w13_p5_picks         = ["H","V","V","H","H","H","V","V","V","H","V","V","H"];</v>
      </c>
    </row>
    <row r="349" spans="100:100" x14ac:dyDescent="0.3">
      <c r="CV349" s="282" t="str">
        <f ca="1">'Week 13'!BY9</f>
        <v xml:space="preserve">   var w13_p6_picks         = ["H","V","V","H","H","H","V","V","H","H","V","V","H"];</v>
      </c>
    </row>
    <row r="350" spans="100:100" x14ac:dyDescent="0.3">
      <c r="CV350" s="282" t="str">
        <f ca="1">'Week 13'!BY10</f>
        <v xml:space="preserve">   var w13_p7_picks         = ["H","V","V","V","H","H","V","V","V","H","V","V","H"];</v>
      </c>
    </row>
    <row r="351" spans="100:100" x14ac:dyDescent="0.3">
      <c r="CV351" s="282" t="str">
        <f ca="1">'Week 13'!BY11</f>
        <v xml:space="preserve">   var w13_p8_picks         = ["H","V","V","V","H","H","V","V","H","H","V","V","H"];</v>
      </c>
    </row>
    <row r="352" spans="100:100" x14ac:dyDescent="0.3">
      <c r="CV352" s="282" t="str">
        <f ca="1">'Week 13'!BY12</f>
        <v xml:space="preserve">   var w13_p9_picks         = ["H","V","V","V","H","H","H","V","V","H","V","V","H"];</v>
      </c>
    </row>
    <row r="353" spans="100:100" x14ac:dyDescent="0.3">
      <c r="CV353" s="282" t="str">
        <f ca="1">'Week 13'!BY13</f>
        <v xml:space="preserve">   var w13_p10_picks        = ["H","V","V","H","H","H","H","V","V","H","V","H","H"];</v>
      </c>
    </row>
    <row r="354" spans="100:100" x14ac:dyDescent="0.3">
      <c r="CV354" s="282" t="str">
        <f ca="1">'Week 13'!BY14</f>
        <v xml:space="preserve">   var w13_p11_picks        = ["H","V","V","V","H","H","V","V","H","H","H","V","H"];</v>
      </c>
    </row>
    <row r="355" spans="100:100" x14ac:dyDescent="0.3">
      <c r="CV355" s="282" t="str">
        <f ca="1">'Week 13'!BY15</f>
        <v xml:space="preserve">   var w13_p12_picks        = ["H","V","V","H","H","H","V","V","V","V","V","H","H"];</v>
      </c>
    </row>
    <row r="356" spans="100:100" x14ac:dyDescent="0.3">
      <c r="CV356" s="282" t="str">
        <f ca="1">'Week 13'!BY16</f>
        <v xml:space="preserve">   var w13_p1_weights       = ["15","9","11","6","12","10","4","16","8","7","5","13","14"];</v>
      </c>
    </row>
    <row r="357" spans="100:100" x14ac:dyDescent="0.3">
      <c r="CV357" s="282" t="str">
        <f ca="1">'Week 13'!BY17</f>
        <v xml:space="preserve">   var w13_p2_weights       = ["16","5","10","7","15","14","9","4","8","13","6","12","11"];</v>
      </c>
    </row>
    <row r="358" spans="100:100" x14ac:dyDescent="0.3">
      <c r="CV358" s="282" t="str">
        <f ca="1">'Week 13'!BY18</f>
        <v xml:space="preserve">   var w13_p3_weights       = ["15","12","9","6","11","10","4","16","8","7","5","13","14"];</v>
      </c>
    </row>
    <row r="359" spans="100:100" x14ac:dyDescent="0.3">
      <c r="CV359" s="282" t="str">
        <f ca="1">'Week 13'!BY19</f>
        <v xml:space="preserve">   var w13_p4_weights       = ["15","11","7","8","12","10","4","16","6","9","5","13","14"];</v>
      </c>
    </row>
    <row r="360" spans="100:100" x14ac:dyDescent="0.3">
      <c r="CV360" s="282" t="str">
        <f ca="1">'Week 13'!BY20</f>
        <v xml:space="preserve">   var w13_p5_weights       = ["14","9","8","7","13","12","11","6","5","15","4","10","16"];</v>
      </c>
    </row>
    <row r="361" spans="100:100" x14ac:dyDescent="0.3">
      <c r="CV361" s="282" t="str">
        <f ca="1">'Week 13'!BY21</f>
        <v xml:space="preserve">   var w13_p6_weights       = ["9","11","14","6","16","8","12","15","7","10","5","4","13"];</v>
      </c>
    </row>
    <row r="362" spans="100:100" x14ac:dyDescent="0.3">
      <c r="CV362" s="282" t="str">
        <f ca="1">'Week 13'!BY22</f>
        <v xml:space="preserve">   var w13_p7_weights       = ["14","10","8","12","13","9","6","16","5","7","4","15","11"];</v>
      </c>
    </row>
    <row r="363" spans="100:100" x14ac:dyDescent="0.3">
      <c r="CV363" s="282" t="str">
        <f ca="1">'Week 13'!BY23</f>
        <v xml:space="preserve">   var w13_p8_weights       = ["15","12","9","5","11","10","4","6","7","8","16","13","14"];</v>
      </c>
    </row>
    <row r="364" spans="100:100" x14ac:dyDescent="0.3">
      <c r="CV364" s="282" t="str">
        <f ca="1">'Week 13'!BY24</f>
        <v xml:space="preserve">   var w13_p9_weights       = ["13","12","8","6","11","10","4","15","5","9","7","16","14"];</v>
      </c>
    </row>
    <row r="365" spans="100:100" x14ac:dyDescent="0.3">
      <c r="CV365" s="282" t="str">
        <f ca="1">'Week 13'!BY25</f>
        <v xml:space="preserve">   var w13_p10_weights      = ["15","10","11","8","16","14","7","13","6","12","9","5","4"];</v>
      </c>
    </row>
    <row r="366" spans="100:100" x14ac:dyDescent="0.3">
      <c r="CV366" s="282" t="str">
        <f ca="1">'Week 13'!BY26</f>
        <v xml:space="preserve">   var w13_p11_weights      = ["16","9","11","15","8","10","7","14","6","5","4","13","12"];</v>
      </c>
    </row>
    <row r="367" spans="100:100" x14ac:dyDescent="0.3">
      <c r="CV367" s="282" t="str">
        <f ca="1">'Week 13'!BY27</f>
        <v xml:space="preserve">   var w13_p12_weights      = ["16","11","12","10","13","14","9","15","5","6","7","4","8"];</v>
      </c>
    </row>
    <row r="368" spans="100:100" x14ac:dyDescent="0.3">
      <c r="CV368" s="282" t="str">
        <f ca="1">'Week 13'!BY28</f>
        <v xml:space="preserve">   var w13_winners          = ["H","V","V","V","V","H","V","V","H","H","V","H","V"];</v>
      </c>
    </row>
    <row r="369" spans="100:100" x14ac:dyDescent="0.3">
      <c r="CV369" s="282" t="str">
        <f ca="1">'Week 13'!BY29</f>
        <v xml:space="preserve">   var w13_mn_points        = ["35","41","40","42","44","38","47","37","38","53","36","44"];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["H","H","H","V","V","H","H","V","V","H","H","H","H","H","V"];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["H","V","H","V","H","H","H","V","V","H","H","H","H","H","V"];</v>
      </c>
    </row>
    <row r="375" spans="100:100" x14ac:dyDescent="0.3">
      <c r="CV375" s="282" t="str">
        <f ca="1">'Week 14'!BY7</f>
        <v xml:space="preserve">   var w14_p4_picks         = ["H","V","H","V","V","H","H","V","V","H","H","H","H","H","V"];</v>
      </c>
    </row>
    <row r="376" spans="100:100" x14ac:dyDescent="0.3">
      <c r="CV376" s="282" t="str">
        <f ca="1">'Week 14'!BY8</f>
        <v xml:space="preserve">   var w14_p5_picks         = ["H","V","H","V","H","H","H","V","V","H","H","V","H","H","V"];</v>
      </c>
    </row>
    <row r="377" spans="100:100" x14ac:dyDescent="0.3">
      <c r="CV377" s="282" t="str">
        <f ca="1">'Week 14'!BY9</f>
        <v xml:space="preserve">   var w14_p6_picks         = ["H","H","H","V","V","H","H","V","H","H","H","V","V","H","V"];</v>
      </c>
    </row>
    <row r="378" spans="100:100" x14ac:dyDescent="0.3">
      <c r="CV378" s="282" t="str">
        <f ca="1">'Week 14'!BY10</f>
        <v xml:space="preserve">   var w14_p7_picks         = ["H","H","H","V","H","V","H","V","H","H","H","H","H","H","V"];</v>
      </c>
    </row>
    <row r="379" spans="100:100" x14ac:dyDescent="0.3">
      <c r="CV379" s="282" t="str">
        <f ca="1">'Week 14'!BY11</f>
        <v xml:space="preserve">   var w14_p8_picks         = ["H","H","H","V","V","H","H","V","V","H","H","H","H","H","V"];</v>
      </c>
    </row>
    <row r="380" spans="100:100" x14ac:dyDescent="0.3">
      <c r="CV380" s="282" t="str">
        <f ca="1">'Week 14'!BY12</f>
        <v xml:space="preserve">   var w14_p9_picks         = ["H","H","H","V","V","H","H","V","V","H","H","H","V","H","V"];</v>
      </c>
    </row>
    <row r="381" spans="100:100" x14ac:dyDescent="0.3">
      <c r="CV381" s="282" t="str">
        <f ca="1">'Week 14'!BY13</f>
        <v xml:space="preserve">   var w14_p10_picks        = ["H","H","V","V","H","H","H","V","V","H","V","H","V","H","V"];</v>
      </c>
    </row>
    <row r="382" spans="100:100" x14ac:dyDescent="0.3">
      <c r="CV382" s="282" t="str">
        <f ca="1">'Week 14'!BY14</f>
        <v xml:space="preserve">   var w14_p11_picks        = ["H","H","H","V","V","H","H","V","V","H","H","H","H","H","V"];</v>
      </c>
    </row>
    <row r="383" spans="100:100" x14ac:dyDescent="0.3">
      <c r="CV383" s="282" t="str">
        <f ca="1">'Week 14'!BY15</f>
        <v xml:space="preserve">   var w14_p12_picks        = ["H","H","H","V","H","V","V","V","H","H","H","V","V","H","V"];</v>
      </c>
    </row>
    <row r="384" spans="100:100" x14ac:dyDescent="0.3">
      <c r="CV384" s="282" t="str">
        <f ca="1">'Week 14'!BY16</f>
        <v xml:space="preserve">   var w14_p1_weights       = ["12","3","14","10","2","6","11","9","8","15","7","5","4","16","13"];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["12","4","14","9","2","7","11","8","6","15","3","5","10","16","13"];</v>
      </c>
    </row>
    <row r="387" spans="100:100" x14ac:dyDescent="0.3">
      <c r="CV387" s="282" t="str">
        <f ca="1">'Week 14'!BY19</f>
        <v xml:space="preserve">   var w14_p4_weights       = ["11","3","14","6","2","5","12","7","9","15","4","8","10","16","13"];</v>
      </c>
    </row>
    <row r="388" spans="100:100" x14ac:dyDescent="0.3">
      <c r="CV388" s="282" t="str">
        <f ca="1">'Week 14'!BY20</f>
        <v xml:space="preserve">   var w14_p5_weights       = ["14","7","15","12","6","5","13","8","9","3","2","10","4","11","16"];</v>
      </c>
    </row>
    <row r="389" spans="100:100" x14ac:dyDescent="0.3">
      <c r="CV389" s="282" t="str">
        <f ca="1">'Week 14'!BY21</f>
        <v xml:space="preserve">   var w14_p6_weights       = ["16","8","2","13","11","7","9","10","3","15","4","6","5","14","12"];</v>
      </c>
    </row>
    <row r="390" spans="100:100" x14ac:dyDescent="0.3">
      <c r="CV390" s="282" t="str">
        <f ca="1">'Week 14'!BY22</f>
        <v xml:space="preserve">   var w14_p7_weights       = ["13","7","8","10","4","2","11","12","3","15","9","5","6","16","14"];</v>
      </c>
    </row>
    <row r="391" spans="100:100" x14ac:dyDescent="0.3">
      <c r="CV391" s="282" t="str">
        <f ca="1">'Week 14'!BY23</f>
        <v xml:space="preserve">   var w14_p8_weights       = ["12","3","14","10","16","6","11","8","7","15","4","5","9","2","13"];</v>
      </c>
    </row>
    <row r="392" spans="100:100" x14ac:dyDescent="0.3">
      <c r="CV392" s="282" t="str">
        <f ca="1">'Week 14'!BY24</f>
        <v xml:space="preserve">   var w14_p9_weights       = ["11","3","14","5","2","6","9","10","7","12","16","8","4","15","13"];</v>
      </c>
    </row>
    <row r="393" spans="100:100" x14ac:dyDescent="0.3">
      <c r="CV393" s="282" t="str">
        <f ca="1">'Week 14'!BY25</f>
        <v xml:space="preserve">   var w14_p10_weights      = ["6","7","11","8","9","3","16","15","12","14","4","5","2","13","10"];</v>
      </c>
    </row>
    <row r="394" spans="100:100" x14ac:dyDescent="0.3">
      <c r="CV394" s="282" t="str">
        <f ca="1">'Week 14'!BY26</f>
        <v xml:space="preserve">   var w14_p11_weights      = ["12","4","14","8","2","5","11","10","7","15","3","6","9","16","13"];</v>
      </c>
    </row>
    <row r="395" spans="100:100" x14ac:dyDescent="0.3">
      <c r="CV395" s="282" t="str">
        <f ca="1">'Week 14'!BY27</f>
        <v xml:space="preserve">   var w14_p12_weights      = ["6","9","15","14","4","11","2","13","8","7","12","5","3","16","10"];</v>
      </c>
    </row>
    <row r="396" spans="100:100" x14ac:dyDescent="0.3">
      <c r="CV396" s="282" t="str">
        <f ca="1">'Week 14'!BY28</f>
        <v xml:space="preserve">   var w14_winners          = ["V","V","H","H","H","H","H","H","V","H","V","V","H","V","H"];</v>
      </c>
    </row>
    <row r="397" spans="100:100" x14ac:dyDescent="0.3">
      <c r="CV397" s="282" t="str">
        <f ca="1">'Week 14'!BY29</f>
        <v xml:space="preserve">   var w14_mn_points        = ["39","","36","42","42","38","43","37","36","59","37","42"];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["H","H","H","H","H","V","H","H","V","V","V","V","H","H","H","H"];</v>
      </c>
    </row>
    <row r="401" spans="100:100" x14ac:dyDescent="0.3">
      <c r="CV401" s="282" t="str">
        <f ca="1">'Week 15'!BY5</f>
        <v xml:space="preserve">   var w15_p2_picks         = ["H","H","H","V","H","V","H","H","V","V","V","V","V","H","H","H"];</v>
      </c>
    </row>
    <row r="402" spans="100:100" x14ac:dyDescent="0.3">
      <c r="CV402" s="282" t="str">
        <f ca="1">'Week 15'!BY6</f>
        <v xml:space="preserve">   var w15_p3_picks         = ["H","H","H","H","H","V","H","H","V","V","V","V","H","H","H","H"];</v>
      </c>
    </row>
    <row r="403" spans="100:100" x14ac:dyDescent="0.3">
      <c r="CV403" s="282" t="str">
        <f ca="1">'Week 15'!BY7</f>
        <v xml:space="preserve">   var w15_p4_picks         = ["H","H","H","H","H","V","H","V","V","V","V","V","H","H","H","H"];</v>
      </c>
    </row>
    <row r="404" spans="100:100" x14ac:dyDescent="0.3">
      <c r="CV404" s="282" t="str">
        <f ca="1">'Week 15'!BY8</f>
        <v xml:space="preserve">   var w15_p5_picks         = ["H","H","H","H","H","V","H","V","V","V","V","V","H","H","H","H"];</v>
      </c>
    </row>
    <row r="405" spans="100:100" x14ac:dyDescent="0.3">
      <c r="CV405" s="282" t="str">
        <f ca="1">'Week 15'!BY9</f>
        <v xml:space="preserve">   var w15_p6_picks         = ["H","V","H","H","H","V","H","V","V","V","V","V","H","H","H","V"];</v>
      </c>
    </row>
    <row r="406" spans="100:100" x14ac:dyDescent="0.3">
      <c r="CV406" s="282" t="str">
        <f ca="1">'Week 15'!BY10</f>
        <v xml:space="preserve">   var w15_p7_picks         = ["V","H","H","H","H","V","H","H","V","V","V","V","H","H","H","H"];</v>
      </c>
    </row>
    <row r="407" spans="100:100" x14ac:dyDescent="0.3">
      <c r="CV407" s="282" t="str">
        <f ca="1">'Week 15'!BY11</f>
        <v xml:space="preserve">   var w15_p8_picks         = ["H","H","H","H","H","V","H","H","V","V","V","V","H","H","H","H"];</v>
      </c>
    </row>
    <row r="408" spans="100:100" x14ac:dyDescent="0.3">
      <c r="CV408" s="282" t="str">
        <f ca="1">'Week 15'!BY12</f>
        <v xml:space="preserve">   var w15_p9_picks         = ["V","H","H","H","V","V","H","V","V","V","V","V","H","H","H","V"];</v>
      </c>
    </row>
    <row r="409" spans="100:100" x14ac:dyDescent="0.3">
      <c r="CV409" s="282" t="str">
        <f ca="1">'Week 15'!BY13</f>
        <v xml:space="preserve">   var w15_p10_picks        = ["V","H","V","H","V","V","H","V","V","V","V","V","H","H","V","H"];</v>
      </c>
    </row>
    <row r="410" spans="100:100" x14ac:dyDescent="0.3">
      <c r="CV410" s="282" t="str">
        <f ca="1">'Week 15'!BY14</f>
        <v xml:space="preserve">   var w15_p11_picks        = ["H","H","H","H","H","V","H","H","V","V","V","V","H","H","H","H"];</v>
      </c>
    </row>
    <row r="411" spans="100:100" x14ac:dyDescent="0.3">
      <c r="CV411" s="282" t="str">
        <f ca="1">'Week 15'!BY15</f>
        <v xml:space="preserve">   var w15_p12_picks        = ["H","H","H","V","V","V","H","V","H","V","V","H","H","H","V","H"];</v>
      </c>
    </row>
    <row r="412" spans="100:100" x14ac:dyDescent="0.3">
      <c r="CV412" s="282" t="str">
        <f ca="1">'Week 15'!BY16</f>
        <v xml:space="preserve">   var w15_p1_weights       = ["6","9","15","12","5","16","13","2","11","10","14","7","3","4","8","1"];</v>
      </c>
    </row>
    <row r="413" spans="100:100" x14ac:dyDescent="0.3">
      <c r="CV413" s="282" t="str">
        <f ca="1">'Week 15'!BY17</f>
        <v xml:space="preserve">   var w15_p2_weights       = ["5","11","16","2","7","15","14","3","4","13","12","9","6","8","10","1"];</v>
      </c>
    </row>
    <row r="414" spans="100:100" x14ac:dyDescent="0.3">
      <c r="CV414" s="282" t="str">
        <f ca="1">'Week 15'!BY18</f>
        <v xml:space="preserve">   var w15_p3_weights       = ["7","9","15","12","3","16","13","2","11","5","14","4","6","8","10","1"];</v>
      </c>
    </row>
    <row r="415" spans="100:100" x14ac:dyDescent="0.3">
      <c r="CV415" s="282" t="str">
        <f ca="1">'Week 15'!BY19</f>
        <v xml:space="preserve">   var w15_p4_weights       = ["8","7","15","12","2","16","13","3","10","4","14","9","6","5","11","1"];</v>
      </c>
    </row>
    <row r="416" spans="100:100" x14ac:dyDescent="0.3">
      <c r="CV416" s="282" t="str">
        <f ca="1">'Week 15'!BY20</f>
        <v xml:space="preserve">   var w15_p5_weights       = ["4","9","10","8","7","16","14","1","6","5","15","12","13","11","3","2"];</v>
      </c>
    </row>
    <row r="417" spans="100:100" x14ac:dyDescent="0.3">
      <c r="CV417" s="282" t="str">
        <f ca="1">'Week 15'!BY21</f>
        <v xml:space="preserve">   var w15_p6_weights       = ["7","10","13","1","6","15","11","2","8","14","3","9","12","4","5","16"];</v>
      </c>
    </row>
    <row r="418" spans="100:100" x14ac:dyDescent="0.3">
      <c r="CV418" s="282" t="str">
        <f ca="1">'Week 15'!BY22</f>
        <v xml:space="preserve">   var w15_p7_weights       = ["1","6","14","10","3","16","13","2","8","5","15","11","7","12","9","4"];</v>
      </c>
    </row>
    <row r="419" spans="100:100" x14ac:dyDescent="0.3">
      <c r="CV419" s="282" t="str">
        <f ca="1">'Week 15'!BY23</f>
        <v xml:space="preserve">   var w15_p8_weights       = ["5","7","14","12","1","16","13","2","10","9","15","4","8","6","11","3"];</v>
      </c>
    </row>
    <row r="420" spans="100:100" x14ac:dyDescent="0.3">
      <c r="CV420" s="282" t="str">
        <f ca="1">'Week 15'!BY24</f>
        <v xml:space="preserve">   var w15_p9_weights       = ["4","7","14","12","1","15","13","2","10","9","16","6","11","5","8","3"];</v>
      </c>
    </row>
    <row r="421" spans="100:100" x14ac:dyDescent="0.3">
      <c r="CV421" s="282" t="str">
        <f ca="1">'Week 15'!BY25</f>
        <v xml:space="preserve">   var w15_p10_weights      = ["8","9","1","13","7","16","10","2","12","14","15","5","11","6","4","3"];</v>
      </c>
    </row>
    <row r="422" spans="100:100" x14ac:dyDescent="0.3">
      <c r="CV422" s="282" t="str">
        <f ca="1">'Week 15'!BY26</f>
        <v xml:space="preserve">   var w15_p11_weights      = ["8","9","15","12","3","16","13","2","11","6","14","4","5","7","10","1"];</v>
      </c>
    </row>
    <row r="423" spans="100:100" x14ac:dyDescent="0.3">
      <c r="CV423" s="282" t="str">
        <f ca="1">'Week 15'!BY27</f>
        <v xml:space="preserve">   var w15_p12_weights      = ["11","8","15","7","5","16","14","6","2","12","13","1","10","9","3","4"];</v>
      </c>
    </row>
    <row r="424" spans="100:100" x14ac:dyDescent="0.3">
      <c r="CV424" s="282" t="str">
        <f ca="1">'Week 15'!BY28</f>
        <v xml:space="preserve">   var w15_winners          = ["H","V","H","H","V","V","H","H","H","V","V","H","H","H","H","H"];</v>
      </c>
    </row>
    <row r="425" spans="100:100" x14ac:dyDescent="0.3">
      <c r="CV425" s="282" t="str">
        <f ca="1">'Week 15'!BY29</f>
        <v xml:space="preserve">   var w15_mn_points        = ["39","38","43","42","42","38","41","42","43","49","42","42"];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["H","V","V","H","V","V","V","H","V","V","H","V","H","H","H","H"];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["H","V","V","V","V","V","V","H","V","H","H","H","H","H","H","H"];</v>
      </c>
    </row>
    <row r="431" spans="100:100" x14ac:dyDescent="0.3">
      <c r="CV431" s="282" t="str">
        <f ca="1">'Week 16'!BY7</f>
        <v xml:space="preserve">   var w16_p4_picks         = ["H","V","V","H","V","V","V","H","V","H","V","H","H","H","H","H"];</v>
      </c>
    </row>
    <row r="432" spans="100:100" x14ac:dyDescent="0.3">
      <c r="CV432" s="282" t="str">
        <f ca="1">'Week 16'!BY8</f>
        <v xml:space="preserve">   var w16_p5_picks         = ["H","V","V","V","V","V","V","H","V","H","V","H","H","H","H","H"];</v>
      </c>
    </row>
    <row r="433" spans="100:100" x14ac:dyDescent="0.3">
      <c r="CV433" s="282" t="str">
        <f ca="1">'Week 16'!BY9</f>
        <v xml:space="preserve">   var w16_p6_picks         = ["H","H","V","H","V","H","V","H","V","V","V","H","H","H","H","H"];</v>
      </c>
    </row>
    <row r="434" spans="100:100" x14ac:dyDescent="0.3">
      <c r="CV434" s="282" t="str">
        <f ca="1">'Week 16'!BY10</f>
        <v xml:space="preserve">   var w16_p7_picks         = ["H","V","V","V","V","V","V","V","V","H","H","H","H","H","H","H"];</v>
      </c>
    </row>
    <row r="435" spans="100:100" x14ac:dyDescent="0.3">
      <c r="CV435" s="282" t="str">
        <f ca="1">'Week 16'!BY11</f>
        <v xml:space="preserve">   var w16_p8_picks         = ["H","V","V","H","V","V","V","H","V","H","H","H","H","H","H","H"];</v>
      </c>
    </row>
    <row r="436" spans="100:100" x14ac:dyDescent="0.3">
      <c r="CV436" s="282" t="str">
        <f ca="1">'Week 16'!BY12</f>
        <v xml:space="preserve">   var w16_p9_picks         = ["H","V","V","V","V","V","V","V","H","V","H","H","H","H","H","H"];</v>
      </c>
    </row>
    <row r="437" spans="100:100" x14ac:dyDescent="0.3">
      <c r="CV437" s="282" t="str">
        <f ca="1">'Week 16'!BY13</f>
        <v xml:space="preserve">   var w16_p10_picks        = ["H","V","V","V","V","H","V","H","V","H","H","V","H","H","H","H"];</v>
      </c>
    </row>
    <row r="438" spans="100:100" x14ac:dyDescent="0.3">
      <c r="CV438" s="282" t="str">
        <f ca="1">'Week 16'!BY14</f>
        <v xml:space="preserve">   var w16_p11_picks        = ["H","V","V","H","V","V","V","H","V","H","H","H","H","H","H","H"];</v>
      </c>
    </row>
    <row r="439" spans="100:100" x14ac:dyDescent="0.3">
      <c r="CV439" s="282" t="str">
        <f ca="1">'Week 16'!BY15</f>
        <v xml:space="preserve">   var w16_p12_picks        = ["H","V","V","V","V","V","V","H","V","H","H","V","H","H","H","H"];</v>
      </c>
    </row>
    <row r="440" spans="100:100" x14ac:dyDescent="0.3">
      <c r="CV440" s="282" t="str">
        <f ca="1">'Week 16'!BY16</f>
        <v xml:space="preserve">   var w16_p1_weights       = ["11","4","12","2","13","8","7","5","10","3","9","1","14","15","16","6"];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["9","4","16","2","11","5","8","7","6","1","10","3","13","14","15","12"];</v>
      </c>
    </row>
    <row r="443" spans="100:100" x14ac:dyDescent="0.3">
      <c r="CV443" s="282" t="str">
        <f ca="1">'Week 16'!BY19</f>
        <v xml:space="preserve">   var w16_p4_weights       = ["7","4","15","1","11","8","6","9","5","2","10","3","13","14","16","12"];</v>
      </c>
    </row>
    <row r="444" spans="100:100" x14ac:dyDescent="0.3">
      <c r="CV444" s="282" t="str">
        <f ca="1">'Week 16'!BY20</f>
        <v xml:space="preserve">   var w16_p5_weights       = ["14","11","10","4","16","3","15","8","9","7","5","2","12","6","13","1"];</v>
      </c>
    </row>
    <row r="445" spans="100:100" x14ac:dyDescent="0.3">
      <c r="CV445" s="282" t="str">
        <f ca="1">'Week 16'!BY21</f>
        <v xml:space="preserve">   var w16_p6_weights       = ["15","16","14","1","11","5","8","7","6","10","4","3","9","2","12","13"];</v>
      </c>
    </row>
    <row r="446" spans="100:100" x14ac:dyDescent="0.3">
      <c r="CV446" s="282" t="str">
        <f ca="1">'Week 16'!BY22</f>
        <v xml:space="preserve">   var w16_p7_weights       = ["8","12","15","1","13","5","7","2","6","3","9","4","11","14","16","10"];</v>
      </c>
    </row>
    <row r="447" spans="100:100" x14ac:dyDescent="0.3">
      <c r="CV447" s="282" t="str">
        <f ca="1">'Week 16'!BY23</f>
        <v xml:space="preserve">   var w16_p8_weights       = ["9","4","12","2","11","5","8","7","6","1","10","3","13","14","15","16"];</v>
      </c>
    </row>
    <row r="448" spans="100:100" x14ac:dyDescent="0.3">
      <c r="CV448" s="282" t="str">
        <f ca="1">'Week 16'!BY24</f>
        <v xml:space="preserve">   var w16_p9_weights       = ["9","4","15","1","11","7","8","5","6","2","10","3","13","16","14","12"];</v>
      </c>
    </row>
    <row r="449" spans="100:100" x14ac:dyDescent="0.3">
      <c r="CV449" s="282" t="str">
        <f ca="1">'Week 16'!BY25</f>
        <v xml:space="preserve">   var w16_p10_weights      = ["11","10","16","7","13","8","6","3","5","4","12","2","9","15","14","1"];</v>
      </c>
    </row>
    <row r="450" spans="100:100" x14ac:dyDescent="0.3">
      <c r="CV450" s="282" t="str">
        <f ca="1">'Week 16'!BY26</f>
        <v xml:space="preserve">   var w16_p11_weights      = ["9","4","16","1","11","5","8","7","6","2","10","3","13","14","15","12"];</v>
      </c>
    </row>
    <row r="451" spans="100:100" x14ac:dyDescent="0.3">
      <c r="CV451" s="282" t="str">
        <f ca="1">'Week 16'!BY27</f>
        <v xml:space="preserve">   var w16_p12_weights      = ["12","3","16","4","13","5","6","7","8","9","10","2","11","14","15","1"];</v>
      </c>
    </row>
    <row r="452" spans="100:100" x14ac:dyDescent="0.3">
      <c r="CV452" s="282" t="str">
        <f ca="1">'Week 16'!BY28</f>
        <v xml:space="preserve">   var w16_winners          = ["H","H","V","H","V","V","V","H","V","H","H","H","V","V","H","V"];</v>
      </c>
    </row>
    <row r="453" spans="100:100" x14ac:dyDescent="0.3">
      <c r="CV453" s="282" t="str">
        <f ca="1">'Week 16'!BY29</f>
        <v xml:space="preserve">   var w16_mn_points        = ["48","","46","42","51","38","50","47","46","49","47","52"];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["H","H","H","H","H","H","H","H","V","H","H","V","H","H","H","H"];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["H","H","H","H","H","H","H","H","V","H","H","V","H","H","H","H"];</v>
      </c>
    </row>
    <row r="459" spans="100:100" x14ac:dyDescent="0.3">
      <c r="CV459" s="282" t="str">
        <f ca="1">'Week 17'!BY7</f>
        <v xml:space="preserve">   var w17_p4_picks         = ["H","H","H","H","H","H","H","H","V","H","V","V","H","H","H","V"];</v>
      </c>
    </row>
    <row r="460" spans="100:100" x14ac:dyDescent="0.3">
      <c r="CV460" s="282" t="str">
        <f ca="1">'Week 17'!BY8</f>
        <v xml:space="preserve">   var w17_p5_picks         = ["H","H","H","H","H","V","V","H","V","H","H","V","H","H","H","V"];</v>
      </c>
    </row>
    <row r="461" spans="100:100" x14ac:dyDescent="0.3">
      <c r="CV461" s="282" t="str">
        <f ca="1">'Week 17'!BY9</f>
        <v xml:space="preserve">   var w17_p6_picks         = ["H","V","H","H","H","H","V","H","V","H","H","V","V","H","H","V"];</v>
      </c>
    </row>
    <row r="462" spans="100:100" x14ac:dyDescent="0.3">
      <c r="CV462" s="282" t="str">
        <f ca="1">'Week 17'!BY10</f>
        <v xml:space="preserve">   var w17_p7_picks         = ["H","H","H","H","H","H","H","H","V","H","H","V","H","H","H","H"];</v>
      </c>
    </row>
    <row r="463" spans="100:100" x14ac:dyDescent="0.3">
      <c r="CV463" s="282" t="str">
        <f ca="1">'Week 17'!BY11</f>
        <v xml:space="preserve">   var w17_p8_picks         = ["H","H","H","H","H","H","H","H","V","H","H","V","H","H","H","H"];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["H","H","H","H","V","H","V","H","V","H","H","V","H","H","H","H"];</v>
      </c>
    </row>
    <row r="466" spans="100:100" x14ac:dyDescent="0.3">
      <c r="CV466" s="282" t="str">
        <f ca="1">'Week 17'!BY14</f>
        <v xml:space="preserve">   var w17_p11_picks        = ["H","H","H","H","H","H","H","H","V","H","H","V","H","H","H","H"];</v>
      </c>
    </row>
    <row r="467" spans="100:100" x14ac:dyDescent="0.3">
      <c r="CV467" s="282" t="str">
        <f ca="1">'Week 17'!BY15</f>
        <v xml:space="preserve">   var w17_p12_picks        = ["H","H","H","H","V","H","V","V","V","H","H","V","H","H","H","V"];</v>
      </c>
    </row>
    <row r="468" spans="100:100" x14ac:dyDescent="0.3">
      <c r="CV468" s="282" t="str">
        <f ca="1">'Week 17'!BY16</f>
        <v xml:space="preserve">   var w17_p1_weights       = ["14","9","6","13","3","8","5","12","10","15","7","16","4","2","11","1"];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["13","10","4","16","3","8","5","11","9","14","2","15","7","6","12","1"];</v>
      </c>
    </row>
    <row r="471" spans="100:100" x14ac:dyDescent="0.3">
      <c r="CV471" s="282" t="str">
        <f ca="1">'Week 17'!BY19</f>
        <v xml:space="preserve">   var w17_p4_weights       = ["13","10","4","15","2","6","5","11","7","14","3","16","8","9","12","1"];</v>
      </c>
    </row>
    <row r="472" spans="100:100" x14ac:dyDescent="0.3">
      <c r="CV472" s="282" t="str">
        <f ca="1">'Week 17'!BY20</f>
        <v xml:space="preserve">   var w17_p5_weights       = ["14","1","2","7","4","6","5","3","16","15","8","13","12","11","10","9"];</v>
      </c>
    </row>
    <row r="473" spans="100:100" x14ac:dyDescent="0.3">
      <c r="CV473" s="282" t="str">
        <f ca="1">'Week 17'!BY21</f>
        <v xml:space="preserve">   var w17_p6_weights       = ["11","5","4","12","6","1","13","3","15","7","9","14","16","10","2","8"];</v>
      </c>
    </row>
    <row r="474" spans="100:100" x14ac:dyDescent="0.3">
      <c r="CV474" s="282" t="str">
        <f ca="1">'Week 17'!BY22</f>
        <v xml:space="preserve">   var w17_p7_weights       = ["12","2","8","14","4","7","1","11","10","15","5","16","6","9","13","3"];</v>
      </c>
    </row>
    <row r="475" spans="100:100" x14ac:dyDescent="0.3">
      <c r="CV475" s="282" t="str">
        <f ca="1">'Week 17'!BY23</f>
        <v xml:space="preserve">   var w17_p8_weights       = ["13","9","5","15","2","7","4","11","10","14","3","16","6","8","12","1"];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["12","2","9","16","4","7","3","8","11","15","6","14","5","13","10","1"];</v>
      </c>
    </row>
    <row r="478" spans="100:100" x14ac:dyDescent="0.3">
      <c r="CV478" s="282" t="str">
        <f ca="1">'Week 17'!BY26</f>
        <v xml:space="preserve">   var w17_p11_weights      = ["13","10","7","15","3","9","4","11","8","14","2","16","6","5","12","1"];</v>
      </c>
    </row>
    <row r="479" spans="100:100" x14ac:dyDescent="0.3">
      <c r="CV479" s="282" t="str">
        <f ca="1">'Week 17'!BY27</f>
        <v xml:space="preserve">   var w17_p12_weights      = ["16","6","7","9","3","8","4","2","10","15","13","14","5","11","12","1"];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["44","","46","42","47","38","46","47","","49","47","43"];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2023-12-28T05:29:02Z</dcterms:modified>
</cp:coreProperties>
</file>