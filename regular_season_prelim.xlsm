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I21" i="1"/>
  <c r="H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G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T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9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BC6" i="1" s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D2" i="1"/>
  <c r="AE55" i="1" l="1"/>
  <c r="AE54" i="1"/>
  <c r="AE53" i="1"/>
  <c r="AE52" i="1"/>
  <c r="AE21" i="1" s="1"/>
  <c r="BE11" i="1" s="1"/>
  <c r="AH56" i="1"/>
  <c r="AR40" i="1"/>
  <c r="M56" i="1"/>
  <c r="Y56" i="1"/>
  <c r="AK56" i="1"/>
  <c r="J56" i="1"/>
  <c r="V56" i="1"/>
  <c r="P56" i="1"/>
  <c r="AB56" i="1"/>
  <c r="AN56" i="1"/>
  <c r="G56" i="1"/>
  <c r="S56" i="1"/>
  <c r="BG5" i="1"/>
  <c r="BG8" i="1"/>
  <c r="BC5" i="1"/>
  <c r="BC16" i="1"/>
  <c r="BG12" i="1"/>
  <c r="BG4" i="1"/>
  <c r="BG9" i="1"/>
  <c r="BC7" i="1"/>
  <c r="BG6" i="1"/>
  <c r="BG10" i="1"/>
  <c r="BG13" i="1"/>
  <c r="BC8" i="1"/>
  <c r="BG7" i="1"/>
  <c r="BG11" i="1"/>
  <c r="BC4" i="1"/>
  <c r="BC19" i="1"/>
  <c r="BI13" i="1"/>
  <c r="BI4" i="1"/>
  <c r="AT5" i="1"/>
  <c r="AZ5" i="1" s="1"/>
  <c r="BA5" i="1" s="1"/>
  <c r="AY9" i="1"/>
  <c r="BI12" i="1"/>
  <c r="AY13" i="1"/>
  <c r="AZ14" i="1"/>
  <c r="AT4" i="1"/>
  <c r="AZ4" i="1" s="1"/>
  <c r="BA4" i="1" s="1"/>
  <c r="BI7" i="1"/>
  <c r="AT8" i="1"/>
  <c r="AZ8" i="1" s="1"/>
  <c r="AT12" i="1"/>
  <c r="AZ12" i="1" s="1"/>
  <c r="AT16" i="1"/>
  <c r="AZ16" i="1" s="1"/>
  <c r="BA16" i="1" s="1"/>
  <c r="AT17" i="1"/>
  <c r="AT18" i="1"/>
  <c r="AZ18" i="1" s="1"/>
  <c r="AT19" i="1"/>
  <c r="AZ6" i="1"/>
  <c r="BA6" i="1" s="1"/>
  <c r="BI8" i="1"/>
  <c r="AT7" i="1"/>
  <c r="AT11" i="1"/>
  <c r="AT15" i="1"/>
  <c r="AZ7" i="1" l="1"/>
  <c r="BA7" i="1" s="1"/>
  <c r="BA8" i="1"/>
  <c r="V55" i="1"/>
  <c r="V54" i="1"/>
  <c r="V52" i="1"/>
  <c r="V21" i="1" s="1"/>
  <c r="BE8" i="1" s="1"/>
  <c r="V53" i="1"/>
  <c r="M55" i="1"/>
  <c r="M52" i="1" s="1"/>
  <c r="M54" i="1"/>
  <c r="M53" i="1"/>
  <c r="AN55" i="1"/>
  <c r="AN54" i="1"/>
  <c r="AN53" i="1"/>
  <c r="AN52" i="1"/>
  <c r="AN21" i="1" s="1"/>
  <c r="BE13" i="1" s="1"/>
  <c r="J52" i="1"/>
  <c r="J21" i="1" s="1"/>
  <c r="BE4" i="1" s="1"/>
  <c r="J55" i="1"/>
  <c r="J53" i="1"/>
  <c r="J54" i="1"/>
  <c r="S55" i="1"/>
  <c r="S54" i="1"/>
  <c r="S53" i="1"/>
  <c r="S58" i="1" s="1"/>
  <c r="S52" i="1"/>
  <c r="S21" i="1" s="1"/>
  <c r="BE7" i="1" s="1"/>
  <c r="AB55" i="1"/>
  <c r="AB52" i="1" s="1"/>
  <c r="AB54" i="1"/>
  <c r="AB53" i="1"/>
  <c r="AK55" i="1"/>
  <c r="AK54" i="1"/>
  <c r="AK53" i="1"/>
  <c r="AK52" i="1"/>
  <c r="AK21" i="1" s="1"/>
  <c r="BE12" i="1" s="1"/>
  <c r="AH55" i="1"/>
  <c r="AH53" i="1"/>
  <c r="AH54" i="1"/>
  <c r="AH52" i="1"/>
  <c r="AH21" i="1" s="1"/>
  <c r="BE15" i="1" s="1"/>
  <c r="G55" i="1"/>
  <c r="G54" i="1"/>
  <c r="G53" i="1"/>
  <c r="AE58" i="1" s="1"/>
  <c r="G52" i="1"/>
  <c r="G21" i="1" s="1"/>
  <c r="BE14" i="1" s="1"/>
  <c r="P55" i="1"/>
  <c r="P52" i="1" s="1"/>
  <c r="P21" i="1" s="1"/>
  <c r="BE6" i="1" s="1"/>
  <c r="P54" i="1"/>
  <c r="P53" i="1"/>
  <c r="P58" i="1" s="1"/>
  <c r="Y55" i="1"/>
  <c r="Y54" i="1"/>
  <c r="Y53" i="1"/>
  <c r="Y52" i="1"/>
  <c r="Y21" i="1" s="1"/>
  <c r="BE9" i="1" s="1"/>
  <c r="AZ19" i="1"/>
  <c r="BA19" i="1" s="1"/>
  <c r="BC9" i="1"/>
  <c r="AZ9" i="1" s="1"/>
  <c r="BA9" i="1" s="1"/>
  <c r="BC17" i="1"/>
  <c r="AZ17" i="1" s="1"/>
  <c r="BA17" i="1" s="1"/>
  <c r="BC13" i="1"/>
  <c r="AZ13" i="1" s="1"/>
  <c r="BA13" i="1" s="1"/>
  <c r="BC18" i="1"/>
  <c r="BA18" i="1" s="1"/>
  <c r="BC10" i="1"/>
  <c r="AZ10" i="1" s="1"/>
  <c r="BA10" i="1" s="1"/>
  <c r="BC15" i="1"/>
  <c r="AZ15" i="1" s="1"/>
  <c r="BA15" i="1" s="1"/>
  <c r="BC14" i="1"/>
  <c r="BA14" i="1" s="1"/>
  <c r="BC12" i="1"/>
  <c r="BA12" i="1" s="1"/>
  <c r="BC11" i="1"/>
  <c r="AZ11" i="1" s="1"/>
  <c r="BA11" i="1" s="1"/>
  <c r="AB21" i="1" l="1"/>
  <c r="BE10" i="1" s="1"/>
  <c r="AB58" i="1"/>
  <c r="M21" i="1"/>
  <c r="BE5" i="1" s="1"/>
  <c r="M58" i="1"/>
  <c r="Y58" i="1"/>
  <c r="AK58" i="1"/>
  <c r="J58" i="1"/>
  <c r="AN58" i="1"/>
  <c r="AH58" i="1"/>
  <c r="G58" i="1"/>
  <c r="V58" i="1"/>
  <c r="AU12" i="1"/>
  <c r="AV12" i="1" s="1"/>
  <c r="AU11" i="1"/>
  <c r="AV11" i="1" s="1"/>
  <c r="AU18" i="1"/>
  <c r="AV18" i="1" s="1"/>
  <c r="AU9" i="1"/>
  <c r="AV9" i="1" s="1"/>
  <c r="AU7" i="1"/>
  <c r="AV7" i="1" s="1"/>
  <c r="AU19" i="1"/>
  <c r="AV19" i="1" s="1"/>
  <c r="AU16" i="1"/>
  <c r="AV16" i="1" s="1"/>
  <c r="AU8" i="1"/>
  <c r="AV8" i="1" s="1"/>
  <c r="AU4" i="1"/>
  <c r="AU5" i="1"/>
  <c r="AV5" i="1" s="1"/>
  <c r="AU6" i="1"/>
  <c r="AV6" i="1" s="1"/>
  <c r="AU15" i="1"/>
  <c r="AV15" i="1" s="1"/>
  <c r="AU13" i="1"/>
  <c r="AV13" i="1" s="1"/>
  <c r="AU14" i="1"/>
  <c r="AV14" i="1" s="1"/>
  <c r="AU17" i="1"/>
  <c r="AV17" i="1" s="1"/>
  <c r="AU10" i="1"/>
  <c r="AV10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<sst xmlns="http://schemas.openxmlformats.org/spreadsheetml/2006/main" count="1859" uniqueCount="176">
  <si>
    <t/>
  </si>
  <si>
    <t>JavaScript for On-Line Form</t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</si>
  <si>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</si>
  <si>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</si>
  <si>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</si>
  <si>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</si>
  <si>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</si>
  <si>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</si>
  <si>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</si>
  <si>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</si>
  <si>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weight</t>
  </si>
  <si>
    <t>score</t>
  </si>
  <si>
    <t>weeks completed</t>
  </si>
  <si>
    <t>Rank</t>
  </si>
  <si>
    <t>Player</t>
  </si>
  <si>
    <t>Score</t>
  </si>
  <si>
    <t>Amount</t>
  </si>
  <si>
    <t>Average</t>
  </si>
  <si>
    <t>Total</t>
  </si>
  <si>
    <t>",</t>
  </si>
  <si>
    <t>H</t>
  </si>
  <si>
    <t xml:space="preserve">          This Week's Score = 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</si>
  <si>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</si>
  <si>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</si>
  <si>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</si>
  <si>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</si>
  <si>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</si>
  <si>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</si>
  <si>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 xml:space="preserve">** Total NFL games played to date = </t>
  </si>
  <si>
    <t xml:space="preserve">Highest Average Pot = </t>
  </si>
  <si>
    <t xml:space="preserve">2nd Highest Average Pot = </t>
  </si>
  <si>
    <t>Open Date:</t>
  </si>
  <si>
    <t>Total possible points this week:</t>
  </si>
  <si>
    <t>Sanity Check:</t>
  </si>
  <si>
    <t>player(s) ranked first in highest average</t>
  </si>
  <si>
    <t>player(s) ranked second in highest average</t>
  </si>
  <si>
    <t>Tiebreaker Input Data</t>
  </si>
  <si>
    <t>Need To Apply Tiebreaker Calculations: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</si>
  <si>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</si>
  <si>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</si>
  <si>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</si>
  <si>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</si>
  <si>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</si>
  <si>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</si>
  <si>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</si>
  <si>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</si>
  <si>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</si>
  <si>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</si>
  <si>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</si>
  <si>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</si>
  <si>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</si>
  <si>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</si>
  <si>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</si>
  <si>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</si>
  <si>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</si>
  <si>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</si>
  <si>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</si>
  <si>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</si>
  <si>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</si>
  <si>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</si>
  <si>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</si>
  <si>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</si>
  <si>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</si>
  <si>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</si>
  <si>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</si>
  <si>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</si>
  <si>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</si>
  <si>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</si>
  <si>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</si>
  <si>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</si>
  <si>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</si>
  <si>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Monday Night Total Points = </t>
  </si>
  <si>
    <t>Monday Night Total Points Rank:</t>
  </si>
  <si>
    <t>Regular Season Average Scores</t>
  </si>
  <si>
    <t>Cost</t>
  </si>
  <si>
    <t>Weeks Won</t>
  </si>
  <si>
    <t>Best Avg</t>
  </si>
  <si>
    <t>2nd Best Avg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</si>
  <si>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</si>
  <si>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</si>
  <si>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</si>
  <si>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</si>
  <si>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</si>
  <si>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</si>
  <si>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</si>
  <si>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</si>
  <si>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</si>
  <si>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</si>
  <si>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</si>
  <si>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</si>
  <si>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</si>
  <si>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</si>
  <si>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None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</si>
  <si>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</si>
  <si>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</si>
  <si>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</si>
  <si>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</si>
  <si>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</si>
  <si>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</si>
  <si>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</si>
  <si>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</si>
  <si>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</si>
  <si>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</si>
  <si>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</si>
  <si>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</si>
  <si>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</si>
  <si>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</si>
  <si>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</si>
  <si>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Panthers</t>
  </si>
  <si>
    <t>at</t>
  </si>
  <si>
    <t>Broncos</t>
  </si>
  <si>
    <t>Buccaneers</t>
  </si>
  <si>
    <t>Falcons</t>
  </si>
  <si>
    <t>Bills</t>
  </si>
  <si>
    <t>Ravens</t>
  </si>
  <si>
    <t>Bears</t>
  </si>
  <si>
    <t>Texans</t>
  </si>
  <si>
    <t>Packers</t>
  </si>
  <si>
    <t>Jaguars</t>
  </si>
  <si>
    <t>Chargers</t>
  </si>
  <si>
    <t>Chiefs</t>
  </si>
  <si>
    <t>Raiders</t>
  </si>
  <si>
    <t>Saints</t>
  </si>
  <si>
    <t>Bengals</t>
  </si>
  <si>
    <t>Jets</t>
  </si>
  <si>
    <t>Browns</t>
  </si>
  <si>
    <t>Eagles</t>
  </si>
  <si>
    <t>Vikings</t>
  </si>
  <si>
    <t>Titans</t>
  </si>
  <si>
    <t>Dolphins</t>
  </si>
  <si>
    <t>Seahawks</t>
  </si>
  <si>
    <t>Giants</t>
  </si>
  <si>
    <t>Cowboys</t>
  </si>
  <si>
    <t>Lions</t>
  </si>
  <si>
    <t>Colts</t>
  </si>
  <si>
    <t>Patriots</t>
  </si>
  <si>
    <t>Cardinals</t>
  </si>
  <si>
    <t>Steelers</t>
  </si>
  <si>
    <t>Redskins</t>
  </si>
  <si>
    <t>Rams</t>
  </si>
  <si>
    <t>49ers</t>
  </si>
  <si>
    <t>pts:</t>
  </si>
  <si>
    <t>2</t>
  </si>
  <si>
    <t>Week 2 Scores</t>
  </si>
  <si>
    <t xml:space="preserve">   var w2_p1_picks         = [];</t>
  </si>
  <si>
    <t xml:space="preserve">   var w2_p2_picks         = ["H","H","V","H","V","H","H","H","H","H","V","H","H","H","V","V"];</t>
  </si>
  <si>
    <t xml:space="preserve">   var w2_p3_picks         = ["V","H","V","H","V","H","H","H","V","H","V","H","H","H","V","H"];</t>
  </si>
  <si>
    <t xml:space="preserve">   var w2_p4_picks         = ["H","H","V","H","H","H","V","H","H","H","V","H","V","H","V","H"];</t>
  </si>
  <si>
    <t xml:space="preserve">   var w2_p5_picks         = ["V","H","V","H","H","H","H","H","V","H","V","H","H","H","V","V"];</t>
  </si>
  <si>
    <t xml:space="preserve">   var w2_p6_picks         = ["V","H","V","H","V","H","H","H","H","H","V","H","H","H","V","V"];</t>
  </si>
  <si>
    <t xml:space="preserve">   var w2_p7_picks         = ["V","H","V","H","H","H","V","H","V","H","V","H","H","H","H","H"];</t>
  </si>
  <si>
    <t xml:space="preserve">   var w2_p8_picks         = ["V","H","V","H","H","H","H","V","H","H","H","V","V","H","V","H"];</t>
  </si>
  <si>
    <t xml:space="preserve">   var w2_p9_picks         = ["H","H","V","H","V","H","V","H","V","H","V","V","H","V","V","V"];</t>
  </si>
  <si>
    <t xml:space="preserve">   var w2_p10_picks        = [];</t>
  </si>
  <si>
    <t xml:space="preserve">   var w2_p11_picks        = ["H","V","V","H","V","H","H","H","H","H","V","H","H","H","H","H"];</t>
  </si>
  <si>
    <t xml:space="preserve">   var w2_p12_picks        = ["V","H","V","H","H","H","H","H","V","H","V","H","H","H","V","V"];</t>
  </si>
  <si>
    <t xml:space="preserve">   var w2_p1_weights       = [];</t>
  </si>
  <si>
    <t xml:space="preserve">   var w2_p2_weights       = ["2","16","8","9","10","14","15","13","11","12","7","6","5","4","3","1"];</t>
  </si>
  <si>
    <t xml:space="preserve">   var w2_p3_weights       = ["1","16","15","10","2","14","9","7","6","13","11","12","8","5","3","4"];</t>
  </si>
  <si>
    <t xml:space="preserve">   var w2_p4_weights       = ["1","16","15","14","3","10","2","7","6","13","11","12","8","5","4","9"];</t>
  </si>
  <si>
    <t xml:space="preserve"> </t>
  </si>
  <si>
    <t xml:space="preserve">   var w2_p5_weights       = ["4","3","15","2","5","13","8","1","12","14","16","11","10","7","9","6"];</t>
  </si>
  <si>
    <t xml:space="preserve">   var w2_p6_weights       = ["3","13","9","4","8","14","10","12","1","7","16","15","11","6","5","2"];</t>
  </si>
  <si>
    <t xml:space="preserve">   var w2_p7_weights       = ["6","13","14","11","7","5","9","16","4","8","15","10","1","12","3","2"];</t>
  </si>
  <si>
    <t xml:space="preserve">   var w2_p8_weights       = ["1","8","7","2","3","16","11","5","10","15","12","6","9","14","4","13"];</t>
  </si>
  <si>
    <t xml:space="preserve">   var w2_p9_weights       = ["1","2","14","16","9","12","4","8","7","5","13","3","10","6","11","15"];</t>
  </si>
  <si>
    <t xml:space="preserve">   var w2_p10_weights      = [];</t>
  </si>
  <si>
    <t xml:space="preserve">   var w2_p11_weights      = ["1","3","13","11","16","15","9","7","6","14","12","10","8","5","2","4"];</t>
  </si>
  <si>
    <t xml:space="preserve">   var w2_p12_weights      = ["2","8","15","12","6","16","5","1","7","10","14","11","4","13","9","3"];</t>
  </si>
  <si>
    <t xml:space="preserve">   var w2_winners          = [];</t>
  </si>
  <si>
    <t xml:space="preserve">   var w2_mn_points        = ["","43","42","42","34","45","38","43","44","","44","38"];</t>
  </si>
  <si>
    <t xml:space="preserve">   var w2_actual_mn_points = 0;</t>
  </si>
  <si>
    <t>Week 1 Final</t>
  </si>
  <si>
    <t>'Week 1'!$B$2</t>
  </si>
  <si>
    <t>'Week 1'!$C$2</t>
  </si>
  <si>
    <t>'Week 1'!$D$2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</si>
</sst>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4"/>
      <color indexed="10"/>
      <name val="Calibri"/>
      <family val="2"/>
      <scheme val="minor"/>
    </font>
    <font>
      <b/>
      <sz val="14"/>
      <color indexed="16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0"/>
      <color indexed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63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rgb="FFBFBFBF"/>
      </left>
      <right/>
      <top style="medium">
        <color indexed="64"/>
      </top>
      <bottom style="thin">
        <color theme="0" tint="-0.24994659260841701"/>
      </bottom>
      <diagonal/>
    </border>
    <border>
      <left/>
      <right style="thin">
        <color rgb="FFBFBFBF"/>
      </right>
      <top style="medium">
        <color indexed="64"/>
      </top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medium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</borders>
  <cellStyleXfs count="1">
    <xf numFmtId="0" fontId="0" fillId="0" borderId="0"/>
  </cellStyleXfs>
  <cellXfs count="321">
    <xf numFmtId="0" fontId="0" fillId="0" borderId="0" xfId="0"/>
    <xf numFmtId="49" fontId="1" fillId="3" borderId="25" xfId="0" applyNumberFormat="1" applyFont="1" applyFill="1" applyBorder="1" applyAlignment="1" applyProtection="1">
      <alignment horizontal="center" vertical="center"/>
    </xf>
    <xf numFmtId="49" fontId="1" fillId="3" borderId="26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4" fillId="0" borderId="0" xfId="0" applyNumberFormat="1" applyFont="1" applyAlignment="1" applyProtection="1">
      <alignment horizontal="left" vertical="center"/>
    </xf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9" fillId="0" borderId="0" xfId="0" applyFont="1" applyAlignment="1" applyProtection="1">
      <alignment horizontal="center" vertical="top"/>
    </xf>
    <xf numFmtId="1" fontId="10" fillId="2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10" fillId="0" borderId="0" xfId="0" applyNumberFormat="1" applyFont="1" applyBorder="1" applyAlignment="1" applyProtection="1">
      <alignment horizontal="center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1" fillId="0" borderId="0" xfId="0" applyNumberFormat="1" applyFont="1" applyBorder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center" vertical="center"/>
    </xf>
    <xf numFmtId="0" fontId="6" fillId="0" borderId="7" xfId="0" applyNumberFormat="1" applyFont="1" applyBorder="1" applyAlignment="1" applyProtection="1">
      <alignment horizontal="center" vertical="center"/>
    </xf>
    <xf numFmtId="0" fontId="6" fillId="0" borderId="8" xfId="0" applyNumberFormat="1" applyFont="1" applyBorder="1" applyAlignment="1" applyProtection="1">
      <alignment horizontal="center" vertical="center"/>
    </xf>
    <xf numFmtId="0" fontId="6" fillId="0" borderId="9" xfId="0" applyNumberFormat="1" applyFont="1" applyBorder="1" applyAlignment="1" applyProtection="1">
      <alignment horizontal="right" vertical="center"/>
    </xf>
    <xf numFmtId="1" fontId="6" fillId="0" borderId="0" xfId="0" applyNumberFormat="1" applyFont="1" applyAlignment="1" applyProtection="1">
      <alignment horizontal="center" vertical="center"/>
    </xf>
    <xf numFmtId="2" fontId="6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1" fontId="6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6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6" fillId="0" borderId="0" xfId="0" applyNumberFormat="1" applyFont="1" applyAlignment="1" applyProtection="1">
      <alignment horizontal="right" vertical="center"/>
    </xf>
    <xf numFmtId="2" fontId="6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166" fontId="8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Border="1" applyAlignment="1" applyProtection="1">
      <alignment horizontal="right" vertical="center" wrapText="1"/>
    </xf>
    <xf numFmtId="0" fontId="6" fillId="0" borderId="0" xfId="0" applyNumberFormat="1" applyFont="1" applyFill="1" applyAlignment="1" applyProtection="1">
      <alignment horizontal="center" vertical="center" wrapText="1"/>
    </xf>
    <xf numFmtId="166" fontId="8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13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/>
    </xf>
    <xf numFmtId="0" fontId="6" fillId="0" borderId="14" xfId="0" applyNumberFormat="1" applyFont="1" applyBorder="1" applyAlignment="1" applyProtection="1">
      <alignment horizontal="right" vertical="center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0" fontId="6" fillId="0" borderId="7" xfId="0" applyNumberFormat="1" applyFont="1" applyBorder="1" applyAlignment="1" applyProtection="1">
      <alignment horizontal="right" vertical="center"/>
    </xf>
    <xf numFmtId="0" fontId="6" fillId="0" borderId="8" xfId="0" applyNumberFormat="1" applyFont="1" applyBorder="1" applyAlignment="1" applyProtection="1">
      <alignment horizontal="right" vertical="center"/>
    </xf>
    <xf numFmtId="2" fontId="3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49" fontId="1" fillId="3" borderId="37" xfId="0" applyNumberFormat="1" applyFont="1" applyFill="1" applyBorder="1" applyAlignment="1" applyProtection="1">
      <alignment horizontal="center" vertical="center"/>
    </xf>
    <xf numFmtId="49" fontId="1" fillId="3" borderId="38" xfId="0" applyNumberFormat="1" applyFont="1" applyFill="1" applyBorder="1" applyAlignment="1" applyProtection="1">
      <alignment horizontal="center" vertical="center"/>
    </xf>
    <xf numFmtId="49" fontId="1" fillId="3" borderId="39" xfId="0" applyNumberFormat="1" applyFont="1" applyFill="1" applyBorder="1" applyAlignment="1" applyProtection="1">
      <alignment horizontal="center" vertical="center"/>
    </xf>
    <xf numFmtId="49" fontId="1" fillId="3" borderId="40" xfId="0" applyNumberFormat="1" applyFont="1" applyFill="1" applyBorder="1" applyAlignment="1" applyProtection="1">
      <alignment horizontal="center" vertical="center"/>
    </xf>
    <xf numFmtId="49" fontId="1" fillId="3" borderId="41" xfId="0" applyNumberFormat="1" applyFont="1" applyFill="1" applyBorder="1" applyAlignment="1" applyProtection="1">
      <alignment horizontal="center" vertical="center"/>
    </xf>
    <xf numFmtId="49" fontId="1" fillId="3" borderId="42" xfId="0" applyNumberFormat="1" applyFont="1" applyFill="1" applyBorder="1" applyAlignment="1" applyProtection="1">
      <alignment horizontal="center" vertical="center"/>
    </xf>
    <xf numFmtId="0" fontId="3" fillId="0" borderId="45" xfId="0" applyNumberFormat="1" applyFont="1" applyFill="1" applyBorder="1" applyAlignment="1" applyProtection="1">
      <alignment horizontal="center" vertical="center"/>
    </xf>
    <xf numFmtId="0" fontId="3" fillId="0" borderId="46" xfId="0" applyNumberFormat="1" applyFont="1" applyFill="1" applyBorder="1" applyAlignment="1" applyProtection="1">
      <alignment horizontal="center" vertical="center"/>
    </xf>
    <xf numFmtId="0" fontId="3" fillId="0" borderId="47" xfId="0" applyNumberFormat="1" applyFont="1" applyBorder="1" applyAlignment="1" applyProtection="1">
      <alignment horizontal="center" vertical="center"/>
      <protection locked="0"/>
    </xf>
    <xf numFmtId="0" fontId="3" fillId="0" borderId="48" xfId="0" applyNumberFormat="1" applyFont="1" applyBorder="1" applyAlignment="1" applyProtection="1">
      <alignment horizontal="center" vertical="center"/>
    </xf>
    <xf numFmtId="1" fontId="3" fillId="0" borderId="46" xfId="0" applyNumberFormat="1" applyFont="1" applyBorder="1" applyAlignment="1" applyProtection="1">
      <alignment horizontal="center" vertical="center"/>
    </xf>
    <xf numFmtId="0" fontId="3" fillId="0" borderId="50" xfId="0" applyNumberFormat="1" applyFont="1" applyBorder="1" applyAlignment="1" applyProtection="1">
      <alignment horizontal="center" vertical="center"/>
    </xf>
    <xf numFmtId="0" fontId="3" fillId="0" borderId="45" xfId="0" applyNumberFormat="1" applyFont="1" applyBorder="1" applyAlignment="1" applyProtection="1">
      <alignment horizontal="center" vertical="center"/>
    </xf>
    <xf numFmtId="167" fontId="1" fillId="3" borderId="52" xfId="0" applyNumberFormat="1" applyFont="1" applyFill="1" applyBorder="1" applyAlignment="1" applyProtection="1">
      <alignment horizontal="center" vertical="center"/>
    </xf>
    <xf numFmtId="164" fontId="10" fillId="4" borderId="53" xfId="0" applyNumberFormat="1" applyFont="1" applyFill="1" applyBorder="1" applyAlignment="1" applyProtection="1">
      <alignment horizontal="center" vertical="center"/>
    </xf>
    <xf numFmtId="1" fontId="10" fillId="4" borderId="54" xfId="0" applyNumberFormat="1" applyFont="1" applyFill="1" applyBorder="1" applyAlignment="1" applyProtection="1">
      <alignment horizontal="center" vertical="center"/>
    </xf>
    <xf numFmtId="167" fontId="1" fillId="3" borderId="55" xfId="0" applyNumberFormat="1" applyFont="1" applyFill="1" applyBorder="1" applyAlignment="1" applyProtection="1">
      <alignment horizontal="center" vertical="center"/>
    </xf>
    <xf numFmtId="164" fontId="10" fillId="4" borderId="56" xfId="0" applyNumberFormat="1" applyFont="1" applyFill="1" applyBorder="1" applyAlignment="1" applyProtection="1">
      <alignment horizontal="center" vertical="center"/>
    </xf>
    <xf numFmtId="2" fontId="10" fillId="4" borderId="57" xfId="0" applyNumberFormat="1" applyFont="1" applyFill="1" applyBorder="1" applyAlignment="1" applyProtection="1">
      <alignment horizontal="center" vertical="center"/>
    </xf>
    <xf numFmtId="1" fontId="10" fillId="4" borderId="58" xfId="0" applyNumberFormat="1" applyFont="1" applyFill="1" applyBorder="1" applyAlignment="1" applyProtection="1">
      <alignment horizontal="center" vertical="center"/>
    </xf>
    <xf numFmtId="167" fontId="1" fillId="3" borderId="59" xfId="0" applyNumberFormat="1" applyFont="1" applyFill="1" applyBorder="1" applyAlignment="1" applyProtection="1">
      <alignment horizontal="center" vertical="center"/>
    </xf>
    <xf numFmtId="164" fontId="10" fillId="4" borderId="60" xfId="0" applyNumberFormat="1" applyFont="1" applyFill="1" applyBorder="1" applyAlignment="1" applyProtection="1">
      <alignment horizontal="center" vertical="center"/>
    </xf>
    <xf numFmtId="165" fontId="2" fillId="4" borderId="61" xfId="0" applyNumberFormat="1" applyFont="1" applyFill="1" applyBorder="1" applyAlignment="1" applyProtection="1">
      <alignment horizontal="center" vertical="center" shrinkToFit="1"/>
    </xf>
    <xf numFmtId="165" fontId="2" fillId="4" borderId="62" xfId="0" applyNumberFormat="1" applyFont="1" applyFill="1" applyBorder="1" applyAlignment="1" applyProtection="1">
      <alignment horizontal="center" vertical="center" shrinkToFit="1"/>
    </xf>
    <xf numFmtId="0" fontId="1" fillId="4" borderId="63" xfId="0" applyFont="1" applyFill="1" applyBorder="1" applyAlignment="1" applyProtection="1">
      <alignment horizontal="center" vertical="center"/>
    </xf>
    <xf numFmtId="165" fontId="2" fillId="4" borderId="64" xfId="0" applyNumberFormat="1" applyFont="1" applyFill="1" applyBorder="1" applyAlignment="1" applyProtection="1">
      <alignment horizontal="center" vertical="center" shrinkToFit="1"/>
    </xf>
    <xf numFmtId="0" fontId="24" fillId="4" borderId="63" xfId="0" applyFont="1" applyFill="1" applyBorder="1" applyAlignment="1" applyProtection="1">
      <alignment horizontal="center" vertical="center"/>
    </xf>
    <xf numFmtId="165" fontId="2" fillId="4" borderId="65" xfId="0" applyNumberFormat="1" applyFont="1" applyFill="1" applyBorder="1" applyAlignment="1" applyProtection="1">
      <alignment horizontal="center" vertical="center" shrinkToFit="1"/>
    </xf>
    <xf numFmtId="0" fontId="3" fillId="0" borderId="66" xfId="0" applyNumberFormat="1" applyFont="1" applyFill="1" applyBorder="1" applyAlignment="1" applyProtection="1">
      <alignment horizontal="center" vertical="center"/>
    </xf>
    <xf numFmtId="0" fontId="3" fillId="0" borderId="67" xfId="0" applyNumberFormat="1" applyFont="1" applyFill="1" applyBorder="1" applyAlignment="1" applyProtection="1">
      <alignment horizontal="center" vertical="center"/>
    </xf>
    <xf numFmtId="0" fontId="3" fillId="0" borderId="68" xfId="0" applyNumberFormat="1" applyFont="1" applyBorder="1" applyAlignment="1" applyProtection="1">
      <alignment horizontal="center" vertical="center"/>
      <protection locked="0"/>
    </xf>
    <xf numFmtId="0" fontId="3" fillId="0" borderId="69" xfId="0" applyNumberFormat="1" applyFont="1" applyBorder="1" applyAlignment="1" applyProtection="1">
      <alignment horizontal="center" vertical="center"/>
    </xf>
    <xf numFmtId="1" fontId="3" fillId="0" borderId="67" xfId="0" applyNumberFormat="1" applyFont="1" applyBorder="1" applyAlignment="1" applyProtection="1">
      <alignment horizontal="center" vertical="center"/>
    </xf>
    <xf numFmtId="0" fontId="3" fillId="0" borderId="71" xfId="0" applyNumberFormat="1" applyFont="1" applyBorder="1" applyAlignment="1" applyProtection="1">
      <alignment horizontal="center" vertical="center"/>
    </xf>
    <xf numFmtId="0" fontId="3" fillId="0" borderId="66" xfId="0" applyNumberFormat="1" applyFont="1" applyBorder="1" applyAlignment="1" applyProtection="1">
      <alignment horizontal="center" vertical="center"/>
    </xf>
    <xf numFmtId="167" fontId="1" fillId="3" borderId="27" xfId="0" applyNumberFormat="1" applyFont="1" applyFill="1" applyBorder="1" applyAlignment="1" applyProtection="1">
      <alignment horizontal="center" vertical="center"/>
    </xf>
    <xf numFmtId="164" fontId="10" fillId="4" borderId="73" xfId="0" applyNumberFormat="1" applyFont="1" applyFill="1" applyBorder="1" applyAlignment="1" applyProtection="1">
      <alignment horizontal="center" vertical="center"/>
    </xf>
    <xf numFmtId="1" fontId="10" fillId="4" borderId="74" xfId="0" applyNumberFormat="1" applyFont="1" applyFill="1" applyBorder="1" applyAlignment="1" applyProtection="1">
      <alignment horizontal="center" vertical="center"/>
    </xf>
    <xf numFmtId="167" fontId="1" fillId="3" borderId="75" xfId="0" applyNumberFormat="1" applyFont="1" applyFill="1" applyBorder="1" applyAlignment="1" applyProtection="1">
      <alignment horizontal="center" vertical="center"/>
    </xf>
    <xf numFmtId="164" fontId="10" fillId="4" borderId="76" xfId="0" applyNumberFormat="1" applyFont="1" applyFill="1" applyBorder="1" applyAlignment="1" applyProtection="1">
      <alignment horizontal="center" vertical="center"/>
    </xf>
    <xf numFmtId="2" fontId="10" fillId="4" borderId="77" xfId="0" applyNumberFormat="1" applyFont="1" applyFill="1" applyBorder="1" applyAlignment="1" applyProtection="1">
      <alignment horizontal="center" vertical="center"/>
    </xf>
    <xf numFmtId="1" fontId="10" fillId="4" borderId="78" xfId="0" applyNumberFormat="1" applyFont="1" applyFill="1" applyBorder="1" applyAlignment="1" applyProtection="1">
      <alignment horizontal="center" vertical="center"/>
    </xf>
    <xf numFmtId="165" fontId="2" fillId="4" borderId="78" xfId="0" applyNumberFormat="1" applyFont="1" applyFill="1" applyBorder="1" applyAlignment="1" applyProtection="1">
      <alignment horizontal="center" vertical="center" shrinkToFit="1"/>
    </xf>
    <xf numFmtId="165" fontId="2" fillId="4" borderId="79" xfId="0" applyNumberFormat="1" applyFont="1" applyFill="1" applyBorder="1" applyAlignment="1" applyProtection="1">
      <alignment horizontal="center" vertical="center" shrinkToFit="1"/>
    </xf>
    <xf numFmtId="0" fontId="1" fillId="4" borderId="80" xfId="0" applyFont="1" applyFill="1" applyBorder="1" applyAlignment="1" applyProtection="1">
      <alignment horizontal="center" vertical="center"/>
    </xf>
    <xf numFmtId="165" fontId="2" fillId="4" borderId="81" xfId="0" applyNumberFormat="1" applyFont="1" applyFill="1" applyBorder="1" applyAlignment="1" applyProtection="1">
      <alignment horizontal="center" vertical="center" shrinkToFit="1"/>
    </xf>
    <xf numFmtId="0" fontId="24" fillId="4" borderId="80" xfId="0" applyFont="1" applyFill="1" applyBorder="1" applyAlignment="1" applyProtection="1">
      <alignment horizontal="center" vertical="center"/>
    </xf>
    <xf numFmtId="165" fontId="2" fillId="4" borderId="82" xfId="0" applyNumberFormat="1" applyFont="1" applyFill="1" applyBorder="1" applyAlignment="1" applyProtection="1">
      <alignment horizontal="center" vertical="center" shrinkToFit="1"/>
    </xf>
    <xf numFmtId="167" fontId="1" fillId="3" borderId="28" xfId="0" applyNumberFormat="1" applyFont="1" applyFill="1" applyBorder="1" applyAlignment="1" applyProtection="1">
      <alignment horizontal="center" vertical="center"/>
    </xf>
    <xf numFmtId="164" fontId="10" fillId="4" borderId="83" xfId="0" applyNumberFormat="1" applyFont="1" applyFill="1" applyBorder="1" applyAlignment="1" applyProtection="1">
      <alignment horizontal="center" vertical="center"/>
    </xf>
    <xf numFmtId="1" fontId="10" fillId="4" borderId="84" xfId="0" applyNumberFormat="1" applyFont="1" applyFill="1" applyBorder="1" applyAlignment="1" applyProtection="1">
      <alignment horizontal="center" vertical="center"/>
    </xf>
    <xf numFmtId="167" fontId="1" fillId="3" borderId="85" xfId="0" applyNumberFormat="1" applyFont="1" applyFill="1" applyBorder="1" applyAlignment="1" applyProtection="1">
      <alignment horizontal="center" vertical="center"/>
    </xf>
    <xf numFmtId="164" fontId="10" fillId="4" borderId="86" xfId="0" applyNumberFormat="1" applyFont="1" applyFill="1" applyBorder="1" applyAlignment="1" applyProtection="1">
      <alignment horizontal="center" vertical="center"/>
    </xf>
    <xf numFmtId="2" fontId="10" fillId="4" borderId="87" xfId="0" applyNumberFormat="1" applyFont="1" applyFill="1" applyBorder="1" applyAlignment="1" applyProtection="1">
      <alignment horizontal="center" vertical="center"/>
    </xf>
    <xf numFmtId="1" fontId="10" fillId="4" borderId="88" xfId="0" applyNumberFormat="1" applyFont="1" applyFill="1" applyBorder="1" applyAlignment="1" applyProtection="1">
      <alignment horizontal="center" vertical="center"/>
    </xf>
    <xf numFmtId="165" fontId="2" fillId="4" borderId="88" xfId="0" applyNumberFormat="1" applyFont="1" applyFill="1" applyBorder="1" applyAlignment="1" applyProtection="1">
      <alignment horizontal="center" vertical="center" shrinkToFit="1"/>
    </xf>
    <xf numFmtId="165" fontId="2" fillId="4" borderId="89" xfId="0" applyNumberFormat="1" applyFont="1" applyFill="1" applyBorder="1" applyAlignment="1" applyProtection="1">
      <alignment horizontal="center" vertical="center" shrinkToFit="1"/>
    </xf>
    <xf numFmtId="0" fontId="1" fillId="4" borderId="90" xfId="0" applyFont="1" applyFill="1" applyBorder="1" applyAlignment="1" applyProtection="1">
      <alignment horizontal="center" vertical="center"/>
    </xf>
    <xf numFmtId="165" fontId="2" fillId="4" borderId="91" xfId="0" applyNumberFormat="1" applyFont="1" applyFill="1" applyBorder="1" applyAlignment="1" applyProtection="1">
      <alignment horizontal="center" vertical="center" shrinkToFit="1"/>
    </xf>
    <xf numFmtId="0" fontId="24" fillId="4" borderId="90" xfId="0" applyFont="1" applyFill="1" applyBorder="1" applyAlignment="1" applyProtection="1">
      <alignment horizontal="center" vertical="center"/>
    </xf>
    <xf numFmtId="165" fontId="2" fillId="4" borderId="92" xfId="0" applyNumberFormat="1" applyFont="1" applyFill="1" applyBorder="1" applyAlignment="1" applyProtection="1">
      <alignment horizontal="center" vertical="center" shrinkToFit="1"/>
    </xf>
    <xf numFmtId="0" fontId="3" fillId="0" borderId="93" xfId="0" applyNumberFormat="1" applyFont="1" applyBorder="1" applyAlignment="1" applyProtection="1">
      <alignment horizontal="center" vertical="center"/>
    </xf>
    <xf numFmtId="0" fontId="3" fillId="0" borderId="94" xfId="0" applyNumberFormat="1" applyFont="1" applyBorder="1" applyAlignment="1" applyProtection="1">
      <alignment horizontal="center" vertical="center"/>
    </xf>
    <xf numFmtId="0" fontId="3" fillId="0" borderId="95" xfId="0" applyNumberFormat="1" applyFont="1" applyBorder="1" applyAlignment="1" applyProtection="1">
      <alignment horizontal="right" vertical="center"/>
    </xf>
    <xf numFmtId="0" fontId="11" fillId="0" borderId="96" xfId="0" applyNumberFormat="1" applyFont="1" applyBorder="1" applyAlignment="1" applyProtection="1">
      <alignment horizontal="center" vertical="center"/>
    </xf>
    <xf numFmtId="1" fontId="11" fillId="0" borderId="97" xfId="0" applyNumberFormat="1" applyFont="1" applyBorder="1" applyAlignment="1" applyProtection="1">
      <alignment horizontal="center" vertical="center"/>
    </xf>
    <xf numFmtId="0" fontId="11" fillId="0" borderId="99" xfId="0" applyNumberFormat="1" applyFont="1" applyBorder="1" applyAlignment="1" applyProtection="1">
      <alignment horizontal="center" vertical="center"/>
    </xf>
    <xf numFmtId="0" fontId="11" fillId="0" borderId="101" xfId="0" applyNumberFormat="1" applyFont="1" applyBorder="1" applyAlignment="1" applyProtection="1">
      <alignment horizontal="center" vertical="center"/>
    </xf>
    <xf numFmtId="0" fontId="13" fillId="0" borderId="102" xfId="0" applyNumberFormat="1" applyFont="1" applyBorder="1" applyAlignment="1" applyProtection="1">
      <alignment horizontal="center" vertical="center"/>
    </xf>
    <xf numFmtId="1" fontId="14" fillId="0" borderId="103" xfId="0" applyNumberFormat="1" applyFont="1" applyBorder="1" applyAlignment="1" applyProtection="1">
      <alignment horizontal="center" vertical="center"/>
    </xf>
    <xf numFmtId="0" fontId="13" fillId="0" borderId="104" xfId="0" applyNumberFormat="1" applyFont="1" applyBorder="1" applyAlignment="1" applyProtection="1">
      <alignment horizontal="center" vertical="center"/>
    </xf>
    <xf numFmtId="0" fontId="13" fillId="0" borderId="105" xfId="0" applyNumberFormat="1" applyFont="1" applyBorder="1" applyAlignment="1" applyProtection="1">
      <alignment horizontal="center" vertical="center"/>
    </xf>
    <xf numFmtId="0" fontId="13" fillId="0" borderId="106" xfId="0" applyNumberFormat="1" applyFont="1" applyBorder="1" applyAlignment="1" applyProtection="1">
      <alignment horizontal="center" vertical="center"/>
    </xf>
    <xf numFmtId="0" fontId="13" fillId="0" borderId="107" xfId="0" applyNumberFormat="1" applyFont="1" applyBorder="1" applyAlignment="1" applyProtection="1">
      <alignment horizontal="center" vertical="center"/>
    </xf>
    <xf numFmtId="1" fontId="14" fillId="0" borderId="108" xfId="0" applyNumberFormat="1" applyFont="1" applyBorder="1" applyAlignment="1" applyProtection="1">
      <alignment horizontal="center" vertical="center"/>
    </xf>
    <xf numFmtId="0" fontId="13" fillId="0" borderId="109" xfId="0" applyNumberFormat="1" applyFont="1" applyBorder="1" applyAlignment="1" applyProtection="1">
      <alignment horizontal="center" vertical="center"/>
    </xf>
    <xf numFmtId="0" fontId="6" fillId="0" borderId="45" xfId="0" applyNumberFormat="1" applyFont="1" applyBorder="1" applyAlignment="1" applyProtection="1">
      <alignment horizontal="center" vertical="center"/>
    </xf>
    <xf numFmtId="0" fontId="3" fillId="0" borderId="47" xfId="0" applyNumberFormat="1" applyFont="1" applyFill="1" applyBorder="1" applyAlignment="1" applyProtection="1">
      <alignment horizontal="center" vertical="center"/>
    </xf>
    <xf numFmtId="0" fontId="3" fillId="0" borderId="46" xfId="0" applyNumberFormat="1" applyFont="1" applyBorder="1" applyAlignment="1" applyProtection="1">
      <alignment horizontal="center" vertical="center"/>
    </xf>
    <xf numFmtId="0" fontId="3" fillId="0" borderId="49" xfId="0" applyNumberFormat="1" applyFont="1" applyBorder="1" applyAlignment="1" applyProtection="1">
      <alignment horizontal="center" vertical="center"/>
    </xf>
    <xf numFmtId="0" fontId="3" fillId="0" borderId="51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0" fontId="3" fillId="0" borderId="68" xfId="0" applyNumberFormat="1" applyFont="1" applyFill="1" applyBorder="1" applyAlignment="1" applyProtection="1">
      <alignment horizontal="center" vertical="center"/>
    </xf>
    <xf numFmtId="0" fontId="3" fillId="0" borderId="67" xfId="0" applyNumberFormat="1" applyFont="1" applyBorder="1" applyAlignment="1" applyProtection="1">
      <alignment horizontal="center" vertical="center"/>
    </xf>
    <xf numFmtId="0" fontId="3" fillId="0" borderId="70" xfId="0" applyNumberFormat="1" applyFont="1" applyBorder="1" applyAlignment="1" applyProtection="1">
      <alignment horizontal="center" vertical="center"/>
    </xf>
    <xf numFmtId="0" fontId="3" fillId="0" borderId="72" xfId="0" applyNumberFormat="1" applyFont="1" applyBorder="1" applyAlignment="1" applyProtection="1">
      <alignment horizontal="center" vertical="center"/>
    </xf>
    <xf numFmtId="0" fontId="6" fillId="0" borderId="153" xfId="0" applyNumberFormat="1" applyFont="1" applyBorder="1" applyAlignment="1" applyProtection="1">
      <alignment horizontal="center" vertical="center"/>
    </xf>
    <xf numFmtId="0" fontId="3" fillId="0" borderId="125" xfId="0" applyNumberFormat="1" applyFont="1" applyFill="1" applyBorder="1" applyAlignment="1" applyProtection="1">
      <alignment horizontal="center" vertical="center"/>
    </xf>
    <xf numFmtId="0" fontId="3" fillId="0" borderId="154" xfId="0" applyNumberFormat="1" applyFont="1" applyFill="1" applyBorder="1" applyAlignment="1" applyProtection="1">
      <alignment horizontal="center" vertical="center"/>
    </xf>
    <xf numFmtId="0" fontId="3" fillId="0" borderId="124" xfId="0" applyNumberFormat="1" applyFont="1" applyBorder="1" applyAlignment="1" applyProtection="1">
      <alignment horizontal="center" vertical="center"/>
    </xf>
    <xf numFmtId="0" fontId="3" fillId="0" borderId="125" xfId="0" applyNumberFormat="1" applyFont="1" applyBorder="1" applyAlignment="1" applyProtection="1">
      <alignment horizontal="center" vertical="center"/>
    </xf>
    <xf numFmtId="0" fontId="3" fillId="0" borderId="126" xfId="0" applyNumberFormat="1" applyFont="1" applyBorder="1" applyAlignment="1" applyProtection="1">
      <alignment horizontal="center" vertical="center"/>
    </xf>
    <xf numFmtId="0" fontId="3" fillId="0" borderId="127" xfId="0" applyNumberFormat="1" applyFont="1" applyBorder="1" applyAlignment="1" applyProtection="1">
      <alignment horizontal="center" vertical="center"/>
    </xf>
    <xf numFmtId="0" fontId="3" fillId="0" borderId="128" xfId="0" applyNumberFormat="1" applyFont="1" applyBorder="1" applyAlignment="1" applyProtection="1">
      <alignment horizontal="center" vertical="center"/>
    </xf>
    <xf numFmtId="0" fontId="6" fillId="0" borderId="6" xfId="0" applyNumberFormat="1" applyFont="1" applyBorder="1" applyAlignment="1" applyProtection="1">
      <alignment horizontal="right" vertical="center"/>
    </xf>
    <xf numFmtId="0" fontId="6" fillId="0" borderId="30" xfId="0" applyNumberFormat="1" applyFont="1" applyBorder="1" applyAlignment="1" applyProtection="1">
      <alignment horizontal="center" vertical="center"/>
    </xf>
    <xf numFmtId="1" fontId="6" fillId="0" borderId="31" xfId="0" applyNumberFormat="1" applyFont="1" applyBorder="1" applyAlignment="1" applyProtection="1">
      <alignment horizontal="center" vertical="center"/>
    </xf>
    <xf numFmtId="0" fontId="6" fillId="0" borderId="32" xfId="0" applyNumberFormat="1" applyFont="1" applyBorder="1" applyAlignment="1" applyProtection="1">
      <alignment horizontal="center" vertical="center"/>
    </xf>
    <xf numFmtId="0" fontId="6" fillId="0" borderId="33" xfId="0" applyNumberFormat="1" applyFont="1" applyBorder="1" applyAlignment="1" applyProtection="1">
      <alignment horizontal="center" vertical="center"/>
    </xf>
    <xf numFmtId="1" fontId="6" fillId="0" borderId="34" xfId="0" applyNumberFormat="1" applyFont="1" applyBorder="1" applyAlignment="1" applyProtection="1">
      <alignment horizontal="center" vertical="center"/>
    </xf>
    <xf numFmtId="0" fontId="6" fillId="0" borderId="35" xfId="0" applyNumberFormat="1" applyFont="1" applyBorder="1" applyAlignment="1" applyProtection="1">
      <alignment horizontal="center" vertical="center"/>
    </xf>
    <xf numFmtId="2" fontId="6" fillId="0" borderId="102" xfId="0" applyNumberFormat="1" applyFont="1" applyBorder="1" applyAlignment="1" applyProtection="1">
      <alignment horizontal="center" vertical="center"/>
    </xf>
    <xf numFmtId="2" fontId="6" fillId="0" borderId="103" xfId="0" applyNumberFormat="1" applyFont="1" applyBorder="1" applyAlignment="1" applyProtection="1">
      <alignment horizontal="center" vertical="center"/>
    </xf>
    <xf numFmtId="2" fontId="6" fillId="0" borderId="104" xfId="0" applyNumberFormat="1" applyFont="1" applyBorder="1" applyAlignment="1" applyProtection="1">
      <alignment horizontal="center" vertical="center"/>
    </xf>
    <xf numFmtId="2" fontId="6" fillId="0" borderId="105" xfId="0" applyNumberFormat="1" applyFont="1" applyBorder="1" applyAlignment="1" applyProtection="1">
      <alignment horizontal="center" vertical="center"/>
    </xf>
    <xf numFmtId="2" fontId="6" fillId="0" borderId="106" xfId="0" applyNumberFormat="1" applyFont="1" applyBorder="1" applyAlignment="1" applyProtection="1">
      <alignment horizontal="center" vertical="center"/>
    </xf>
    <xf numFmtId="0" fontId="6" fillId="0" borderId="110" xfId="0" applyNumberFormat="1" applyFont="1" applyBorder="1" applyAlignment="1" applyProtection="1">
      <alignment horizontal="center" vertical="center"/>
    </xf>
    <xf numFmtId="0" fontId="6" fillId="0" borderId="111" xfId="0" applyNumberFormat="1" applyFont="1" applyBorder="1" applyAlignment="1" applyProtection="1">
      <alignment horizontal="center" vertical="center"/>
    </xf>
    <xf numFmtId="0" fontId="6" fillId="0" borderId="112" xfId="0" applyNumberFormat="1" applyFont="1" applyBorder="1" applyAlignment="1" applyProtection="1">
      <alignment horizontal="right" vertical="center"/>
    </xf>
    <xf numFmtId="0" fontId="6" fillId="0" borderId="113" xfId="0" applyNumberFormat="1" applyFont="1" applyBorder="1" applyAlignment="1" applyProtection="1">
      <alignment horizontal="center" vertical="center"/>
    </xf>
    <xf numFmtId="0" fontId="6" fillId="0" borderId="114" xfId="0" applyNumberFormat="1" applyFont="1" applyBorder="1" applyAlignment="1" applyProtection="1">
      <alignment horizontal="center" vertical="center"/>
    </xf>
    <xf numFmtId="0" fontId="6" fillId="0" borderId="115" xfId="0" applyNumberFormat="1" applyFont="1" applyBorder="1" applyAlignment="1" applyProtection="1">
      <alignment horizontal="center" vertical="center"/>
    </xf>
    <xf numFmtId="0" fontId="6" fillId="0" borderId="116" xfId="0" applyNumberFormat="1" applyFont="1" applyBorder="1" applyAlignment="1" applyProtection="1">
      <alignment horizontal="center" vertical="center"/>
    </xf>
    <xf numFmtId="0" fontId="6" fillId="0" borderId="117" xfId="0" applyNumberFormat="1" applyFont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6" fillId="0" borderId="120" xfId="0" applyNumberFormat="1" applyFont="1" applyBorder="1" applyAlignment="1" applyProtection="1">
      <alignment horizontal="right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155" xfId="0" applyNumberFormat="1" applyFont="1" applyBorder="1" applyAlignment="1" applyProtection="1">
      <alignment horizontal="center" vertical="center"/>
    </xf>
    <xf numFmtId="0" fontId="6" fillId="0" borderId="156" xfId="0" applyNumberFormat="1" applyFont="1" applyBorder="1" applyAlignment="1" applyProtection="1">
      <alignment horizontal="center" vertical="center"/>
    </xf>
    <xf numFmtId="0" fontId="6" fillId="0" borderId="157" xfId="0" applyNumberFormat="1" applyFont="1" applyBorder="1" applyAlignment="1" applyProtection="1">
      <alignment horizontal="right" vertical="center"/>
    </xf>
    <xf numFmtId="0" fontId="6" fillId="0" borderId="158" xfId="0" applyNumberFormat="1" applyFont="1" applyBorder="1" applyAlignment="1" applyProtection="1">
      <alignment horizontal="center" vertical="center"/>
    </xf>
    <xf numFmtId="0" fontId="6" fillId="0" borderId="159" xfId="0" applyNumberFormat="1" applyFont="1" applyBorder="1" applyAlignment="1" applyProtection="1">
      <alignment horizontal="center" vertical="center"/>
    </xf>
    <xf numFmtId="0" fontId="6" fillId="0" borderId="160" xfId="0" applyNumberFormat="1" applyFont="1" applyBorder="1" applyAlignment="1" applyProtection="1">
      <alignment horizontal="center" vertical="center"/>
    </xf>
    <xf numFmtId="0" fontId="6" fillId="0" borderId="161" xfId="0" applyNumberFormat="1" applyFont="1" applyBorder="1" applyAlignment="1" applyProtection="1">
      <alignment horizontal="center" vertical="center"/>
    </xf>
    <xf numFmtId="0" fontId="6" fillId="0" borderId="162" xfId="0" applyNumberFormat="1" applyFont="1" applyBorder="1" applyAlignment="1" applyProtection="1">
      <alignment horizontal="center" vertical="center"/>
    </xf>
    <xf numFmtId="49" fontId="1" fillId="3" borderId="135" xfId="0" applyNumberFormat="1" applyFont="1" applyFill="1" applyBorder="1" applyAlignment="1" applyProtection="1">
      <alignment horizontal="center" vertical="center"/>
    </xf>
    <xf numFmtId="165" fontId="2" fillId="3" borderId="135" xfId="0" applyNumberFormat="1" applyFont="1" applyFill="1" applyBorder="1" applyAlignment="1" applyProtection="1">
      <alignment horizontal="center" vertical="center"/>
    </xf>
    <xf numFmtId="165" fontId="2" fillId="0" borderId="136" xfId="0" applyNumberFormat="1" applyFont="1" applyBorder="1" applyAlignment="1" applyProtection="1">
      <alignment horizontal="center" vertical="center"/>
    </xf>
    <xf numFmtId="0" fontId="1" fillId="0" borderId="137" xfId="0" applyFont="1" applyBorder="1" applyAlignment="1" applyProtection="1">
      <alignment horizontal="center" vertical="center"/>
    </xf>
    <xf numFmtId="165" fontId="2" fillId="0" borderId="138" xfId="0" applyNumberFormat="1" applyFont="1" applyBorder="1" applyAlignment="1" applyProtection="1">
      <alignment horizontal="center" vertical="center"/>
    </xf>
    <xf numFmtId="0" fontId="24" fillId="0" borderId="137" xfId="0" applyFont="1" applyBorder="1" applyAlignment="1" applyProtection="1">
      <alignment horizontal="center" vertical="center"/>
    </xf>
    <xf numFmtId="0" fontId="24" fillId="0" borderId="139" xfId="0" applyFont="1" applyBorder="1" applyAlignment="1" applyProtection="1">
      <alignment horizontal="center" vertical="center"/>
    </xf>
    <xf numFmtId="165" fontId="2" fillId="0" borderId="139" xfId="0" applyNumberFormat="1" applyFont="1" applyBorder="1" applyAlignment="1" applyProtection="1">
      <alignment horizontal="center" vertical="center"/>
    </xf>
    <xf numFmtId="165" fontId="2" fillId="0" borderId="140" xfId="0" applyNumberFormat="1" applyFont="1" applyBorder="1" applyAlignment="1" applyProtection="1">
      <alignment horizontal="center" vertical="center"/>
    </xf>
    <xf numFmtId="49" fontId="1" fillId="3" borderId="141" xfId="0" applyNumberFormat="1" applyFont="1" applyFill="1" applyBorder="1" applyAlignment="1" applyProtection="1">
      <alignment horizontal="center" vertical="center"/>
    </xf>
    <xf numFmtId="165" fontId="2" fillId="3" borderId="141" xfId="0" applyNumberFormat="1" applyFont="1" applyFill="1" applyBorder="1" applyAlignment="1" applyProtection="1">
      <alignment horizontal="center" vertical="center"/>
    </xf>
    <xf numFmtId="165" fontId="2" fillId="0" borderId="142" xfId="0" applyNumberFormat="1" applyFont="1" applyBorder="1" applyAlignment="1" applyProtection="1">
      <alignment horizontal="center" vertical="center"/>
    </xf>
    <xf numFmtId="0" fontId="1" fillId="0" borderId="143" xfId="0" applyFont="1" applyBorder="1" applyAlignment="1" applyProtection="1">
      <alignment horizontal="center" vertical="center"/>
    </xf>
    <xf numFmtId="165" fontId="2" fillId="0" borderId="144" xfId="0" applyNumberFormat="1" applyFont="1" applyBorder="1" applyAlignment="1" applyProtection="1">
      <alignment horizontal="center" vertical="center"/>
    </xf>
    <xf numFmtId="0" fontId="24" fillId="0" borderId="143" xfId="0" applyFont="1" applyBorder="1" applyAlignment="1" applyProtection="1">
      <alignment horizontal="center" vertical="center"/>
    </xf>
    <xf numFmtId="0" fontId="24" fillId="0" borderId="145" xfId="0" applyFont="1" applyBorder="1" applyAlignment="1" applyProtection="1">
      <alignment horizontal="center" vertical="center"/>
    </xf>
    <xf numFmtId="165" fontId="2" fillId="0" borderId="145" xfId="0" applyNumberFormat="1" applyFont="1" applyBorder="1" applyAlignment="1" applyProtection="1">
      <alignment horizontal="center" vertical="center"/>
    </xf>
    <xf numFmtId="165" fontId="2" fillId="0" borderId="146" xfId="0" applyNumberFormat="1" applyFont="1" applyBorder="1" applyAlignment="1" applyProtection="1">
      <alignment horizontal="center" vertical="center"/>
    </xf>
    <xf numFmtId="165" fontId="1" fillId="3" borderId="147" xfId="0" applyNumberFormat="1" applyFont="1" applyFill="1" applyBorder="1" applyAlignment="1" applyProtection="1">
      <alignment horizontal="center" vertical="center"/>
    </xf>
    <xf numFmtId="165" fontId="2" fillId="3" borderId="147" xfId="0" applyNumberFormat="1" applyFont="1" applyFill="1" applyBorder="1" applyAlignment="1" applyProtection="1">
      <alignment horizontal="center" vertical="center"/>
    </xf>
    <xf numFmtId="165" fontId="2" fillId="0" borderId="148" xfId="0" applyNumberFormat="1" applyFont="1" applyBorder="1" applyAlignment="1" applyProtection="1">
      <alignment horizontal="center" vertical="center"/>
    </xf>
    <xf numFmtId="0" fontId="1" fillId="0" borderId="149" xfId="0" applyFont="1" applyBorder="1" applyAlignment="1" applyProtection="1">
      <alignment horizontal="center" vertical="center"/>
    </xf>
    <xf numFmtId="165" fontId="2" fillId="0" borderId="150" xfId="0" applyNumberFormat="1" applyFont="1" applyBorder="1" applyAlignment="1" applyProtection="1">
      <alignment horizontal="center" vertical="center"/>
    </xf>
    <xf numFmtId="0" fontId="24" fillId="0" borderId="149" xfId="0" applyFont="1" applyBorder="1" applyAlignment="1" applyProtection="1">
      <alignment horizontal="center" vertical="center"/>
    </xf>
    <xf numFmtId="0" fontId="24" fillId="0" borderId="151" xfId="0" applyFont="1" applyBorder="1" applyAlignment="1" applyProtection="1">
      <alignment horizontal="center" vertical="center"/>
    </xf>
    <xf numFmtId="165" fontId="2" fillId="0" borderId="151" xfId="0" applyNumberFormat="1" applyFont="1" applyBorder="1" applyAlignment="1" applyProtection="1">
      <alignment horizontal="center" vertical="center"/>
    </xf>
    <xf numFmtId="165" fontId="2" fillId="0" borderId="152" xfId="0" applyNumberFormat="1" applyFont="1" applyBorder="1" applyAlignment="1" applyProtection="1">
      <alignment horizontal="center" vertical="center"/>
    </xf>
    <xf numFmtId="0" fontId="1" fillId="5" borderId="15" xfId="0" applyFont="1" applyFill="1" applyBorder="1" applyAlignment="1" applyProtection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1" fillId="3" borderId="43" xfId="0" applyNumberFormat="1" applyFont="1" applyFill="1" applyBorder="1" applyAlignment="1" applyProtection="1">
      <alignment horizontal="center" vertical="center"/>
    </xf>
    <xf numFmtId="49" fontId="1" fillId="3" borderId="44" xfId="0" applyNumberFormat="1" applyFont="1" applyFill="1" applyBorder="1" applyAlignment="1" applyProtection="1">
      <alignment horizontal="center" vertical="center"/>
    </xf>
    <xf numFmtId="49" fontId="1" fillId="3" borderId="18" xfId="0" applyNumberFormat="1" applyFont="1" applyFill="1" applyBorder="1" applyAlignment="1" applyProtection="1">
      <alignment horizontal="center" vertical="center"/>
    </xf>
    <xf numFmtId="0" fontId="1" fillId="5" borderId="19" xfId="0" applyFont="1" applyFill="1" applyBorder="1" applyAlignment="1" applyProtection="1">
      <alignment horizontal="center" vertical="center"/>
    </xf>
    <xf numFmtId="0" fontId="1" fillId="5" borderId="20" xfId="0" applyFont="1" applyFill="1" applyBorder="1" applyAlignment="1" applyProtection="1">
      <alignment horizontal="center" vertical="center"/>
    </xf>
    <xf numFmtId="0" fontId="1" fillId="5" borderId="21" xfId="0" applyFont="1" applyFill="1" applyBorder="1" applyAlignment="1" applyProtection="1">
      <alignment horizontal="center" vertical="center"/>
    </xf>
    <xf numFmtId="0" fontId="1" fillId="3" borderId="22" xfId="0" applyFont="1" applyFill="1" applyBorder="1" applyAlignment="1" applyProtection="1">
      <alignment horizontal="center" vertical="center" wrapText="1"/>
    </xf>
    <xf numFmtId="0" fontId="1" fillId="3" borderId="23" xfId="0" applyFont="1" applyFill="1" applyBorder="1" applyAlignment="1" applyProtection="1">
      <alignment horizontal="center" vertical="center" wrapText="1"/>
    </xf>
    <xf numFmtId="0" fontId="1" fillId="3" borderId="24" xfId="0" applyFont="1" applyFill="1" applyBorder="1" applyAlignment="1" applyProtection="1">
      <alignment horizontal="center" vertical="center" wrapText="1"/>
    </xf>
    <xf numFmtId="0" fontId="23" fillId="6" borderId="129" xfId="0" applyFont="1" applyFill="1" applyBorder="1" applyAlignment="1" applyProtection="1">
      <alignment horizontal="center" vertical="center" wrapText="1"/>
    </xf>
    <xf numFmtId="0" fontId="23" fillId="6" borderId="132" xfId="0" applyFont="1" applyFill="1" applyBorder="1" applyAlignment="1" applyProtection="1">
      <alignment horizontal="center" vertical="center" wrapText="1"/>
    </xf>
    <xf numFmtId="0" fontId="23" fillId="6" borderId="130" xfId="0" applyFont="1" applyFill="1" applyBorder="1" applyAlignment="1" applyProtection="1">
      <alignment horizontal="center" vertical="center" wrapText="1"/>
    </xf>
    <xf numFmtId="0" fontId="23" fillId="6" borderId="133" xfId="0" applyFont="1" applyFill="1" applyBorder="1" applyAlignment="1" applyProtection="1">
      <alignment horizontal="center" vertical="center" wrapText="1"/>
    </xf>
    <xf numFmtId="0" fontId="23" fillId="6" borderId="131" xfId="0" applyFont="1" applyFill="1" applyBorder="1" applyAlignment="1" applyProtection="1">
      <alignment horizontal="center" vertical="center" wrapText="1"/>
    </xf>
    <xf numFmtId="0" fontId="23" fillId="6" borderId="134" xfId="0" applyFont="1" applyFill="1" applyBorder="1" applyAlignment="1" applyProtection="1">
      <alignment horizontal="center" vertical="center" wrapText="1"/>
    </xf>
    <xf numFmtId="0" fontId="1" fillId="3" borderId="19" xfId="0" applyFont="1" applyFill="1" applyBorder="1" applyAlignment="1" applyProtection="1">
      <alignment horizontal="center" vertical="center"/>
    </xf>
    <xf numFmtId="0" fontId="1" fillId="3" borderId="20" xfId="0" applyFont="1" applyFill="1" applyBorder="1" applyAlignment="1" applyProtection="1">
      <alignment horizontal="center" vertical="center"/>
    </xf>
    <xf numFmtId="0" fontId="1" fillId="3" borderId="21" xfId="0" applyFont="1" applyFill="1" applyBorder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top"/>
    </xf>
    <xf numFmtId="0" fontId="22" fillId="5" borderId="4" xfId="0" applyNumberFormat="1" applyFont="1" applyFill="1" applyBorder="1" applyAlignment="1" applyProtection="1">
      <alignment horizontal="right" vertical="center"/>
    </xf>
    <xf numFmtId="0" fontId="22" fillId="5" borderId="1" xfId="0" applyNumberFormat="1" applyFont="1" applyFill="1" applyBorder="1" applyAlignment="1" applyProtection="1">
      <alignment horizontal="center" vertical="center"/>
    </xf>
    <xf numFmtId="0" fontId="22" fillId="5" borderId="1" xfId="0" applyNumberFormat="1" applyFont="1" applyFill="1" applyBorder="1" applyAlignment="1" applyProtection="1">
      <alignment horizontal="left" vertical="center"/>
    </xf>
    <xf numFmtId="0" fontId="22" fillId="5" borderId="13" xfId="0" applyNumberFormat="1" applyFont="1" applyFill="1" applyBorder="1" applyAlignment="1" applyProtection="1">
      <alignment horizontal="left" vertical="center"/>
    </xf>
    <xf numFmtId="164" fontId="7" fillId="5" borderId="1" xfId="0" applyNumberFormat="1" applyFont="1" applyFill="1" applyBorder="1" applyAlignment="1" applyProtection="1">
      <alignment horizontal="center" vertical="center" shrinkToFit="1"/>
    </xf>
    <xf numFmtId="165" fontId="8" fillId="5" borderId="1" xfId="0" applyNumberFormat="1" applyFont="1" applyFill="1" applyBorder="1" applyAlignment="1" applyProtection="1">
      <alignment horizontal="center" vertical="center" shrinkToFit="1"/>
    </xf>
    <xf numFmtId="165" fontId="7" fillId="5" borderId="2" xfId="0" applyNumberFormat="1" applyFont="1" applyFill="1" applyBorder="1" applyAlignment="1" applyProtection="1">
      <alignment horizontal="center" vertical="center" shrinkToFit="1"/>
    </xf>
    <xf numFmtId="164" fontId="7" fillId="5" borderId="3" xfId="0" applyNumberFormat="1" applyFont="1" applyFill="1" applyBorder="1" applyAlignment="1" applyProtection="1">
      <alignment horizontal="center" vertical="center" shrinkToFit="1"/>
    </xf>
    <xf numFmtId="164" fontId="7" fillId="5" borderId="4" xfId="0" applyNumberFormat="1" applyFont="1" applyFill="1" applyBorder="1" applyAlignment="1" applyProtection="1">
      <alignment horizontal="center" vertical="center"/>
    </xf>
    <xf numFmtId="165" fontId="7" fillId="5" borderId="1" xfId="0" applyNumberFormat="1" applyFont="1" applyFill="1" applyBorder="1" applyAlignment="1" applyProtection="1">
      <alignment horizontal="center" vertical="center"/>
    </xf>
    <xf numFmtId="164" fontId="7" fillId="5" borderId="3" xfId="0" applyNumberFormat="1" applyFont="1" applyFill="1" applyBorder="1" applyAlignment="1" applyProtection="1">
      <alignment horizontal="center" vertical="center"/>
    </xf>
    <xf numFmtId="0" fontId="6" fillId="3" borderId="5" xfId="0" applyNumberFormat="1" applyFont="1" applyFill="1" applyBorder="1" applyAlignment="1" applyProtection="1">
      <alignment horizontal="center" vertical="center"/>
    </xf>
    <xf numFmtId="0" fontId="6" fillId="3" borderId="6" xfId="0" applyNumberFormat="1" applyFont="1" applyFill="1" applyBorder="1" applyAlignment="1" applyProtection="1">
      <alignment horizontal="center" vertical="center"/>
    </xf>
    <xf numFmtId="0" fontId="6" fillId="3" borderId="29" xfId="0" applyNumberFormat="1" applyFont="1" applyFill="1" applyBorder="1" applyAlignment="1" applyProtection="1">
      <alignment horizontal="center" vertical="center"/>
    </xf>
    <xf numFmtId="0" fontId="6" fillId="3" borderId="30" xfId="0" applyNumberFormat="1" applyFont="1" applyFill="1" applyBorder="1" applyAlignment="1" applyProtection="1">
      <alignment horizontal="center" vertical="center"/>
    </xf>
    <xf numFmtId="0" fontId="12" fillId="3" borderId="31" xfId="0" applyNumberFormat="1" applyFont="1" applyFill="1" applyBorder="1" applyAlignment="1" applyProtection="1">
      <alignment horizontal="center" vertical="center"/>
    </xf>
    <xf numFmtId="1" fontId="12" fillId="3" borderId="32" xfId="0" applyNumberFormat="1" applyFont="1" applyFill="1" applyBorder="1" applyAlignment="1" applyProtection="1">
      <alignment horizontal="center" vertical="center"/>
    </xf>
    <xf numFmtId="0" fontId="12" fillId="3" borderId="33" xfId="0" applyNumberFormat="1" applyFont="1" applyFill="1" applyBorder="1" applyAlignment="1" applyProtection="1">
      <alignment horizontal="center" vertical="center"/>
    </xf>
    <xf numFmtId="0" fontId="12" fillId="3" borderId="34" xfId="0" applyNumberFormat="1" applyFont="1" applyFill="1" applyBorder="1" applyAlignment="1" applyProtection="1">
      <alignment horizontal="center" vertical="center"/>
    </xf>
    <xf numFmtId="0" fontId="12" fillId="3" borderId="32" xfId="0" applyNumberFormat="1" applyFont="1" applyFill="1" applyBorder="1" applyAlignment="1" applyProtection="1">
      <alignment horizontal="center" vertical="center"/>
    </xf>
    <xf numFmtId="0" fontId="12" fillId="3" borderId="35" xfId="0" applyNumberFormat="1" applyFont="1" applyFill="1" applyBorder="1" applyAlignment="1" applyProtection="1">
      <alignment horizontal="center" vertical="center"/>
    </xf>
    <xf numFmtId="0" fontId="12" fillId="3" borderId="36" xfId="0" applyNumberFormat="1" applyFont="1" applyFill="1" applyBorder="1" applyAlignment="1" applyProtection="1">
      <alignment horizontal="center" vertical="center"/>
    </xf>
    <xf numFmtId="0" fontId="26" fillId="0" borderId="49" xfId="0" applyNumberFormat="1" applyFont="1" applyBorder="1" applyAlignment="1" applyProtection="1">
      <alignment horizontal="center" vertical="center"/>
    </xf>
    <xf numFmtId="0" fontId="26" fillId="0" borderId="51" xfId="0" applyNumberFormat="1" applyFont="1" applyBorder="1" applyAlignment="1" applyProtection="1">
      <alignment horizontal="center" vertical="center"/>
    </xf>
    <xf numFmtId="0" fontId="26" fillId="0" borderId="70" xfId="0" applyNumberFormat="1" applyFont="1" applyBorder="1" applyAlignment="1" applyProtection="1">
      <alignment horizontal="center" vertical="center"/>
    </xf>
    <xf numFmtId="0" fontId="26" fillId="0" borderId="72" xfId="0" applyNumberFormat="1" applyFont="1" applyBorder="1" applyAlignment="1" applyProtection="1">
      <alignment horizontal="center" vertical="center"/>
    </xf>
    <xf numFmtId="0" fontId="14" fillId="0" borderId="98" xfId="0" applyNumberFormat="1" applyFont="1" applyBorder="1" applyAlignment="1" applyProtection="1">
      <alignment horizontal="center" vertical="center"/>
    </xf>
    <xf numFmtId="0" fontId="14" fillId="0" borderId="100" xfId="0" applyNumberFormat="1" applyFont="1" applyBorder="1" applyAlignment="1" applyProtection="1">
      <alignment horizontal="center" vertical="center"/>
    </xf>
    <xf numFmtId="2" fontId="3" fillId="3" borderId="110" xfId="0" applyNumberFormat="1" applyFont="1" applyFill="1" applyBorder="1" applyAlignment="1" applyProtection="1">
      <alignment horizontal="center" vertical="center"/>
    </xf>
    <xf numFmtId="2" fontId="3" fillId="3" borderId="111" xfId="0" applyNumberFormat="1" applyFont="1" applyFill="1" applyBorder="1" applyAlignment="1" applyProtection="1">
      <alignment horizontal="center" vertical="center"/>
    </xf>
    <xf numFmtId="2" fontId="3" fillId="3" borderId="112" xfId="0" applyNumberFormat="1" applyFont="1" applyFill="1" applyBorder="1" applyAlignment="1" applyProtection="1">
      <alignment horizontal="right" vertical="center"/>
    </xf>
    <xf numFmtId="2" fontId="3" fillId="3" borderId="113" xfId="0" applyNumberFormat="1" applyFont="1" applyFill="1" applyBorder="1" applyAlignment="1" applyProtection="1">
      <alignment horizontal="center" vertical="center"/>
    </xf>
    <xf numFmtId="1" fontId="3" fillId="3" borderId="114" xfId="0" applyNumberFormat="1" applyFont="1" applyFill="1" applyBorder="1" applyAlignment="1" applyProtection="1">
      <alignment horizontal="center" vertical="center"/>
    </xf>
    <xf numFmtId="2" fontId="3" fillId="3" borderId="115" xfId="0" applyNumberFormat="1" applyFont="1" applyFill="1" applyBorder="1" applyAlignment="1" applyProtection="1">
      <alignment horizontal="center" vertical="center"/>
    </xf>
    <xf numFmtId="2" fontId="3" fillId="3" borderId="116" xfId="0" applyNumberFormat="1" applyFont="1" applyFill="1" applyBorder="1" applyAlignment="1" applyProtection="1">
      <alignment horizontal="center" vertical="center"/>
    </xf>
    <xf numFmtId="2" fontId="3" fillId="3" borderId="117" xfId="0" applyNumberFormat="1" applyFont="1" applyFill="1" applyBorder="1" applyAlignment="1" applyProtection="1">
      <alignment horizontal="center" vertical="center"/>
    </xf>
    <xf numFmtId="0" fontId="3" fillId="3" borderId="118" xfId="0" applyNumberFormat="1" applyFont="1" applyFill="1" applyBorder="1" applyAlignment="1" applyProtection="1">
      <alignment horizontal="center" vertical="center"/>
    </xf>
    <xf numFmtId="0" fontId="3" fillId="3" borderId="119" xfId="0" applyNumberFormat="1" applyFont="1" applyFill="1" applyBorder="1" applyAlignment="1" applyProtection="1">
      <alignment horizontal="center" vertical="center"/>
    </xf>
    <xf numFmtId="0" fontId="3" fillId="3" borderId="120" xfId="0" applyNumberFormat="1" applyFont="1" applyFill="1" applyBorder="1" applyAlignment="1" applyProtection="1">
      <alignment horizontal="right" vertical="center"/>
    </xf>
    <xf numFmtId="0" fontId="3" fillId="3" borderId="69" xfId="0" applyNumberFormat="1" applyFont="1" applyFill="1" applyBorder="1" applyAlignment="1" applyProtection="1">
      <alignment horizontal="center" vertical="center"/>
    </xf>
    <xf numFmtId="1" fontId="3" fillId="3" borderId="67" xfId="0" applyNumberFormat="1" applyFont="1" applyFill="1" applyBorder="1" applyAlignment="1" applyProtection="1">
      <alignment horizontal="center" vertical="center"/>
    </xf>
    <xf numFmtId="0" fontId="3" fillId="3" borderId="70" xfId="0" applyNumberFormat="1" applyFont="1" applyFill="1" applyBorder="1" applyAlignment="1" applyProtection="1">
      <alignment horizontal="center" vertical="center"/>
    </xf>
    <xf numFmtId="0" fontId="3" fillId="3" borderId="71" xfId="0" applyNumberFormat="1" applyFont="1" applyFill="1" applyBorder="1" applyAlignment="1" applyProtection="1">
      <alignment horizontal="center" vertical="center"/>
    </xf>
    <xf numFmtId="0" fontId="3" fillId="3" borderId="72" xfId="0" applyNumberFormat="1" applyFont="1" applyFill="1" applyBorder="1" applyAlignment="1" applyProtection="1">
      <alignment horizontal="center" vertical="center"/>
    </xf>
    <xf numFmtId="9" fontId="3" fillId="3" borderId="67" xfId="0" applyNumberFormat="1" applyFont="1" applyFill="1" applyBorder="1" applyAlignment="1" applyProtection="1">
      <alignment horizontal="center" vertical="center"/>
    </xf>
    <xf numFmtId="0" fontId="3" fillId="3" borderId="121" xfId="0" applyNumberFormat="1" applyFont="1" applyFill="1" applyBorder="1" applyAlignment="1" applyProtection="1">
      <alignment horizontal="center" vertical="center"/>
    </xf>
    <xf numFmtId="0" fontId="3" fillId="3" borderId="122" xfId="0" applyNumberFormat="1" applyFont="1" applyFill="1" applyBorder="1" applyAlignment="1" applyProtection="1">
      <alignment horizontal="center" vertical="center"/>
    </xf>
    <xf numFmtId="0" fontId="3" fillId="3" borderId="123" xfId="0" applyNumberFormat="1" applyFont="1" applyFill="1" applyBorder="1" applyAlignment="1" applyProtection="1">
      <alignment horizontal="right" vertical="center"/>
    </xf>
    <xf numFmtId="0" fontId="3" fillId="3" borderId="124" xfId="0" applyNumberFormat="1" applyFont="1" applyFill="1" applyBorder="1" applyAlignment="1" applyProtection="1">
      <alignment horizontal="center" vertical="center"/>
    </xf>
    <xf numFmtId="9" fontId="3" fillId="3" borderId="125" xfId="0" applyNumberFormat="1" applyFont="1" applyFill="1" applyBorder="1" applyAlignment="1" applyProtection="1">
      <alignment horizontal="center" vertical="center"/>
    </xf>
    <xf numFmtId="0" fontId="3" fillId="3" borderId="126" xfId="0" applyNumberFormat="1" applyFont="1" applyFill="1" applyBorder="1" applyAlignment="1" applyProtection="1">
      <alignment horizontal="center" vertical="center"/>
    </xf>
    <xf numFmtId="0" fontId="3" fillId="3" borderId="127" xfId="0" applyNumberFormat="1" applyFont="1" applyFill="1" applyBorder="1" applyAlignment="1" applyProtection="1">
      <alignment horizontal="center" vertical="center"/>
    </xf>
    <xf numFmtId="0" fontId="3" fillId="3" borderId="128" xfId="0" applyNumberFormat="1" applyFont="1" applyFill="1" applyBorder="1" applyAlignment="1" applyProtection="1">
      <alignment horizontal="center" vertical="center"/>
    </xf>
    <xf numFmtId="0" fontId="6" fillId="5" borderId="10" xfId="0" applyNumberFormat="1" applyFont="1" applyFill="1" applyBorder="1" applyAlignment="1" applyProtection="1">
      <alignment horizontal="left" vertical="center"/>
    </xf>
    <xf numFmtId="0" fontId="6" fillId="5" borderId="11" xfId="0" applyNumberFormat="1" applyFont="1" applyFill="1" applyBorder="1" applyAlignment="1" applyProtection="1">
      <alignment horizontal="center" vertical="center"/>
    </xf>
    <xf numFmtId="1" fontId="6" fillId="5" borderId="11" xfId="0" applyNumberFormat="1" applyFont="1" applyFill="1" applyBorder="1" applyAlignment="1" applyProtection="1">
      <alignment horizontal="center" vertical="center"/>
    </xf>
    <xf numFmtId="0" fontId="6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6" fontId="15" fillId="5" borderId="11" xfId="0" applyNumberFormat="1" applyFont="1" applyFill="1" applyBorder="1" applyAlignment="1" applyProtection="1">
      <alignment horizontal="left" vertical="center"/>
    </xf>
    <xf numFmtId="0" fontId="6" fillId="5" borderId="12" xfId="0" applyNumberFormat="1" applyFont="1" applyFill="1" applyBorder="1" applyAlignment="1" applyProtection="1">
      <alignment horizontal="right" vertical="center"/>
    </xf>
    <xf numFmtId="0" fontId="7" fillId="5" borderId="4" xfId="0" applyNumberFormat="1" applyFont="1" applyFill="1" applyBorder="1" applyAlignment="1" applyProtection="1">
      <alignment horizontal="center" vertical="center"/>
    </xf>
    <xf numFmtId="0" fontId="7" fillId="5" borderId="1" xfId="0" applyNumberFormat="1" applyFont="1" applyFill="1" applyBorder="1" applyAlignment="1" applyProtection="1">
      <alignment horizontal="center" vertical="center"/>
    </xf>
    <xf numFmtId="0" fontId="7" fillId="5" borderId="13" xfId="0" applyNumberFormat="1" applyFont="1" applyFill="1" applyBorder="1" applyAlignment="1" applyProtection="1">
      <alignment horizontal="center" vertical="center"/>
    </xf>
    <xf numFmtId="49" fontId="7" fillId="5" borderId="1" xfId="0" applyNumberFormat="1" applyFont="1" applyFill="1" applyBorder="1" applyAlignment="1" applyProtection="1">
      <alignment horizontal="center" vertical="center" shrinkToFit="1"/>
    </xf>
    <xf numFmtId="49" fontId="7" fillId="5" borderId="2" xfId="0" applyNumberFormat="1" applyFont="1" applyFill="1" applyBorder="1" applyAlignment="1" applyProtection="1">
      <alignment horizontal="center" vertical="center" shrinkToFit="1"/>
    </xf>
    <xf numFmtId="49" fontId="7" fillId="5" borderId="3" xfId="0" applyNumberFormat="1" applyFont="1" applyFill="1" applyBorder="1" applyAlignment="1" applyProtection="1">
      <alignment horizontal="center" vertical="center" shrinkToFit="1"/>
    </xf>
    <xf numFmtId="0" fontId="6" fillId="3" borderId="36" xfId="0" applyNumberFormat="1" applyFont="1" applyFill="1" applyBorder="1" applyAlignment="1" applyProtection="1">
      <alignment horizontal="center" vertical="center"/>
    </xf>
    <xf numFmtId="0" fontId="6" fillId="3" borderId="32" xfId="0" applyNumberFormat="1" applyFont="1" applyFill="1" applyBorder="1" applyAlignment="1" applyProtection="1">
      <alignment horizontal="center" vertical="center" wrapText="1"/>
    </xf>
    <xf numFmtId="0" fontId="6" fillId="3" borderId="30" xfId="0" applyNumberFormat="1" applyFont="1" applyFill="1" applyBorder="1" applyAlignment="1" applyProtection="1">
      <alignment horizontal="center" vertical="center" wrapText="1"/>
    </xf>
    <xf numFmtId="0" fontId="6" fillId="3" borderId="31" xfId="0" applyNumberFormat="1" applyFont="1" applyFill="1" applyBorder="1" applyAlignment="1" applyProtection="1">
      <alignment horizontal="center" vertical="center" wrapText="1"/>
    </xf>
    <xf numFmtId="0" fontId="6" fillId="3" borderId="33" xfId="0" applyNumberFormat="1" applyFont="1" applyFill="1" applyBorder="1" applyAlignment="1" applyProtection="1">
      <alignment horizontal="center" vertical="center" wrapText="1"/>
    </xf>
    <xf numFmtId="0" fontId="6" fillId="3" borderId="34" xfId="0" applyNumberFormat="1" applyFont="1" applyFill="1" applyBorder="1" applyAlignment="1" applyProtection="1">
      <alignment horizontal="center" vertical="center" wrapText="1"/>
    </xf>
    <xf numFmtId="0" fontId="6" fillId="3" borderId="35" xfId="0" applyNumberFormat="1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  <fill>
        <patternFill>
          <bgColor indexed="41"/>
        </patternFill>
      </fill>
    </dxf>
    <dxf>
      <fill>
        <patternFill>
          <bgColor theme="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9.7109375" style="5" customWidth="1"/>
    <col min="3" max="3" width="2.7109375" style="5" customWidth="1"/>
    <col min="4" max="4" width="9.7109375" style="5" customWidth="1"/>
    <col min="5" max="5" width="7.28515625" style="5" customWidth="1"/>
    <col min="6" max="6" width="4.28515625" style="5" customWidth="1"/>
    <col min="7" max="7" width="5.28515625" style="6" customWidth="1"/>
    <col min="8" max="8" width="6.140625" style="5" customWidth="1"/>
    <col min="9" max="9" width="4.28515625" style="5" customWidth="1"/>
    <col min="10" max="10" width="5.28515625" style="5" customWidth="1"/>
    <col min="11" max="11" width="6.140625" style="5" customWidth="1"/>
    <col min="12" max="12" width="4.28515625" style="5" customWidth="1"/>
    <col min="13" max="13" width="5.28515625" style="5" customWidth="1"/>
    <col min="14" max="14" width="6.140625" style="5" customWidth="1"/>
    <col min="15" max="15" width="4.28515625" style="5" customWidth="1"/>
    <col min="16" max="16" width="5.28515625" style="5" customWidth="1"/>
    <col min="17" max="17" width="6.140625" style="5" customWidth="1"/>
    <col min="18" max="18" width="4.28515625" style="5" customWidth="1"/>
    <col min="19" max="19" width="5.28515625" style="5" customWidth="1"/>
    <col min="20" max="20" width="6.140625" style="5" customWidth="1"/>
    <col min="21" max="21" width="4.28515625" style="5" customWidth="1"/>
    <col min="22" max="22" width="5.28515625" style="5" customWidth="1"/>
    <col min="23" max="23" width="6.140625" style="5" customWidth="1"/>
    <col min="24" max="24" width="4.28515625" style="5" customWidth="1"/>
    <col min="25" max="25" width="5.28515625" style="5" customWidth="1"/>
    <col min="26" max="26" width="6.140625" style="5" customWidth="1"/>
    <col min="27" max="27" width="4.28515625" style="5" customWidth="1"/>
    <col min="28" max="28" width="5.28515625" style="5" customWidth="1"/>
    <col min="29" max="29" width="6.140625" style="5" customWidth="1"/>
    <col min="30" max="30" width="4.28515625" style="5" customWidth="1"/>
    <col min="31" max="31" width="5.28515625" style="5" customWidth="1"/>
    <col min="32" max="32" width="6.140625" style="5" customWidth="1"/>
    <col min="33" max="33" width="4.28515625" style="5" customWidth="1"/>
    <col min="34" max="34" width="5.28515625" style="5" customWidth="1"/>
    <col min="35" max="35" width="6.140625" style="5" customWidth="1"/>
    <col min="36" max="36" width="4.28515625" style="5" customWidth="1"/>
    <col min="37" max="37" width="5.28515625" style="5" customWidth="1"/>
    <col min="38" max="38" width="6.140625" style="5" customWidth="1"/>
    <col min="39" max="39" width="4.28515625" style="5" customWidth="1"/>
    <col min="40" max="40" width="5.28515625" style="5" customWidth="1"/>
    <col min="41" max="41" width="6.140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8" width="6.57031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8" customWidth="1"/>
    <col min="69" max="69" width="5.7109375" style="8" customWidth="1"/>
    <col min="70" max="75" width="6.7109375" style="8" customWidth="1"/>
    <col min="76" max="76" width="9.140625" style="5"/>
    <col min="77" max="77" width="80.7109375" style="47" hidden="1" customWidth="1"/>
    <col min="78" max="16384" width="9.140625" style="5"/>
  </cols>
  <sheetData>
    <row r="1" spans="1:77" ht="99.95" customHeight="1" thickBot="1" x14ac:dyDescent="0.35">
      <c r="B1" s="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247" t="s">
        <v>93</v>
      </c>
      <c r="BF1" s="7"/>
      <c r="BH1" s="7"/>
      <c r="BY1" s="9" t="s">
        <v>1</v>
      </c>
    </row>
    <row r="2" spans="1:77" s="10" customFormat="1" ht="21" customHeight="1" thickTop="1" thickBot="1" x14ac:dyDescent="0.25">
      <c r="A2" s="3"/>
      <c r="B2" s="248" t="s">
        <v>2</v>
      </c>
      <c r="C2" s="249" t="s">
        <v>142</v>
      </c>
      <c r="D2" s="250" t="str">
        <f>IF(COUNTA(B4:B19)=0,"",IF(COUNTBLANK(B4:B19)=COUNTBLANK(E4:E19)," Final"," Preliminary"))</f>
        <v xml:space="preserve"> Preliminary</v>
      </c>
      <c r="E2" s="251"/>
      <c r="F2" s="252" t="s">
        <v>94</v>
      </c>
      <c r="G2" s="253">
        <v>-3</v>
      </c>
      <c r="H2" s="254"/>
      <c r="I2" s="252" t="s">
        <v>95</v>
      </c>
      <c r="J2" s="253">
        <v>-3</v>
      </c>
      <c r="K2" s="254"/>
      <c r="L2" s="252" t="s">
        <v>96</v>
      </c>
      <c r="M2" s="253">
        <v>-3</v>
      </c>
      <c r="N2" s="254"/>
      <c r="O2" s="252" t="s">
        <v>97</v>
      </c>
      <c r="P2" s="253">
        <v>-3</v>
      </c>
      <c r="Q2" s="254"/>
      <c r="R2" s="252" t="s">
        <v>98</v>
      </c>
      <c r="S2" s="253">
        <v>-3</v>
      </c>
      <c r="T2" s="254"/>
      <c r="U2" s="252" t="s">
        <v>99</v>
      </c>
      <c r="V2" s="253">
        <v>-3</v>
      </c>
      <c r="W2" s="254"/>
      <c r="X2" s="252" t="s">
        <v>100</v>
      </c>
      <c r="Y2" s="253">
        <v>-1</v>
      </c>
      <c r="Z2" s="254"/>
      <c r="AA2" s="252" t="s">
        <v>101</v>
      </c>
      <c r="AB2" s="253">
        <v>-3</v>
      </c>
      <c r="AC2" s="254"/>
      <c r="AD2" s="252" t="s">
        <v>102</v>
      </c>
      <c r="AE2" s="253">
        <v>-3</v>
      </c>
      <c r="AF2" s="254"/>
      <c r="AG2" s="252" t="s">
        <v>103</v>
      </c>
      <c r="AH2" s="253">
        <v>-3</v>
      </c>
      <c r="AI2" s="254"/>
      <c r="AJ2" s="252" t="s">
        <v>104</v>
      </c>
      <c r="AK2" s="253">
        <v>-3</v>
      </c>
      <c r="AL2" s="254"/>
      <c r="AM2" s="252" t="s">
        <v>105</v>
      </c>
      <c r="AN2" s="253">
        <v>31</v>
      </c>
      <c r="AO2" s="255"/>
      <c r="AP2" s="3"/>
      <c r="AR2" s="11">
        <v>-1</v>
      </c>
      <c r="AS2" s="12" t="s">
        <v>3</v>
      </c>
      <c r="AT2" s="256"/>
      <c r="AU2" s="257" t="s">
        <v>4</v>
      </c>
      <c r="AV2" s="258"/>
      <c r="AW2" s="3"/>
      <c r="BE2" s="226" t="s">
        <v>143</v>
      </c>
      <c r="BF2" s="227"/>
      <c r="BG2" s="228"/>
      <c r="BH2" s="13"/>
      <c r="BI2" s="226" t="s">
        <v>73</v>
      </c>
      <c r="BJ2" s="227"/>
      <c r="BK2" s="227"/>
      <c r="BL2" s="228"/>
      <c r="BM2" s="14"/>
      <c r="BN2" s="226" t="s">
        <v>86</v>
      </c>
      <c r="BO2" s="227"/>
      <c r="BP2" s="228"/>
      <c r="BQ2" s="226" t="s">
        <v>87</v>
      </c>
      <c r="BR2" s="227"/>
      <c r="BS2" s="227"/>
      <c r="BT2" s="227"/>
      <c r="BU2" s="227"/>
      <c r="BV2" s="227"/>
      <c r="BW2" s="228"/>
      <c r="BY2" s="15" t="s">
        <v>5</v>
      </c>
    </row>
    <row r="3" spans="1:77" s="10" customFormat="1" ht="21" customHeight="1" thickTop="1" x14ac:dyDescent="0.2">
      <c r="A3" s="3"/>
      <c r="B3" s="259" t="s">
        <v>6</v>
      </c>
      <c r="C3" s="260"/>
      <c r="D3" s="261" t="s">
        <v>7</v>
      </c>
      <c r="E3" s="262" t="s">
        <v>8</v>
      </c>
      <c r="F3" s="263" t="s">
        <v>9</v>
      </c>
      <c r="G3" s="264" t="s">
        <v>10</v>
      </c>
      <c r="H3" s="265" t="s">
        <v>11</v>
      </c>
      <c r="I3" s="266" t="s">
        <v>9</v>
      </c>
      <c r="J3" s="267" t="s">
        <v>10</v>
      </c>
      <c r="K3" s="265" t="s">
        <v>11</v>
      </c>
      <c r="L3" s="266" t="s">
        <v>9</v>
      </c>
      <c r="M3" s="267" t="s">
        <v>10</v>
      </c>
      <c r="N3" s="265" t="s">
        <v>11</v>
      </c>
      <c r="O3" s="266" t="s">
        <v>9</v>
      </c>
      <c r="P3" s="267" t="s">
        <v>10</v>
      </c>
      <c r="Q3" s="265" t="s">
        <v>11</v>
      </c>
      <c r="R3" s="266" t="s">
        <v>9</v>
      </c>
      <c r="S3" s="267" t="s">
        <v>10</v>
      </c>
      <c r="T3" s="265" t="s">
        <v>11</v>
      </c>
      <c r="U3" s="266" t="s">
        <v>9</v>
      </c>
      <c r="V3" s="267" t="s">
        <v>10</v>
      </c>
      <c r="W3" s="265" t="s">
        <v>11</v>
      </c>
      <c r="X3" s="266" t="s">
        <v>9</v>
      </c>
      <c r="Y3" s="267" t="s">
        <v>10</v>
      </c>
      <c r="Z3" s="265" t="s">
        <v>11</v>
      </c>
      <c r="AA3" s="266" t="s">
        <v>9</v>
      </c>
      <c r="AB3" s="267" t="s">
        <v>10</v>
      </c>
      <c r="AC3" s="265" t="s">
        <v>11</v>
      </c>
      <c r="AD3" s="266" t="s">
        <v>9</v>
      </c>
      <c r="AE3" s="267" t="s">
        <v>10</v>
      </c>
      <c r="AF3" s="265" t="s">
        <v>11</v>
      </c>
      <c r="AG3" s="266" t="s">
        <v>9</v>
      </c>
      <c r="AH3" s="267" t="s">
        <v>10</v>
      </c>
      <c r="AI3" s="265" t="s">
        <v>11</v>
      </c>
      <c r="AJ3" s="266" t="s">
        <v>9</v>
      </c>
      <c r="AK3" s="267" t="s">
        <v>10</v>
      </c>
      <c r="AL3" s="265" t="s">
        <v>11</v>
      </c>
      <c r="AM3" s="266" t="s">
        <v>9</v>
      </c>
      <c r="AN3" s="267" t="s">
        <v>10</v>
      </c>
      <c r="AO3" s="268" t="s">
        <v>11</v>
      </c>
      <c r="AP3" s="3"/>
      <c r="AR3" s="16">
        <v>1</v>
      </c>
      <c r="AS3" s="12" t="s">
        <v>12</v>
      </c>
      <c r="AT3" s="269" t="s">
        <v>9</v>
      </c>
      <c r="AU3" s="267" t="s">
        <v>10</v>
      </c>
      <c r="AV3" s="268" t="s">
        <v>11</v>
      </c>
      <c r="AW3" s="3"/>
      <c r="BE3" s="1" t="s">
        <v>13</v>
      </c>
      <c r="BF3" s="69" t="s">
        <v>14</v>
      </c>
      <c r="BG3" s="70" t="s">
        <v>15</v>
      </c>
      <c r="BH3" s="17"/>
      <c r="BI3" s="1" t="s">
        <v>13</v>
      </c>
      <c r="BJ3" s="69" t="s">
        <v>14</v>
      </c>
      <c r="BK3" s="71" t="s">
        <v>17</v>
      </c>
      <c r="BL3" s="70" t="s">
        <v>18</v>
      </c>
      <c r="BM3" s="14"/>
      <c r="BN3" s="2" t="s">
        <v>13</v>
      </c>
      <c r="BO3" s="72" t="s">
        <v>14</v>
      </c>
      <c r="BP3" s="73" t="s">
        <v>16</v>
      </c>
      <c r="BQ3" s="74" t="s">
        <v>74</v>
      </c>
      <c r="BR3" s="229" t="s">
        <v>75</v>
      </c>
      <c r="BS3" s="230"/>
      <c r="BT3" s="229" t="s">
        <v>76</v>
      </c>
      <c r="BU3" s="230"/>
      <c r="BV3" s="229" t="s">
        <v>77</v>
      </c>
      <c r="BW3" s="231"/>
      <c r="BY3" s="15" t="s">
        <v>19</v>
      </c>
    </row>
    <row r="4" spans="1:77" ht="15" customHeight="1" x14ac:dyDescent="0.2">
      <c r="B4" s="75" t="s">
        <v>124</v>
      </c>
      <c r="C4" s="76" t="s">
        <v>109</v>
      </c>
      <c r="D4" s="76" t="s">
        <v>113</v>
      </c>
      <c r="E4" s="77"/>
      <c r="F4" s="78"/>
      <c r="G4" s="79"/>
      <c r="H4" s="270" t="str">
        <f>IF(G4&gt;0,IF(ISTEXT($E4),IF($E4&lt;&gt;F4,G4-2*G4,""),""),"")</f>
        <v/>
      </c>
      <c r="I4" s="80" t="s">
        <v>20</v>
      </c>
      <c r="J4" s="79">
        <v>2</v>
      </c>
      <c r="K4" s="270" t="str">
        <f t="shared" ref="K4:K19" si="0">IF(J4&gt;0,IF(ISTEXT($E4),IF($E4&lt;&gt;I4,J4-2*J4,""),""),"")</f>
        <v/>
      </c>
      <c r="L4" s="80" t="s">
        <v>48</v>
      </c>
      <c r="M4" s="79">
        <v>1</v>
      </c>
      <c r="N4" s="270" t="str">
        <f t="shared" ref="N4:N19" si="1">IF(M4&gt;0,IF(ISTEXT($E4),IF($E4&lt;&gt;L4,M4-2*M4,""),""),"")</f>
        <v/>
      </c>
      <c r="O4" s="80" t="s">
        <v>20</v>
      </c>
      <c r="P4" s="79">
        <v>1</v>
      </c>
      <c r="Q4" s="270" t="str">
        <f t="shared" ref="Q4:Q19" si="2">IF(P4&gt;0,IF(ISTEXT($E4),IF($E4&lt;&gt;O4,P4-2*P4,""),""),"")</f>
        <v/>
      </c>
      <c r="R4" s="80" t="s">
        <v>48</v>
      </c>
      <c r="S4" s="79">
        <v>4</v>
      </c>
      <c r="T4" s="270" t="str">
        <f t="shared" ref="T4:T19" si="3">IF(S4&gt;0,IF(ISTEXT($E4),IF($E4&lt;&gt;R4,S4-2*S4,""),""),"")</f>
        <v/>
      </c>
      <c r="U4" s="80" t="s">
        <v>48</v>
      </c>
      <c r="V4" s="79">
        <v>3</v>
      </c>
      <c r="W4" s="270" t="str">
        <f t="shared" ref="W4:W19" si="4">IF(V4&gt;0,IF(ISTEXT($E4),IF($E4&lt;&gt;U4,V4-2*V4,""),""),"")</f>
        <v/>
      </c>
      <c r="X4" s="80" t="s">
        <v>48</v>
      </c>
      <c r="Y4" s="79">
        <v>6</v>
      </c>
      <c r="Z4" s="270" t="str">
        <f t="shared" ref="Z4:Z19" si="5">IF(Y4&gt;0,IF(ISTEXT($E4),IF($E4&lt;&gt;X4,Y4-2*Y4,""),""),"")</f>
        <v/>
      </c>
      <c r="AA4" s="80" t="s">
        <v>48</v>
      </c>
      <c r="AB4" s="79">
        <v>1</v>
      </c>
      <c r="AC4" s="270" t="str">
        <f t="shared" ref="AC4:AC19" si="6">IF(AB4&gt;0,IF(ISTEXT($E4),IF($E4&lt;&gt;AA4,AB4-2*AB4,""),""),"")</f>
        <v/>
      </c>
      <c r="AD4" s="80" t="s">
        <v>20</v>
      </c>
      <c r="AE4" s="79">
        <v>1</v>
      </c>
      <c r="AF4" s="270" t="str">
        <f t="shared" ref="AF4:AF19" si="7">IF(AE4&gt;0,IF(ISTEXT($E4),IF($E4&lt;&gt;AD4,AE4-2*AE4,""),""),"")</f>
        <v/>
      </c>
      <c r="AG4" s="80"/>
      <c r="AH4" s="79"/>
      <c r="AI4" s="270" t="str">
        <f t="shared" ref="AI4:AI19" si="8">IF(AH4&gt;0,IF(ISTEXT($E4),IF($E4&lt;&gt;AG4,AH4-2*AH4,""),""),"")</f>
        <v/>
      </c>
      <c r="AJ4" s="80" t="s">
        <v>20</v>
      </c>
      <c r="AK4" s="79">
        <v>1</v>
      </c>
      <c r="AL4" s="270" t="str">
        <f t="shared" ref="AL4:AL19" si="9">IF(AK4&gt;0,IF(ISTEXT($E4),IF($E4&lt;&gt;AJ4,AK4-2*AK4,""),""),"")</f>
        <v/>
      </c>
      <c r="AM4" s="80" t="s">
        <v>48</v>
      </c>
      <c r="AN4" s="79">
        <v>2</v>
      </c>
      <c r="AO4" s="271" t="str">
        <f t="shared" ref="AO4:AO19" si="10">IF(AN4&gt;0,IF(ISTEXT($E4),IF($E4&lt;&gt;AM4,AN4-2*AN4,""),""),"")</f>
        <v/>
      </c>
      <c r="AT4" s="81" t="str">
        <f t="shared" ref="AT4:AT17" si="11">IF($B4="","",IF(AX4&lt;0,"V","H"))</f>
        <v>V</v>
      </c>
      <c r="AU4" s="79">
        <f t="shared" ref="AU4:AU17" ca="1" si="12">IF($B4="","",RANK(BA4,BA$4:BA$19,1))</f>
        <v>3</v>
      </c>
      <c r="AV4" s="27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</v>
      </c>
      <c r="AY4" s="5">
        <f>ABS(AX4)+IF($B4="",-0.1,0)</f>
        <v>12</v>
      </c>
      <c r="AZ4" s="5">
        <f t="shared" ref="AZ4:AZ19" si="15">AY4+IF(AT4="H",IF(BC4&gt;1,0.1*BC4-0.1,0),0)</f>
        <v>12</v>
      </c>
      <c r="BA4" s="5">
        <f t="shared" ref="BA4:BA19" ca="1" si="16">AZ4+IF(AT4="V",IF(BC4&gt;1,0.1*BC4-0.1,0),0)</f>
        <v>12</v>
      </c>
      <c r="BB4" s="5">
        <v>1</v>
      </c>
      <c r="BC4" s="5">
        <f ca="1">COUNTIF($AY$4:OFFSET($AY$4,0,0,BB4,1),AY4)</f>
        <v>1</v>
      </c>
      <c r="BE4" s="82">
        <f>$J$21</f>
        <v>1</v>
      </c>
      <c r="BF4" s="83" t="str">
        <f>$I$2</f>
        <v>CK</v>
      </c>
      <c r="BG4" s="84">
        <f>$K$21</f>
        <v>136</v>
      </c>
      <c r="BH4" s="18"/>
      <c r="BI4" s="85">
        <f>RANK(BK4,BK$4:BK$15,0)</f>
        <v>1</v>
      </c>
      <c r="BJ4" s="86" t="str">
        <f>$AM$2</f>
        <v>RR</v>
      </c>
      <c r="BK4" s="87">
        <f>$AO$22</f>
        <v>119</v>
      </c>
      <c r="BL4" s="88">
        <f>$AO$23</f>
        <v>119</v>
      </c>
      <c r="BM4" s="14"/>
      <c r="BN4" s="89">
        <v>1</v>
      </c>
      <c r="BO4" s="90" t="s">
        <v>105</v>
      </c>
      <c r="BP4" s="91">
        <v>31</v>
      </c>
      <c r="BQ4" s="92">
        <v>-3</v>
      </c>
      <c r="BR4" s="93">
        <v>1</v>
      </c>
      <c r="BS4" s="94">
        <v>31</v>
      </c>
      <c r="BT4" s="95" t="s">
        <v>88</v>
      </c>
      <c r="BU4" s="94">
        <v>3</v>
      </c>
      <c r="BV4" s="95" t="s">
        <v>0</v>
      </c>
      <c r="BW4" s="96" t="s">
        <v>0</v>
      </c>
      <c r="BY4" s="19" t="s">
        <v>144</v>
      </c>
    </row>
    <row r="5" spans="1:77" ht="15" customHeight="1" x14ac:dyDescent="0.2">
      <c r="B5" s="97" t="s">
        <v>140</v>
      </c>
      <c r="C5" s="98" t="s">
        <v>109</v>
      </c>
      <c r="D5" s="98" t="s">
        <v>108</v>
      </c>
      <c r="E5" s="99"/>
      <c r="F5" s="100"/>
      <c r="G5" s="101"/>
      <c r="H5" s="272" t="str">
        <f>IF(G5&gt;0,IF(ISTEXT($E5),IF($E5&lt;&gt;F5,G5-2*G5,""),""),"")</f>
        <v/>
      </c>
      <c r="I5" s="102" t="s">
        <v>20</v>
      </c>
      <c r="J5" s="101">
        <v>16</v>
      </c>
      <c r="K5" s="272" t="str">
        <f>IF(J5&gt;0,IF(ISTEXT($E5),IF($E5&lt;&gt;I5,J5-2*J5,""),""),"")</f>
        <v/>
      </c>
      <c r="L5" s="102" t="s">
        <v>20</v>
      </c>
      <c r="M5" s="101">
        <v>16</v>
      </c>
      <c r="N5" s="272" t="str">
        <f>IF(M5&gt;0,IF(ISTEXT($E5),IF($E5&lt;&gt;L5,M5-2*M5,""),""),"")</f>
        <v/>
      </c>
      <c r="O5" s="102" t="s">
        <v>20</v>
      </c>
      <c r="P5" s="101">
        <v>16</v>
      </c>
      <c r="Q5" s="272" t="str">
        <f>IF(P5&gt;0,IF(ISTEXT($E5),IF($E5&lt;&gt;O5,P5-2*P5,""),""),"")</f>
        <v/>
      </c>
      <c r="R5" s="102" t="s">
        <v>20</v>
      </c>
      <c r="S5" s="101">
        <v>3</v>
      </c>
      <c r="T5" s="272" t="str">
        <f>IF(S5&gt;0,IF(ISTEXT($E5),IF($E5&lt;&gt;R5,S5-2*S5,""),""),"")</f>
        <v/>
      </c>
      <c r="U5" s="102" t="s">
        <v>20</v>
      </c>
      <c r="V5" s="101">
        <v>13</v>
      </c>
      <c r="W5" s="272" t="str">
        <f>IF(V5&gt;0,IF(ISTEXT($E5),IF($E5&lt;&gt;U5,V5-2*V5,""),""),"")</f>
        <v/>
      </c>
      <c r="X5" s="102" t="s">
        <v>20</v>
      </c>
      <c r="Y5" s="101">
        <v>13</v>
      </c>
      <c r="Z5" s="272" t="str">
        <f>IF(Y5&gt;0,IF(ISTEXT($E5),IF($E5&lt;&gt;X5,Y5-2*Y5,""),""),"")</f>
        <v/>
      </c>
      <c r="AA5" s="102" t="s">
        <v>20</v>
      </c>
      <c r="AB5" s="101">
        <v>8</v>
      </c>
      <c r="AC5" s="272" t="str">
        <f>IF(AB5&gt;0,IF(ISTEXT($E5),IF($E5&lt;&gt;AA5,AB5-2*AB5,""),""),"")</f>
        <v/>
      </c>
      <c r="AD5" s="102" t="s">
        <v>20</v>
      </c>
      <c r="AE5" s="101">
        <v>2</v>
      </c>
      <c r="AF5" s="272" t="str">
        <f>IF(AE5&gt;0,IF(ISTEXT($E5),IF($E5&lt;&gt;AD5,AE5-2*AE5,""),""),"")</f>
        <v/>
      </c>
      <c r="AG5" s="102"/>
      <c r="AH5" s="101"/>
      <c r="AI5" s="272" t="str">
        <f>IF(AH5&gt;0,IF(ISTEXT($E5),IF($E5&lt;&gt;AG5,AH5-2*AH5,""),""),"")</f>
        <v/>
      </c>
      <c r="AJ5" s="102" t="s">
        <v>48</v>
      </c>
      <c r="AK5" s="101">
        <v>3</v>
      </c>
      <c r="AL5" s="272" t="str">
        <f>IF(AK5&gt;0,IF(ISTEXT($E5),IF($E5&lt;&gt;AJ5,AK5-2*AK5,""),""),"")</f>
        <v/>
      </c>
      <c r="AM5" s="102" t="s">
        <v>20</v>
      </c>
      <c r="AN5" s="101">
        <v>8</v>
      </c>
      <c r="AO5" s="273" t="str">
        <f>IF(AN5&gt;0,IF(ISTEXT($E5),IF($E5&lt;&gt;AM5,AN5-2*AN5,""),""),"")</f>
        <v/>
      </c>
      <c r="AR5" s="11"/>
      <c r="AS5" s="12"/>
      <c r="AT5" s="103" t="str">
        <f>IF($B5="","",IF(AX5&lt;0,"V","H"))</f>
        <v>H</v>
      </c>
      <c r="AU5" s="101">
        <f ca="1">IF($B5="","",RANK(BA5,BA$4:BA$19,1))</f>
        <v>12</v>
      </c>
      <c r="AV5" s="273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92</v>
      </c>
      <c r="AY5" s="5">
        <f t="shared" ref="AY5:AY19" si="17">ABS(AX5)+IF($B5="",-0.1,0)</f>
        <v>92</v>
      </c>
      <c r="AZ5" s="5">
        <f ca="1">AY5+IF(AT5="H",IF(BC5&gt;1,0.1*BC5-0.1,0),0)</f>
        <v>92</v>
      </c>
      <c r="BA5" s="5">
        <f ca="1">AZ5+IF(AT5="V",IF(BC5&gt;1,0.1*BC5-0.1,0),0)</f>
        <v>92</v>
      </c>
      <c r="BB5" s="5">
        <v>2</v>
      </c>
      <c r="BC5" s="5">
        <f ca="1">COUNTIF($AY$4:OFFSET($AY$4,0,0,BB5,1),AY5)</f>
        <v>1</v>
      </c>
      <c r="BE5" s="104">
        <f>$M$21</f>
        <v>1</v>
      </c>
      <c r="BF5" s="105" t="str">
        <f>$L$2</f>
        <v>CP</v>
      </c>
      <c r="BG5" s="106">
        <f>$N$21</f>
        <v>136</v>
      </c>
      <c r="BH5" s="18"/>
      <c r="BI5" s="107">
        <f>RANK(BK5,BK$4:BK$15,0)</f>
        <v>2</v>
      </c>
      <c r="BJ5" s="108" t="str">
        <f>$X$2</f>
        <v>JG</v>
      </c>
      <c r="BK5" s="109">
        <f>$Z$22</f>
        <v>106</v>
      </c>
      <c r="BL5" s="110">
        <f>$Z$23</f>
        <v>106</v>
      </c>
      <c r="BM5" s="14"/>
      <c r="BN5" s="107">
        <v>2</v>
      </c>
      <c r="BO5" s="108" t="s">
        <v>100</v>
      </c>
      <c r="BP5" s="111">
        <v>-1</v>
      </c>
      <c r="BQ5" s="112">
        <v>-3</v>
      </c>
      <c r="BR5" s="113" t="s">
        <v>0</v>
      </c>
      <c r="BS5" s="114" t="s">
        <v>0</v>
      </c>
      <c r="BT5" s="115" t="s">
        <v>0</v>
      </c>
      <c r="BU5" s="114" t="s">
        <v>0</v>
      </c>
      <c r="BV5" s="115" t="s">
        <v>88</v>
      </c>
      <c r="BW5" s="116">
        <v>2</v>
      </c>
      <c r="BY5" s="19" t="s">
        <v>145</v>
      </c>
    </row>
    <row r="6" spans="1:77" ht="15" customHeight="1" x14ac:dyDescent="0.2">
      <c r="B6" s="97" t="s">
        <v>114</v>
      </c>
      <c r="C6" s="98" t="s">
        <v>109</v>
      </c>
      <c r="D6" s="98" t="s">
        <v>125</v>
      </c>
      <c r="E6" s="99"/>
      <c r="F6" s="100"/>
      <c r="G6" s="101"/>
      <c r="H6" s="272" t="str">
        <f t="shared" ref="H6:H19" si="18">IF(G6&gt;0,IF(ISTEXT($E6),IF($E6&lt;&gt;F6,G6-2*G6,""),""),"")</f>
        <v/>
      </c>
      <c r="I6" s="102" t="s">
        <v>48</v>
      </c>
      <c r="J6" s="101">
        <v>8</v>
      </c>
      <c r="K6" s="272" t="str">
        <f t="shared" si="0"/>
        <v/>
      </c>
      <c r="L6" s="102" t="s">
        <v>48</v>
      </c>
      <c r="M6" s="101">
        <v>15</v>
      </c>
      <c r="N6" s="272" t="str">
        <f t="shared" si="1"/>
        <v/>
      </c>
      <c r="O6" s="102" t="s">
        <v>48</v>
      </c>
      <c r="P6" s="101">
        <v>15</v>
      </c>
      <c r="Q6" s="272" t="str">
        <f t="shared" si="2"/>
        <v/>
      </c>
      <c r="R6" s="102" t="s">
        <v>48</v>
      </c>
      <c r="S6" s="101">
        <v>15</v>
      </c>
      <c r="T6" s="272" t="str">
        <f t="shared" si="3"/>
        <v/>
      </c>
      <c r="U6" s="102" t="s">
        <v>48</v>
      </c>
      <c r="V6" s="101">
        <v>9</v>
      </c>
      <c r="W6" s="272" t="str">
        <f t="shared" si="4"/>
        <v/>
      </c>
      <c r="X6" s="102" t="s">
        <v>48</v>
      </c>
      <c r="Y6" s="101">
        <v>14</v>
      </c>
      <c r="Z6" s="272" t="str">
        <f t="shared" si="5"/>
        <v/>
      </c>
      <c r="AA6" s="102" t="s">
        <v>48</v>
      </c>
      <c r="AB6" s="101">
        <v>7</v>
      </c>
      <c r="AC6" s="272" t="str">
        <f t="shared" si="6"/>
        <v/>
      </c>
      <c r="AD6" s="102" t="s">
        <v>48</v>
      </c>
      <c r="AE6" s="101">
        <v>14</v>
      </c>
      <c r="AF6" s="272" t="str">
        <f t="shared" si="7"/>
        <v/>
      </c>
      <c r="AG6" s="102"/>
      <c r="AH6" s="101"/>
      <c r="AI6" s="272" t="str">
        <f t="shared" si="8"/>
        <v/>
      </c>
      <c r="AJ6" s="102" t="s">
        <v>48</v>
      </c>
      <c r="AK6" s="101">
        <v>13</v>
      </c>
      <c r="AL6" s="272" t="str">
        <f t="shared" si="9"/>
        <v/>
      </c>
      <c r="AM6" s="102" t="s">
        <v>48</v>
      </c>
      <c r="AN6" s="101">
        <v>15</v>
      </c>
      <c r="AO6" s="273" t="str">
        <f t="shared" si="10"/>
        <v/>
      </c>
      <c r="AR6" s="11"/>
      <c r="AS6" s="12"/>
      <c r="AT6" s="103" t="str">
        <f t="shared" si="11"/>
        <v>V</v>
      </c>
      <c r="AU6" s="101">
        <f t="shared" ca="1" si="12"/>
        <v>15</v>
      </c>
      <c r="AV6" s="273" t="str">
        <f t="shared" ca="1" si="13"/>
        <v/>
      </c>
      <c r="AX6" s="5">
        <f t="shared" si="14"/>
        <v>-125</v>
      </c>
      <c r="AY6" s="5">
        <f t="shared" si="17"/>
        <v>125</v>
      </c>
      <c r="AZ6" s="5">
        <f t="shared" si="15"/>
        <v>125</v>
      </c>
      <c r="BA6" s="5">
        <f t="shared" ca="1" si="16"/>
        <v>125</v>
      </c>
      <c r="BB6" s="5">
        <v>3</v>
      </c>
      <c r="BC6" s="5">
        <f ca="1">COUNTIF($AY$4:OFFSET($AY$4,0,0,BB6,1),AY6)</f>
        <v>1</v>
      </c>
      <c r="BE6" s="104">
        <f>$P$21</f>
        <v>1</v>
      </c>
      <c r="BF6" s="105" t="str">
        <f>$O$2</f>
        <v>DC</v>
      </c>
      <c r="BG6" s="106">
        <f>$Q$21</f>
        <v>136</v>
      </c>
      <c r="BH6" s="18"/>
      <c r="BI6" s="107">
        <f>RANK(BK6,BK$4:BK$15,0)</f>
        <v>3</v>
      </c>
      <c r="BJ6" s="108" t="str">
        <f>$R$2</f>
        <v>DH</v>
      </c>
      <c r="BK6" s="109">
        <f>$T$22</f>
        <v>102</v>
      </c>
      <c r="BL6" s="110">
        <f>$T$23</f>
        <v>102</v>
      </c>
      <c r="BM6" s="14"/>
      <c r="BN6" s="107">
        <v>3</v>
      </c>
      <c r="BO6" s="108" t="s">
        <v>94</v>
      </c>
      <c r="BP6" s="111">
        <v>-3</v>
      </c>
      <c r="BQ6" s="112">
        <v>-3</v>
      </c>
      <c r="BR6" s="113" t="s">
        <v>0</v>
      </c>
      <c r="BS6" s="114" t="s">
        <v>0</v>
      </c>
      <c r="BT6" s="115" t="s">
        <v>0</v>
      </c>
      <c r="BU6" s="114" t="s">
        <v>0</v>
      </c>
      <c r="BV6" s="115" t="s">
        <v>0</v>
      </c>
      <c r="BW6" s="116" t="s">
        <v>0</v>
      </c>
      <c r="BY6" s="19" t="s">
        <v>146</v>
      </c>
    </row>
    <row r="7" spans="1:77" ht="15" customHeight="1" x14ac:dyDescent="0.2">
      <c r="B7" s="97" t="s">
        <v>128</v>
      </c>
      <c r="C7" s="98" t="s">
        <v>109</v>
      </c>
      <c r="D7" s="98" t="s">
        <v>133</v>
      </c>
      <c r="E7" s="99"/>
      <c r="F7" s="100"/>
      <c r="G7" s="101"/>
      <c r="H7" s="272" t="str">
        <f t="shared" si="18"/>
        <v/>
      </c>
      <c r="I7" s="102" t="s">
        <v>20</v>
      </c>
      <c r="J7" s="101">
        <v>9</v>
      </c>
      <c r="K7" s="272" t="str">
        <f t="shared" si="0"/>
        <v/>
      </c>
      <c r="L7" s="102" t="s">
        <v>20</v>
      </c>
      <c r="M7" s="101">
        <v>10</v>
      </c>
      <c r="N7" s="272" t="str">
        <f t="shared" si="1"/>
        <v/>
      </c>
      <c r="O7" s="102" t="s">
        <v>20</v>
      </c>
      <c r="P7" s="101">
        <v>14</v>
      </c>
      <c r="Q7" s="272" t="str">
        <f t="shared" si="2"/>
        <v/>
      </c>
      <c r="R7" s="102" t="s">
        <v>20</v>
      </c>
      <c r="S7" s="101">
        <v>2</v>
      </c>
      <c r="T7" s="272" t="str">
        <f t="shared" si="3"/>
        <v/>
      </c>
      <c r="U7" s="102" t="s">
        <v>20</v>
      </c>
      <c r="V7" s="101">
        <v>4</v>
      </c>
      <c r="W7" s="272" t="str">
        <f t="shared" si="4"/>
        <v/>
      </c>
      <c r="X7" s="102" t="s">
        <v>20</v>
      </c>
      <c r="Y7" s="101">
        <v>11</v>
      </c>
      <c r="Z7" s="272" t="str">
        <f t="shared" si="5"/>
        <v/>
      </c>
      <c r="AA7" s="102" t="s">
        <v>20</v>
      </c>
      <c r="AB7" s="101">
        <v>2</v>
      </c>
      <c r="AC7" s="272" t="str">
        <f t="shared" si="6"/>
        <v/>
      </c>
      <c r="AD7" s="102" t="s">
        <v>20</v>
      </c>
      <c r="AE7" s="101">
        <v>16</v>
      </c>
      <c r="AF7" s="272" t="str">
        <f t="shared" si="7"/>
        <v/>
      </c>
      <c r="AG7" s="102"/>
      <c r="AH7" s="101"/>
      <c r="AI7" s="272" t="str">
        <f t="shared" si="8"/>
        <v/>
      </c>
      <c r="AJ7" s="102" t="s">
        <v>20</v>
      </c>
      <c r="AK7" s="101">
        <v>11</v>
      </c>
      <c r="AL7" s="272" t="str">
        <f t="shared" si="9"/>
        <v/>
      </c>
      <c r="AM7" s="102" t="s">
        <v>20</v>
      </c>
      <c r="AN7" s="101">
        <v>12</v>
      </c>
      <c r="AO7" s="273" t="str">
        <f t="shared" si="10"/>
        <v/>
      </c>
      <c r="AT7" s="103" t="str">
        <f t="shared" si="11"/>
        <v>H</v>
      </c>
      <c r="AU7" s="101">
        <f t="shared" ca="1" si="12"/>
        <v>11</v>
      </c>
      <c r="AV7" s="273" t="str">
        <f t="shared" ca="1" si="13"/>
        <v/>
      </c>
      <c r="AX7" s="5">
        <f t="shared" si="14"/>
        <v>91</v>
      </c>
      <c r="AY7" s="5">
        <f t="shared" si="17"/>
        <v>91</v>
      </c>
      <c r="AZ7" s="5">
        <f t="shared" ca="1" si="15"/>
        <v>91</v>
      </c>
      <c r="BA7" s="5">
        <f t="shared" ca="1" si="16"/>
        <v>91</v>
      </c>
      <c r="BB7" s="5">
        <v>4</v>
      </c>
      <c r="BC7" s="5">
        <f ca="1">COUNTIF($AY$4:OFFSET($AY$4,0,0,BB7,1),AY7)</f>
        <v>1</v>
      </c>
      <c r="BE7" s="104">
        <f>$S$21</f>
        <v>1</v>
      </c>
      <c r="BF7" s="105" t="str">
        <f>$R$2</f>
        <v>DH</v>
      </c>
      <c r="BG7" s="106">
        <f>$T$21</f>
        <v>136</v>
      </c>
      <c r="BH7" s="18"/>
      <c r="BI7" s="107">
        <f>RANK(BK7,BK$4:BK$15,0)</f>
        <v>4</v>
      </c>
      <c r="BJ7" s="108" t="str">
        <f>$AD$2</f>
        <v>JL</v>
      </c>
      <c r="BK7" s="109">
        <f>$AF$22</f>
        <v>100</v>
      </c>
      <c r="BL7" s="110">
        <f>$AF$23</f>
        <v>100</v>
      </c>
      <c r="BM7" s="14"/>
      <c r="BN7" s="107">
        <v>3</v>
      </c>
      <c r="BO7" s="108" t="s">
        <v>95</v>
      </c>
      <c r="BP7" s="111">
        <v>-3</v>
      </c>
      <c r="BQ7" s="112">
        <v>-3</v>
      </c>
      <c r="BR7" s="113" t="s">
        <v>0</v>
      </c>
      <c r="BS7" s="114" t="s">
        <v>0</v>
      </c>
      <c r="BT7" s="115" t="s">
        <v>0</v>
      </c>
      <c r="BU7" s="114" t="s">
        <v>0</v>
      </c>
      <c r="BV7" s="115" t="s">
        <v>0</v>
      </c>
      <c r="BW7" s="116" t="s">
        <v>0</v>
      </c>
      <c r="BY7" s="19" t="s">
        <v>147</v>
      </c>
    </row>
    <row r="8" spans="1:77" ht="15" customHeight="1" x14ac:dyDescent="0.2">
      <c r="B8" s="97" t="s">
        <v>120</v>
      </c>
      <c r="C8" s="98" t="s">
        <v>109</v>
      </c>
      <c r="D8" s="98" t="s">
        <v>116</v>
      </c>
      <c r="E8" s="99"/>
      <c r="F8" s="100"/>
      <c r="G8" s="101"/>
      <c r="H8" s="272" t="str">
        <f t="shared" si="18"/>
        <v/>
      </c>
      <c r="I8" s="102" t="s">
        <v>48</v>
      </c>
      <c r="J8" s="101">
        <v>10</v>
      </c>
      <c r="K8" s="272" t="str">
        <f t="shared" si="0"/>
        <v/>
      </c>
      <c r="L8" s="102" t="s">
        <v>48</v>
      </c>
      <c r="M8" s="101">
        <v>2</v>
      </c>
      <c r="N8" s="272" t="str">
        <f t="shared" si="1"/>
        <v/>
      </c>
      <c r="O8" s="102" t="s">
        <v>20</v>
      </c>
      <c r="P8" s="101">
        <v>3</v>
      </c>
      <c r="Q8" s="272" t="str">
        <f t="shared" si="2"/>
        <v/>
      </c>
      <c r="R8" s="102" t="s">
        <v>20</v>
      </c>
      <c r="S8" s="101">
        <v>5</v>
      </c>
      <c r="T8" s="272" t="str">
        <f t="shared" si="3"/>
        <v/>
      </c>
      <c r="U8" s="102" t="s">
        <v>48</v>
      </c>
      <c r="V8" s="101">
        <v>8</v>
      </c>
      <c r="W8" s="272" t="str">
        <f t="shared" si="4"/>
        <v/>
      </c>
      <c r="X8" s="102" t="s">
        <v>20</v>
      </c>
      <c r="Y8" s="101">
        <v>7</v>
      </c>
      <c r="Z8" s="272" t="str">
        <f t="shared" si="5"/>
        <v/>
      </c>
      <c r="AA8" s="102" t="s">
        <v>20</v>
      </c>
      <c r="AB8" s="101">
        <v>3</v>
      </c>
      <c r="AC8" s="272" t="str">
        <f t="shared" si="6"/>
        <v/>
      </c>
      <c r="AD8" s="102" t="s">
        <v>48</v>
      </c>
      <c r="AE8" s="101">
        <v>9</v>
      </c>
      <c r="AF8" s="272" t="str">
        <f t="shared" si="7"/>
        <v/>
      </c>
      <c r="AG8" s="102"/>
      <c r="AH8" s="101"/>
      <c r="AI8" s="272" t="str">
        <f t="shared" si="8"/>
        <v/>
      </c>
      <c r="AJ8" s="102" t="s">
        <v>48</v>
      </c>
      <c r="AK8" s="101">
        <v>16</v>
      </c>
      <c r="AL8" s="272" t="str">
        <f t="shared" si="9"/>
        <v/>
      </c>
      <c r="AM8" s="102" t="s">
        <v>20</v>
      </c>
      <c r="AN8" s="101">
        <v>6</v>
      </c>
      <c r="AO8" s="273" t="str">
        <f t="shared" si="10"/>
        <v/>
      </c>
      <c r="AT8" s="103" t="str">
        <f t="shared" si="11"/>
        <v>V</v>
      </c>
      <c r="AU8" s="101">
        <f t="shared" ca="1" si="12"/>
        <v>4</v>
      </c>
      <c r="AV8" s="273" t="str">
        <f t="shared" ca="1" si="13"/>
        <v/>
      </c>
      <c r="AX8" s="5">
        <f t="shared" si="14"/>
        <v>-21</v>
      </c>
      <c r="AY8" s="5">
        <f t="shared" si="17"/>
        <v>21</v>
      </c>
      <c r="AZ8" s="5">
        <f t="shared" si="15"/>
        <v>21</v>
      </c>
      <c r="BA8" s="5">
        <f t="shared" ca="1" si="16"/>
        <v>21</v>
      </c>
      <c r="BB8" s="5">
        <v>5</v>
      </c>
      <c r="BC8" s="5">
        <f ca="1">COUNTIF($AY$4:OFFSET($AY$4,0,0,BB8,1),AY8)</f>
        <v>1</v>
      </c>
      <c r="BE8" s="104">
        <f>$V$21</f>
        <v>1</v>
      </c>
      <c r="BF8" s="105" t="str">
        <f>$U$2</f>
        <v>GP</v>
      </c>
      <c r="BG8" s="106">
        <f>$W$21</f>
        <v>136</v>
      </c>
      <c r="BH8" s="18"/>
      <c r="BI8" s="107">
        <f>RANK(BK8,BK$4:BK$15,0)</f>
        <v>5</v>
      </c>
      <c r="BJ8" s="108" t="str">
        <f>$AG$2</f>
        <v>KC</v>
      </c>
      <c r="BK8" s="109">
        <f>$AI$22</f>
        <v>91</v>
      </c>
      <c r="BL8" s="110">
        <f>$AI$23</f>
        <v>91</v>
      </c>
      <c r="BM8" s="14"/>
      <c r="BN8" s="107">
        <v>3</v>
      </c>
      <c r="BO8" s="108" t="s">
        <v>96</v>
      </c>
      <c r="BP8" s="111">
        <v>-3</v>
      </c>
      <c r="BQ8" s="112">
        <v>-3</v>
      </c>
      <c r="BR8" s="113" t="s">
        <v>0</v>
      </c>
      <c r="BS8" s="114" t="s">
        <v>0</v>
      </c>
      <c r="BT8" s="115" t="s">
        <v>0</v>
      </c>
      <c r="BU8" s="114" t="s">
        <v>0</v>
      </c>
      <c r="BV8" s="115" t="s">
        <v>0</v>
      </c>
      <c r="BW8" s="116" t="s">
        <v>0</v>
      </c>
      <c r="BY8" s="19" t="s">
        <v>148</v>
      </c>
    </row>
    <row r="9" spans="1:77" ht="15" customHeight="1" x14ac:dyDescent="0.2">
      <c r="B9" s="97" t="s">
        <v>129</v>
      </c>
      <c r="C9" s="98" t="s">
        <v>109</v>
      </c>
      <c r="D9" s="98" t="s">
        <v>135</v>
      </c>
      <c r="E9" s="99"/>
      <c r="F9" s="100"/>
      <c r="G9" s="101"/>
      <c r="H9" s="272" t="str">
        <f t="shared" si="18"/>
        <v/>
      </c>
      <c r="I9" s="102" t="s">
        <v>20</v>
      </c>
      <c r="J9" s="101">
        <v>14</v>
      </c>
      <c r="K9" s="272" t="str">
        <f t="shared" si="0"/>
        <v/>
      </c>
      <c r="L9" s="102" t="s">
        <v>20</v>
      </c>
      <c r="M9" s="101">
        <v>14</v>
      </c>
      <c r="N9" s="272" t="str">
        <f t="shared" si="1"/>
        <v/>
      </c>
      <c r="O9" s="102" t="s">
        <v>20</v>
      </c>
      <c r="P9" s="101">
        <v>10</v>
      </c>
      <c r="Q9" s="272" t="str">
        <f t="shared" si="2"/>
        <v/>
      </c>
      <c r="R9" s="102" t="s">
        <v>20</v>
      </c>
      <c r="S9" s="101">
        <v>13</v>
      </c>
      <c r="T9" s="272" t="str">
        <f t="shared" si="3"/>
        <v/>
      </c>
      <c r="U9" s="102" t="s">
        <v>20</v>
      </c>
      <c r="V9" s="101">
        <v>14</v>
      </c>
      <c r="W9" s="272" t="str">
        <f t="shared" si="4"/>
        <v/>
      </c>
      <c r="X9" s="102" t="s">
        <v>20</v>
      </c>
      <c r="Y9" s="101">
        <v>5</v>
      </c>
      <c r="Z9" s="272" t="str">
        <f t="shared" si="5"/>
        <v/>
      </c>
      <c r="AA9" s="102" t="s">
        <v>20</v>
      </c>
      <c r="AB9" s="101">
        <v>16</v>
      </c>
      <c r="AC9" s="272" t="str">
        <f t="shared" si="6"/>
        <v/>
      </c>
      <c r="AD9" s="102" t="s">
        <v>20</v>
      </c>
      <c r="AE9" s="101">
        <v>12</v>
      </c>
      <c r="AF9" s="272" t="str">
        <f t="shared" si="7"/>
        <v/>
      </c>
      <c r="AG9" s="102"/>
      <c r="AH9" s="101"/>
      <c r="AI9" s="272" t="str">
        <f t="shared" si="8"/>
        <v/>
      </c>
      <c r="AJ9" s="102" t="s">
        <v>20</v>
      </c>
      <c r="AK9" s="101">
        <v>15</v>
      </c>
      <c r="AL9" s="272" t="str">
        <f t="shared" si="9"/>
        <v/>
      </c>
      <c r="AM9" s="102" t="s">
        <v>20</v>
      </c>
      <c r="AN9" s="101">
        <v>16</v>
      </c>
      <c r="AO9" s="273" t="str">
        <f t="shared" si="10"/>
        <v/>
      </c>
      <c r="AT9" s="103" t="str">
        <f t="shared" si="11"/>
        <v>H</v>
      </c>
      <c r="AU9" s="101">
        <f t="shared" ca="1" si="12"/>
        <v>16</v>
      </c>
      <c r="AV9" s="273" t="str">
        <f t="shared" ca="1" si="13"/>
        <v/>
      </c>
      <c r="AX9" s="5">
        <f t="shared" si="14"/>
        <v>129</v>
      </c>
      <c r="AY9" s="5">
        <f t="shared" si="17"/>
        <v>129</v>
      </c>
      <c r="AZ9" s="5">
        <f t="shared" ca="1" si="15"/>
        <v>129</v>
      </c>
      <c r="BA9" s="5">
        <f t="shared" ca="1" si="16"/>
        <v>129</v>
      </c>
      <c r="BB9" s="5">
        <v>6</v>
      </c>
      <c r="BC9" s="5">
        <f ca="1">COUNTIF($AY$4:OFFSET($AY$4,0,0,BB9,1),AY9)</f>
        <v>1</v>
      </c>
      <c r="BE9" s="104">
        <f>$Y$21</f>
        <v>1</v>
      </c>
      <c r="BF9" s="105" t="str">
        <f>$X$2</f>
        <v>JG</v>
      </c>
      <c r="BG9" s="106">
        <f>$Z$21</f>
        <v>136</v>
      </c>
      <c r="BH9" s="18"/>
      <c r="BI9" s="107">
        <f>RANK(BK9,BK$4:BK$15,0)</f>
        <v>6</v>
      </c>
      <c r="BJ9" s="108" t="str">
        <f>$F$2</f>
        <v>BM</v>
      </c>
      <c r="BK9" s="109">
        <f>$H$22</f>
        <v>90</v>
      </c>
      <c r="BL9" s="110">
        <f>$H$23</f>
        <v>90</v>
      </c>
      <c r="BM9" s="14"/>
      <c r="BN9" s="107">
        <v>3</v>
      </c>
      <c r="BO9" s="108" t="s">
        <v>97</v>
      </c>
      <c r="BP9" s="111">
        <v>-3</v>
      </c>
      <c r="BQ9" s="112">
        <v>-3</v>
      </c>
      <c r="BR9" s="113" t="s">
        <v>0</v>
      </c>
      <c r="BS9" s="114" t="s">
        <v>0</v>
      </c>
      <c r="BT9" s="115" t="s">
        <v>0</v>
      </c>
      <c r="BU9" s="114" t="s">
        <v>0</v>
      </c>
      <c r="BV9" s="115" t="s">
        <v>0</v>
      </c>
      <c r="BW9" s="116" t="s">
        <v>0</v>
      </c>
      <c r="BY9" s="19" t="s">
        <v>149</v>
      </c>
    </row>
    <row r="10" spans="1:77" ht="15" customHeight="1" x14ac:dyDescent="0.2">
      <c r="B10" s="97" t="s">
        <v>122</v>
      </c>
      <c r="C10" s="98" t="s">
        <v>109</v>
      </c>
      <c r="D10" s="98" t="s">
        <v>131</v>
      </c>
      <c r="E10" s="99"/>
      <c r="F10" s="100"/>
      <c r="G10" s="101"/>
      <c r="H10" s="272" t="str">
        <f t="shared" si="18"/>
        <v/>
      </c>
      <c r="I10" s="102" t="s">
        <v>20</v>
      </c>
      <c r="J10" s="101">
        <v>15</v>
      </c>
      <c r="K10" s="272" t="str">
        <f t="shared" si="0"/>
        <v/>
      </c>
      <c r="L10" s="102" t="s">
        <v>20</v>
      </c>
      <c r="M10" s="101">
        <v>9</v>
      </c>
      <c r="N10" s="272" t="str">
        <f t="shared" si="1"/>
        <v/>
      </c>
      <c r="O10" s="102" t="s">
        <v>48</v>
      </c>
      <c r="P10" s="101">
        <v>2</v>
      </c>
      <c r="Q10" s="272" t="str">
        <f t="shared" si="2"/>
        <v/>
      </c>
      <c r="R10" s="102" t="s">
        <v>20</v>
      </c>
      <c r="S10" s="101">
        <v>8</v>
      </c>
      <c r="T10" s="272" t="str">
        <f t="shared" si="3"/>
        <v/>
      </c>
      <c r="U10" s="102" t="s">
        <v>20</v>
      </c>
      <c r="V10" s="101">
        <v>10</v>
      </c>
      <c r="W10" s="272" t="str">
        <f t="shared" si="4"/>
        <v/>
      </c>
      <c r="X10" s="102" t="s">
        <v>48</v>
      </c>
      <c r="Y10" s="101">
        <v>9</v>
      </c>
      <c r="Z10" s="272" t="str">
        <f t="shared" si="5"/>
        <v/>
      </c>
      <c r="AA10" s="102" t="s">
        <v>20</v>
      </c>
      <c r="AB10" s="101">
        <v>11</v>
      </c>
      <c r="AC10" s="272" t="str">
        <f t="shared" si="6"/>
        <v/>
      </c>
      <c r="AD10" s="102" t="s">
        <v>48</v>
      </c>
      <c r="AE10" s="101">
        <v>4</v>
      </c>
      <c r="AF10" s="272" t="str">
        <f t="shared" si="7"/>
        <v/>
      </c>
      <c r="AG10" s="102"/>
      <c r="AH10" s="101"/>
      <c r="AI10" s="272" t="str">
        <f t="shared" si="8"/>
        <v/>
      </c>
      <c r="AJ10" s="102" t="s">
        <v>20</v>
      </c>
      <c r="AK10" s="101">
        <v>9</v>
      </c>
      <c r="AL10" s="272" t="str">
        <f t="shared" si="9"/>
        <v/>
      </c>
      <c r="AM10" s="102" t="s">
        <v>20</v>
      </c>
      <c r="AN10" s="101">
        <v>5</v>
      </c>
      <c r="AO10" s="273" t="str">
        <f t="shared" si="10"/>
        <v/>
      </c>
      <c r="AT10" s="103" t="str">
        <f t="shared" si="11"/>
        <v>H</v>
      </c>
      <c r="AU10" s="101">
        <f t="shared" ca="1" si="12"/>
        <v>7</v>
      </c>
      <c r="AV10" s="273" t="str">
        <f t="shared" ca="1" si="13"/>
        <v/>
      </c>
      <c r="AX10" s="5">
        <f t="shared" si="14"/>
        <v>52</v>
      </c>
      <c r="AY10" s="5">
        <f t="shared" si="17"/>
        <v>52</v>
      </c>
      <c r="AZ10" s="5">
        <f t="shared" ca="1" si="15"/>
        <v>52</v>
      </c>
      <c r="BA10" s="5">
        <f t="shared" ca="1" si="16"/>
        <v>52</v>
      </c>
      <c r="BB10" s="5">
        <v>7</v>
      </c>
      <c r="BC10" s="5">
        <f ca="1">COUNTIF($AY$4:OFFSET($AY$4,0,0,BB10,1),AY10)</f>
        <v>1</v>
      </c>
      <c r="BE10" s="104">
        <f>$AB$21</f>
        <v>1</v>
      </c>
      <c r="BF10" s="105" t="str">
        <f>$AA$2</f>
        <v>JH</v>
      </c>
      <c r="BG10" s="106">
        <f>$AC$21</f>
        <v>136</v>
      </c>
      <c r="BH10" s="18"/>
      <c r="BI10" s="107">
        <f>RANK(BK10,BK$4:BK$15,0)</f>
        <v>6</v>
      </c>
      <c r="BJ10" s="108" t="str">
        <f>$L$2</f>
        <v>CP</v>
      </c>
      <c r="BK10" s="109">
        <f>$N$22</f>
        <v>90</v>
      </c>
      <c r="BL10" s="110">
        <f>$N$23</f>
        <v>90</v>
      </c>
      <c r="BM10" s="14"/>
      <c r="BN10" s="107">
        <v>3</v>
      </c>
      <c r="BO10" s="108" t="s">
        <v>98</v>
      </c>
      <c r="BP10" s="111">
        <v>-3</v>
      </c>
      <c r="BQ10" s="112">
        <v>-3</v>
      </c>
      <c r="BR10" s="113" t="s">
        <v>0</v>
      </c>
      <c r="BS10" s="114" t="s">
        <v>0</v>
      </c>
      <c r="BT10" s="115" t="s">
        <v>0</v>
      </c>
      <c r="BU10" s="114" t="s">
        <v>0</v>
      </c>
      <c r="BV10" s="115" t="s">
        <v>0</v>
      </c>
      <c r="BW10" s="116" t="s">
        <v>0</v>
      </c>
      <c r="BY10" s="19" t="s">
        <v>150</v>
      </c>
    </row>
    <row r="11" spans="1:77" ht="15" customHeight="1" x14ac:dyDescent="0.2">
      <c r="B11" s="97" t="s">
        <v>123</v>
      </c>
      <c r="C11" s="98" t="s">
        <v>109</v>
      </c>
      <c r="D11" s="98" t="s">
        <v>137</v>
      </c>
      <c r="E11" s="99"/>
      <c r="F11" s="100"/>
      <c r="G11" s="101"/>
      <c r="H11" s="272" t="str">
        <f t="shared" si="18"/>
        <v/>
      </c>
      <c r="I11" s="102" t="s">
        <v>20</v>
      </c>
      <c r="J11" s="101">
        <v>13</v>
      </c>
      <c r="K11" s="272" t="str">
        <f t="shared" si="0"/>
        <v/>
      </c>
      <c r="L11" s="102" t="s">
        <v>20</v>
      </c>
      <c r="M11" s="101">
        <v>7</v>
      </c>
      <c r="N11" s="272" t="str">
        <f t="shared" si="1"/>
        <v/>
      </c>
      <c r="O11" s="102" t="s">
        <v>20</v>
      </c>
      <c r="P11" s="101">
        <v>7</v>
      </c>
      <c r="Q11" s="272" t="str">
        <f t="shared" si="2"/>
        <v/>
      </c>
      <c r="R11" s="102" t="s">
        <v>20</v>
      </c>
      <c r="S11" s="101">
        <v>1</v>
      </c>
      <c r="T11" s="272" t="str">
        <f t="shared" si="3"/>
        <v/>
      </c>
      <c r="U11" s="102" t="s">
        <v>20</v>
      </c>
      <c r="V11" s="101">
        <v>12</v>
      </c>
      <c r="W11" s="272" t="str">
        <f t="shared" si="4"/>
        <v/>
      </c>
      <c r="X11" s="102" t="s">
        <v>20</v>
      </c>
      <c r="Y11" s="101">
        <v>16</v>
      </c>
      <c r="Z11" s="272" t="str">
        <f t="shared" si="5"/>
        <v/>
      </c>
      <c r="AA11" s="102" t="s">
        <v>48</v>
      </c>
      <c r="AB11" s="101">
        <v>5</v>
      </c>
      <c r="AC11" s="272" t="str">
        <f t="shared" si="6"/>
        <v/>
      </c>
      <c r="AD11" s="102" t="s">
        <v>20</v>
      </c>
      <c r="AE11" s="101">
        <v>8</v>
      </c>
      <c r="AF11" s="272" t="str">
        <f t="shared" si="7"/>
        <v/>
      </c>
      <c r="AG11" s="102"/>
      <c r="AH11" s="101"/>
      <c r="AI11" s="272" t="str">
        <f t="shared" si="8"/>
        <v/>
      </c>
      <c r="AJ11" s="102" t="s">
        <v>20</v>
      </c>
      <c r="AK11" s="101">
        <v>7</v>
      </c>
      <c r="AL11" s="272" t="str">
        <f t="shared" si="9"/>
        <v/>
      </c>
      <c r="AM11" s="102" t="s">
        <v>20</v>
      </c>
      <c r="AN11" s="101">
        <v>1</v>
      </c>
      <c r="AO11" s="273" t="str">
        <f t="shared" si="10"/>
        <v/>
      </c>
      <c r="AT11" s="103" t="str">
        <f t="shared" si="11"/>
        <v>H</v>
      </c>
      <c r="AU11" s="101">
        <f t="shared" ca="1" si="12"/>
        <v>9</v>
      </c>
      <c r="AV11" s="273" t="str">
        <f t="shared" ca="1" si="13"/>
        <v/>
      </c>
      <c r="AX11" s="5">
        <f t="shared" si="14"/>
        <v>67</v>
      </c>
      <c r="AY11" s="5">
        <f t="shared" si="17"/>
        <v>67</v>
      </c>
      <c r="AZ11" s="5">
        <f t="shared" ca="1" si="15"/>
        <v>67</v>
      </c>
      <c r="BA11" s="5">
        <f t="shared" ca="1" si="16"/>
        <v>67</v>
      </c>
      <c r="BB11" s="5">
        <v>8</v>
      </c>
      <c r="BC11" s="5">
        <f ca="1">COUNTIF($AY$4:OFFSET($AY$4,0,0,BB11,1),AY11)</f>
        <v>1</v>
      </c>
      <c r="BE11" s="104">
        <f>$AE$21</f>
        <v>1</v>
      </c>
      <c r="BF11" s="105" t="str">
        <f>$AD$2</f>
        <v>JL</v>
      </c>
      <c r="BG11" s="106">
        <f>$AF$21</f>
        <v>136</v>
      </c>
      <c r="BH11" s="18"/>
      <c r="BI11" s="107">
        <f>RANK(BK11,BK$4:BK$15,0)</f>
        <v>8</v>
      </c>
      <c r="BJ11" s="108" t="str">
        <f>$AJ$2</f>
        <v>KK</v>
      </c>
      <c r="BK11" s="109">
        <f>$AL$22</f>
        <v>84</v>
      </c>
      <c r="BL11" s="110">
        <f>$AL$23</f>
        <v>84</v>
      </c>
      <c r="BM11" s="14"/>
      <c r="BN11" s="107">
        <v>3</v>
      </c>
      <c r="BO11" s="108" t="s">
        <v>99</v>
      </c>
      <c r="BP11" s="111">
        <v>-3</v>
      </c>
      <c r="BQ11" s="112">
        <v>-3</v>
      </c>
      <c r="BR11" s="113" t="s">
        <v>0</v>
      </c>
      <c r="BS11" s="114" t="s">
        <v>0</v>
      </c>
      <c r="BT11" s="115" t="s">
        <v>0</v>
      </c>
      <c r="BU11" s="114" t="s">
        <v>0</v>
      </c>
      <c r="BV11" s="115" t="s">
        <v>0</v>
      </c>
      <c r="BW11" s="116" t="s">
        <v>0</v>
      </c>
      <c r="BY11" s="19" t="s">
        <v>151</v>
      </c>
    </row>
    <row r="12" spans="1:77" ht="15" customHeight="1" x14ac:dyDescent="0.2">
      <c r="B12" s="97" t="s">
        <v>132</v>
      </c>
      <c r="C12" s="98" t="s">
        <v>109</v>
      </c>
      <c r="D12" s="98" t="s">
        <v>138</v>
      </c>
      <c r="E12" s="99"/>
      <c r="F12" s="100"/>
      <c r="G12" s="101"/>
      <c r="H12" s="272" t="str">
        <f t="shared" si="18"/>
        <v/>
      </c>
      <c r="I12" s="102" t="s">
        <v>20</v>
      </c>
      <c r="J12" s="101">
        <v>11</v>
      </c>
      <c r="K12" s="272" t="str">
        <f t="shared" si="0"/>
        <v/>
      </c>
      <c r="L12" s="102" t="s">
        <v>48</v>
      </c>
      <c r="M12" s="101">
        <v>6</v>
      </c>
      <c r="N12" s="272" t="str">
        <f t="shared" si="1"/>
        <v/>
      </c>
      <c r="O12" s="102" t="s">
        <v>20</v>
      </c>
      <c r="P12" s="101">
        <v>6</v>
      </c>
      <c r="Q12" s="272" t="str">
        <f t="shared" si="2"/>
        <v/>
      </c>
      <c r="R12" s="102" t="s">
        <v>48</v>
      </c>
      <c r="S12" s="101">
        <v>12</v>
      </c>
      <c r="T12" s="272" t="str">
        <f t="shared" si="3"/>
        <v/>
      </c>
      <c r="U12" s="102" t="s">
        <v>20</v>
      </c>
      <c r="V12" s="101">
        <v>1</v>
      </c>
      <c r="W12" s="272" t="str">
        <f t="shared" si="4"/>
        <v/>
      </c>
      <c r="X12" s="102" t="s">
        <v>48</v>
      </c>
      <c r="Y12" s="101">
        <v>4</v>
      </c>
      <c r="Z12" s="272" t="str">
        <f t="shared" si="5"/>
        <v/>
      </c>
      <c r="AA12" s="102" t="s">
        <v>20</v>
      </c>
      <c r="AB12" s="101">
        <v>10</v>
      </c>
      <c r="AC12" s="272" t="str">
        <f t="shared" si="6"/>
        <v/>
      </c>
      <c r="AD12" s="102" t="s">
        <v>48</v>
      </c>
      <c r="AE12" s="101">
        <v>7</v>
      </c>
      <c r="AF12" s="272" t="str">
        <f t="shared" si="7"/>
        <v/>
      </c>
      <c r="AG12" s="102"/>
      <c r="AH12" s="101"/>
      <c r="AI12" s="272" t="str">
        <f t="shared" si="8"/>
        <v/>
      </c>
      <c r="AJ12" s="102" t="s">
        <v>20</v>
      </c>
      <c r="AK12" s="101">
        <v>6</v>
      </c>
      <c r="AL12" s="272" t="str">
        <f t="shared" si="9"/>
        <v/>
      </c>
      <c r="AM12" s="102" t="s">
        <v>48</v>
      </c>
      <c r="AN12" s="101">
        <v>7</v>
      </c>
      <c r="AO12" s="273" t="str">
        <f t="shared" si="10"/>
        <v/>
      </c>
      <c r="AT12" s="103" t="str">
        <f t="shared" si="11"/>
        <v>V</v>
      </c>
      <c r="AU12" s="101">
        <f t="shared" ca="1" si="12"/>
        <v>1</v>
      </c>
      <c r="AV12" s="273" t="str">
        <f t="shared" ca="1" si="13"/>
        <v/>
      </c>
      <c r="AX12" s="5">
        <f t="shared" si="14"/>
        <v>-2</v>
      </c>
      <c r="AY12" s="5">
        <f t="shared" si="17"/>
        <v>2</v>
      </c>
      <c r="AZ12" s="5">
        <f t="shared" si="15"/>
        <v>2</v>
      </c>
      <c r="BA12" s="5">
        <f t="shared" ca="1" si="16"/>
        <v>2</v>
      </c>
      <c r="BB12" s="5">
        <v>9</v>
      </c>
      <c r="BC12" s="5">
        <f ca="1">COUNTIF($AY$4:OFFSET($AY$4,0,0,BB12,1),AY12)</f>
        <v>1</v>
      </c>
      <c r="BE12" s="104">
        <f>$AK$21</f>
        <v>1</v>
      </c>
      <c r="BF12" s="105" t="str">
        <f>$AJ$2</f>
        <v>KK</v>
      </c>
      <c r="BG12" s="106">
        <f>$AL$21</f>
        <v>136</v>
      </c>
      <c r="BH12" s="18"/>
      <c r="BI12" s="107">
        <f>RANK(BK12,BK$4:BK$15,0)</f>
        <v>9</v>
      </c>
      <c r="BJ12" s="108" t="str">
        <f>$I$2</f>
        <v>CK</v>
      </c>
      <c r="BK12" s="109">
        <f>$K$22</f>
        <v>83</v>
      </c>
      <c r="BL12" s="110">
        <f>$K$23</f>
        <v>83</v>
      </c>
      <c r="BM12" s="14"/>
      <c r="BN12" s="107">
        <v>3</v>
      </c>
      <c r="BO12" s="108" t="s">
        <v>101</v>
      </c>
      <c r="BP12" s="111">
        <v>-3</v>
      </c>
      <c r="BQ12" s="112">
        <v>-3</v>
      </c>
      <c r="BR12" s="113" t="s">
        <v>0</v>
      </c>
      <c r="BS12" s="114" t="s">
        <v>0</v>
      </c>
      <c r="BT12" s="115" t="s">
        <v>0</v>
      </c>
      <c r="BU12" s="114" t="s">
        <v>0</v>
      </c>
      <c r="BV12" s="115" t="s">
        <v>0</v>
      </c>
      <c r="BW12" s="116" t="s">
        <v>0</v>
      </c>
      <c r="BY12" s="19" t="s">
        <v>152</v>
      </c>
    </row>
    <row r="13" spans="1:77" ht="15" customHeight="1" x14ac:dyDescent="0.2">
      <c r="B13" s="97" t="s">
        <v>111</v>
      </c>
      <c r="C13" s="98" t="s">
        <v>109</v>
      </c>
      <c r="D13" s="98" t="s">
        <v>136</v>
      </c>
      <c r="E13" s="99"/>
      <c r="F13" s="100"/>
      <c r="G13" s="101"/>
      <c r="H13" s="272" t="str">
        <f t="shared" si="18"/>
        <v/>
      </c>
      <c r="I13" s="102" t="s">
        <v>20</v>
      </c>
      <c r="J13" s="101">
        <v>12</v>
      </c>
      <c r="K13" s="272" t="str">
        <f t="shared" si="0"/>
        <v/>
      </c>
      <c r="L13" s="102" t="s">
        <v>20</v>
      </c>
      <c r="M13" s="101">
        <v>13</v>
      </c>
      <c r="N13" s="272" t="str">
        <f t="shared" si="1"/>
        <v/>
      </c>
      <c r="O13" s="102" t="s">
        <v>20</v>
      </c>
      <c r="P13" s="101">
        <v>13</v>
      </c>
      <c r="Q13" s="272" t="str">
        <f t="shared" si="2"/>
        <v/>
      </c>
      <c r="R13" s="102" t="s">
        <v>20</v>
      </c>
      <c r="S13" s="101">
        <v>14</v>
      </c>
      <c r="T13" s="272" t="str">
        <f t="shared" si="3"/>
        <v/>
      </c>
      <c r="U13" s="102" t="s">
        <v>20</v>
      </c>
      <c r="V13" s="101">
        <v>7</v>
      </c>
      <c r="W13" s="272" t="str">
        <f t="shared" si="4"/>
        <v/>
      </c>
      <c r="X13" s="102" t="s">
        <v>20</v>
      </c>
      <c r="Y13" s="101">
        <v>8</v>
      </c>
      <c r="Z13" s="272" t="str">
        <f t="shared" si="5"/>
        <v/>
      </c>
      <c r="AA13" s="102" t="s">
        <v>20</v>
      </c>
      <c r="AB13" s="101">
        <v>15</v>
      </c>
      <c r="AC13" s="272" t="str">
        <f t="shared" si="6"/>
        <v/>
      </c>
      <c r="AD13" s="102" t="s">
        <v>20</v>
      </c>
      <c r="AE13" s="101">
        <v>5</v>
      </c>
      <c r="AF13" s="272" t="str">
        <f t="shared" si="7"/>
        <v/>
      </c>
      <c r="AG13" s="102"/>
      <c r="AH13" s="101"/>
      <c r="AI13" s="272" t="str">
        <f t="shared" si="8"/>
        <v/>
      </c>
      <c r="AJ13" s="102" t="s">
        <v>20</v>
      </c>
      <c r="AK13" s="101">
        <v>14</v>
      </c>
      <c r="AL13" s="272" t="str">
        <f t="shared" si="9"/>
        <v/>
      </c>
      <c r="AM13" s="102" t="s">
        <v>20</v>
      </c>
      <c r="AN13" s="101">
        <v>10</v>
      </c>
      <c r="AO13" s="273" t="str">
        <f t="shared" si="10"/>
        <v/>
      </c>
      <c r="AT13" s="103" t="str">
        <f t="shared" si="11"/>
        <v>H</v>
      </c>
      <c r="AU13" s="101">
        <f t="shared" ca="1" si="12"/>
        <v>14</v>
      </c>
      <c r="AV13" s="273" t="str">
        <f t="shared" ca="1" si="13"/>
        <v/>
      </c>
      <c r="AX13" s="5">
        <f t="shared" si="14"/>
        <v>111</v>
      </c>
      <c r="AY13" s="5">
        <f t="shared" si="17"/>
        <v>111</v>
      </c>
      <c r="AZ13" s="5">
        <f t="shared" ca="1" si="15"/>
        <v>111</v>
      </c>
      <c r="BA13" s="5">
        <f t="shared" ca="1" si="16"/>
        <v>111</v>
      </c>
      <c r="BB13" s="5">
        <v>10</v>
      </c>
      <c r="BC13" s="5">
        <f ca="1">COUNTIF($AY$4:OFFSET($AY$4,0,0,BB13,1),AY13)</f>
        <v>1</v>
      </c>
      <c r="BE13" s="104">
        <f>$AN$21</f>
        <v>1</v>
      </c>
      <c r="BF13" s="105" t="str">
        <f>$AM$2</f>
        <v>RR</v>
      </c>
      <c r="BG13" s="106">
        <f>$AO$21</f>
        <v>136</v>
      </c>
      <c r="BH13" s="18"/>
      <c r="BI13" s="107">
        <f>RANK(BK13,BK$4:BK$15,0)</f>
        <v>10</v>
      </c>
      <c r="BJ13" s="108" t="str">
        <f>$AA$2</f>
        <v>JH</v>
      </c>
      <c r="BK13" s="109">
        <f>$AC$22</f>
        <v>81</v>
      </c>
      <c r="BL13" s="110">
        <f>$AC$23</f>
        <v>81</v>
      </c>
      <c r="BM13" s="14"/>
      <c r="BN13" s="107">
        <v>3</v>
      </c>
      <c r="BO13" s="108" t="s">
        <v>102</v>
      </c>
      <c r="BP13" s="111">
        <v>-3</v>
      </c>
      <c r="BQ13" s="112">
        <v>-3</v>
      </c>
      <c r="BR13" s="113" t="s">
        <v>0</v>
      </c>
      <c r="BS13" s="114" t="s">
        <v>0</v>
      </c>
      <c r="BT13" s="115" t="s">
        <v>0</v>
      </c>
      <c r="BU13" s="114" t="s">
        <v>0</v>
      </c>
      <c r="BV13" s="115" t="s">
        <v>0</v>
      </c>
      <c r="BW13" s="116" t="s">
        <v>0</v>
      </c>
      <c r="BY13" s="19" t="s">
        <v>153</v>
      </c>
    </row>
    <row r="14" spans="1:77" ht="15" customHeight="1" x14ac:dyDescent="0.2">
      <c r="B14" s="97" t="s">
        <v>130</v>
      </c>
      <c r="C14" s="98" t="s">
        <v>109</v>
      </c>
      <c r="D14" s="98" t="s">
        <v>139</v>
      </c>
      <c r="E14" s="99"/>
      <c r="F14" s="100"/>
      <c r="G14" s="101"/>
      <c r="H14" s="272" t="str">
        <f t="shared" si="18"/>
        <v/>
      </c>
      <c r="I14" s="102" t="s">
        <v>48</v>
      </c>
      <c r="J14" s="101">
        <v>7</v>
      </c>
      <c r="K14" s="272" t="str">
        <f t="shared" si="0"/>
        <v/>
      </c>
      <c r="L14" s="102" t="s">
        <v>48</v>
      </c>
      <c r="M14" s="101">
        <v>11</v>
      </c>
      <c r="N14" s="272" t="str">
        <f t="shared" si="1"/>
        <v/>
      </c>
      <c r="O14" s="102" t="s">
        <v>48</v>
      </c>
      <c r="P14" s="101">
        <v>11</v>
      </c>
      <c r="Q14" s="272" t="str">
        <f t="shared" si="2"/>
        <v/>
      </c>
      <c r="R14" s="102" t="s">
        <v>48</v>
      </c>
      <c r="S14" s="101">
        <v>16</v>
      </c>
      <c r="T14" s="272" t="str">
        <f t="shared" si="3"/>
        <v/>
      </c>
      <c r="U14" s="102" t="s">
        <v>48</v>
      </c>
      <c r="V14" s="101">
        <v>16</v>
      </c>
      <c r="W14" s="272" t="str">
        <f t="shared" si="4"/>
        <v/>
      </c>
      <c r="X14" s="102" t="s">
        <v>48</v>
      </c>
      <c r="Y14" s="101">
        <v>15</v>
      </c>
      <c r="Z14" s="272" t="str">
        <f t="shared" si="5"/>
        <v/>
      </c>
      <c r="AA14" s="102" t="s">
        <v>20</v>
      </c>
      <c r="AB14" s="101">
        <v>12</v>
      </c>
      <c r="AC14" s="272" t="str">
        <f t="shared" si="6"/>
        <v/>
      </c>
      <c r="AD14" s="102" t="s">
        <v>48</v>
      </c>
      <c r="AE14" s="101">
        <v>13</v>
      </c>
      <c r="AF14" s="272" t="str">
        <f t="shared" si="7"/>
        <v/>
      </c>
      <c r="AG14" s="102"/>
      <c r="AH14" s="101"/>
      <c r="AI14" s="272" t="str">
        <f t="shared" si="8"/>
        <v/>
      </c>
      <c r="AJ14" s="102" t="s">
        <v>48</v>
      </c>
      <c r="AK14" s="101">
        <v>12</v>
      </c>
      <c r="AL14" s="272" t="str">
        <f t="shared" si="9"/>
        <v/>
      </c>
      <c r="AM14" s="102" t="s">
        <v>48</v>
      </c>
      <c r="AN14" s="101">
        <v>14</v>
      </c>
      <c r="AO14" s="273" t="str">
        <f t="shared" si="10"/>
        <v/>
      </c>
      <c r="AT14" s="103" t="str">
        <f t="shared" si="11"/>
        <v>V</v>
      </c>
      <c r="AU14" s="101">
        <f t="shared" ca="1" si="12"/>
        <v>13</v>
      </c>
      <c r="AV14" s="273" t="str">
        <f t="shared" ca="1" si="13"/>
        <v/>
      </c>
      <c r="AX14" s="5">
        <f t="shared" si="14"/>
        <v>-103</v>
      </c>
      <c r="AY14" s="5">
        <f t="shared" si="17"/>
        <v>103</v>
      </c>
      <c r="AZ14" s="5">
        <f t="shared" si="15"/>
        <v>103</v>
      </c>
      <c r="BA14" s="5">
        <f t="shared" ca="1" si="16"/>
        <v>103</v>
      </c>
      <c r="BB14" s="5">
        <v>11</v>
      </c>
      <c r="BC14" s="5">
        <f ca="1">COUNTIF($AY$4:OFFSET($AY$4,0,0,BB14,1),AY14)</f>
        <v>1</v>
      </c>
      <c r="BE14" s="104">
        <f>$G$21</f>
        <v>11</v>
      </c>
      <c r="BF14" s="105" t="str">
        <f>$F$2</f>
        <v>BM</v>
      </c>
      <c r="BG14" s="106">
        <f>$H$21</f>
        <v>0</v>
      </c>
      <c r="BH14" s="18"/>
      <c r="BI14" s="107">
        <f>RANK(BK14,BK$4:BK$15,0)</f>
        <v>11</v>
      </c>
      <c r="BJ14" s="108" t="str">
        <f>$U$2</f>
        <v>GP</v>
      </c>
      <c r="BK14" s="109">
        <f>$W$22</f>
        <v>74</v>
      </c>
      <c r="BL14" s="110">
        <f>$W$23</f>
        <v>74</v>
      </c>
      <c r="BM14" s="14"/>
      <c r="BN14" s="107">
        <v>3</v>
      </c>
      <c r="BO14" s="108" t="s">
        <v>103</v>
      </c>
      <c r="BP14" s="111">
        <v>-3</v>
      </c>
      <c r="BQ14" s="112">
        <v>-3</v>
      </c>
      <c r="BR14" s="113" t="s">
        <v>0</v>
      </c>
      <c r="BS14" s="114" t="s">
        <v>0</v>
      </c>
      <c r="BT14" s="115" t="s">
        <v>0</v>
      </c>
      <c r="BU14" s="114" t="s">
        <v>0</v>
      </c>
      <c r="BV14" s="115" t="s">
        <v>0</v>
      </c>
      <c r="BW14" s="116" t="s">
        <v>0</v>
      </c>
      <c r="BY14" s="19" t="s">
        <v>154</v>
      </c>
    </row>
    <row r="15" spans="1:77" ht="15" customHeight="1" thickBot="1" x14ac:dyDescent="0.25">
      <c r="B15" s="97" t="s">
        <v>134</v>
      </c>
      <c r="C15" s="98" t="s">
        <v>109</v>
      </c>
      <c r="D15" s="98" t="s">
        <v>110</v>
      </c>
      <c r="E15" s="99"/>
      <c r="F15" s="100"/>
      <c r="G15" s="101"/>
      <c r="H15" s="272" t="str">
        <f t="shared" si="18"/>
        <v/>
      </c>
      <c r="I15" s="102" t="s">
        <v>20</v>
      </c>
      <c r="J15" s="101">
        <v>6</v>
      </c>
      <c r="K15" s="272" t="str">
        <f t="shared" si="0"/>
        <v/>
      </c>
      <c r="L15" s="102" t="s">
        <v>20</v>
      </c>
      <c r="M15" s="101">
        <v>12</v>
      </c>
      <c r="N15" s="272" t="str">
        <f t="shared" si="1"/>
        <v/>
      </c>
      <c r="O15" s="102" t="s">
        <v>20</v>
      </c>
      <c r="P15" s="101">
        <v>12</v>
      </c>
      <c r="Q15" s="272" t="str">
        <f t="shared" si="2"/>
        <v/>
      </c>
      <c r="R15" s="102" t="s">
        <v>20</v>
      </c>
      <c r="S15" s="101">
        <v>11</v>
      </c>
      <c r="T15" s="272" t="str">
        <f t="shared" si="3"/>
        <v/>
      </c>
      <c r="U15" s="102" t="s">
        <v>20</v>
      </c>
      <c r="V15" s="101">
        <v>15</v>
      </c>
      <c r="W15" s="272" t="str">
        <f t="shared" si="4"/>
        <v/>
      </c>
      <c r="X15" s="102" t="s">
        <v>20</v>
      </c>
      <c r="Y15" s="101">
        <v>10</v>
      </c>
      <c r="Z15" s="272" t="str">
        <f t="shared" si="5"/>
        <v/>
      </c>
      <c r="AA15" s="102" t="s">
        <v>48</v>
      </c>
      <c r="AB15" s="101">
        <v>6</v>
      </c>
      <c r="AC15" s="272" t="str">
        <f t="shared" si="6"/>
        <v/>
      </c>
      <c r="AD15" s="102" t="s">
        <v>48</v>
      </c>
      <c r="AE15" s="101">
        <v>3</v>
      </c>
      <c r="AF15" s="272" t="str">
        <f t="shared" si="7"/>
        <v/>
      </c>
      <c r="AG15" s="102"/>
      <c r="AH15" s="101"/>
      <c r="AI15" s="272" t="str">
        <f t="shared" si="8"/>
        <v/>
      </c>
      <c r="AJ15" s="102" t="s">
        <v>20</v>
      </c>
      <c r="AK15" s="101">
        <v>10</v>
      </c>
      <c r="AL15" s="272" t="str">
        <f t="shared" si="9"/>
        <v/>
      </c>
      <c r="AM15" s="102" t="s">
        <v>20</v>
      </c>
      <c r="AN15" s="101">
        <v>11</v>
      </c>
      <c r="AO15" s="273" t="str">
        <f t="shared" si="10"/>
        <v/>
      </c>
      <c r="AT15" s="103" t="str">
        <f t="shared" si="11"/>
        <v>H</v>
      </c>
      <c r="AU15" s="101">
        <f t="shared" ca="1" si="12"/>
        <v>10</v>
      </c>
      <c r="AV15" s="273" t="str">
        <f t="shared" ca="1" si="13"/>
        <v/>
      </c>
      <c r="AX15" s="5">
        <f t="shared" si="14"/>
        <v>78</v>
      </c>
      <c r="AY15" s="5">
        <f t="shared" si="17"/>
        <v>78</v>
      </c>
      <c r="AZ15" s="5">
        <f t="shared" ca="1" si="15"/>
        <v>78</v>
      </c>
      <c r="BA15" s="5">
        <f t="shared" ca="1" si="16"/>
        <v>78</v>
      </c>
      <c r="BB15" s="5">
        <v>12</v>
      </c>
      <c r="BC15" s="5">
        <f ca="1">COUNTIF($AY$4:OFFSET($AY$4,0,0,BB15,1),AY15)</f>
        <v>1</v>
      </c>
      <c r="BE15" s="117">
        <f>$AH$21</f>
        <v>11</v>
      </c>
      <c r="BF15" s="118" t="str">
        <f>$AG$2</f>
        <v>KC</v>
      </c>
      <c r="BG15" s="119">
        <f>$AI$21</f>
        <v>0</v>
      </c>
      <c r="BH15" s="18"/>
      <c r="BI15" s="120">
        <f>RANK(BK15,BK$4:BK$15,0)</f>
        <v>12</v>
      </c>
      <c r="BJ15" s="121" t="str">
        <f>$O$2</f>
        <v>DC</v>
      </c>
      <c r="BK15" s="122">
        <f>$Q$22</f>
        <v>72</v>
      </c>
      <c r="BL15" s="123">
        <f>$Q$23</f>
        <v>72</v>
      </c>
      <c r="BM15" s="14"/>
      <c r="BN15" s="120">
        <v>3</v>
      </c>
      <c r="BO15" s="121" t="s">
        <v>104</v>
      </c>
      <c r="BP15" s="124">
        <v>-3</v>
      </c>
      <c r="BQ15" s="125">
        <v>-3</v>
      </c>
      <c r="BR15" s="126" t="s">
        <v>0</v>
      </c>
      <c r="BS15" s="127" t="s">
        <v>0</v>
      </c>
      <c r="BT15" s="128" t="s">
        <v>0</v>
      </c>
      <c r="BU15" s="127" t="s">
        <v>0</v>
      </c>
      <c r="BV15" s="128" t="s">
        <v>0</v>
      </c>
      <c r="BW15" s="129" t="s">
        <v>0</v>
      </c>
      <c r="BY15" s="19" t="s">
        <v>155</v>
      </c>
    </row>
    <row r="16" spans="1:77" ht="15" customHeight="1" thickTop="1" x14ac:dyDescent="0.2">
      <c r="B16" s="97" t="s">
        <v>112</v>
      </c>
      <c r="C16" s="98" t="s">
        <v>109</v>
      </c>
      <c r="D16" s="98" t="s">
        <v>121</v>
      </c>
      <c r="E16" s="99"/>
      <c r="F16" s="100"/>
      <c r="G16" s="101"/>
      <c r="H16" s="272" t="str">
        <f t="shared" si="18"/>
        <v/>
      </c>
      <c r="I16" s="102" t="s">
        <v>20</v>
      </c>
      <c r="J16" s="101">
        <v>5</v>
      </c>
      <c r="K16" s="272" t="str">
        <f t="shared" si="0"/>
        <v/>
      </c>
      <c r="L16" s="102" t="s">
        <v>20</v>
      </c>
      <c r="M16" s="101">
        <v>8</v>
      </c>
      <c r="N16" s="272" t="str">
        <f t="shared" si="1"/>
        <v/>
      </c>
      <c r="O16" s="102" t="s">
        <v>48</v>
      </c>
      <c r="P16" s="101">
        <v>8</v>
      </c>
      <c r="Q16" s="272" t="str">
        <f t="shared" si="2"/>
        <v/>
      </c>
      <c r="R16" s="102" t="s">
        <v>20</v>
      </c>
      <c r="S16" s="101">
        <v>10</v>
      </c>
      <c r="T16" s="272" t="str">
        <f t="shared" si="3"/>
        <v/>
      </c>
      <c r="U16" s="102" t="s">
        <v>20</v>
      </c>
      <c r="V16" s="101">
        <v>11</v>
      </c>
      <c r="W16" s="272" t="str">
        <f t="shared" si="4"/>
        <v/>
      </c>
      <c r="X16" s="102" t="s">
        <v>20</v>
      </c>
      <c r="Y16" s="101">
        <v>1</v>
      </c>
      <c r="Z16" s="272" t="str">
        <f t="shared" si="5"/>
        <v/>
      </c>
      <c r="AA16" s="102" t="s">
        <v>48</v>
      </c>
      <c r="AB16" s="101">
        <v>9</v>
      </c>
      <c r="AC16" s="272" t="str">
        <f t="shared" si="6"/>
        <v/>
      </c>
      <c r="AD16" s="102" t="s">
        <v>20</v>
      </c>
      <c r="AE16" s="101">
        <v>10</v>
      </c>
      <c r="AF16" s="272" t="str">
        <f t="shared" si="7"/>
        <v/>
      </c>
      <c r="AG16" s="102"/>
      <c r="AH16" s="101"/>
      <c r="AI16" s="272" t="str">
        <f t="shared" si="8"/>
        <v/>
      </c>
      <c r="AJ16" s="102" t="s">
        <v>20</v>
      </c>
      <c r="AK16" s="101">
        <v>8</v>
      </c>
      <c r="AL16" s="272" t="str">
        <f t="shared" si="9"/>
        <v/>
      </c>
      <c r="AM16" s="102" t="s">
        <v>20</v>
      </c>
      <c r="AN16" s="101">
        <v>4</v>
      </c>
      <c r="AO16" s="273" t="str">
        <f t="shared" si="10"/>
        <v/>
      </c>
      <c r="AT16" s="103" t="str">
        <f t="shared" si="11"/>
        <v>H</v>
      </c>
      <c r="AU16" s="101">
        <f t="shared" ca="1" si="12"/>
        <v>5</v>
      </c>
      <c r="AV16" s="273" t="str">
        <f t="shared" ca="1" si="13"/>
        <v/>
      </c>
      <c r="AX16" s="5">
        <f t="shared" si="14"/>
        <v>40</v>
      </c>
      <c r="AY16" s="5">
        <f t="shared" si="17"/>
        <v>40</v>
      </c>
      <c r="AZ16" s="5">
        <f t="shared" ca="1" si="15"/>
        <v>40</v>
      </c>
      <c r="BA16" s="5">
        <f t="shared" ca="1" si="16"/>
        <v>40</v>
      </c>
      <c r="BB16" s="5">
        <v>13</v>
      </c>
      <c r="BC16" s="5">
        <f ca="1">COUNTIF($AY$4:OFFSET($AY$4,0,0,BB16,1),AY16)</f>
        <v>1</v>
      </c>
      <c r="BY16" s="19" t="s">
        <v>156</v>
      </c>
    </row>
    <row r="17" spans="1:77" ht="15" customHeight="1" x14ac:dyDescent="0.2">
      <c r="B17" s="97" t="s">
        <v>118</v>
      </c>
      <c r="C17" s="98" t="s">
        <v>109</v>
      </c>
      <c r="D17" s="98" t="s">
        <v>119</v>
      </c>
      <c r="E17" s="99"/>
      <c r="F17" s="100"/>
      <c r="G17" s="101"/>
      <c r="H17" s="272" t="str">
        <f t="shared" si="18"/>
        <v/>
      </c>
      <c r="I17" s="102" t="s">
        <v>20</v>
      </c>
      <c r="J17" s="101">
        <v>4</v>
      </c>
      <c r="K17" s="272" t="str">
        <f t="shared" si="0"/>
        <v/>
      </c>
      <c r="L17" s="102" t="s">
        <v>20</v>
      </c>
      <c r="M17" s="101">
        <v>5</v>
      </c>
      <c r="N17" s="272" t="str">
        <f t="shared" si="1"/>
        <v/>
      </c>
      <c r="O17" s="102" t="s">
        <v>20</v>
      </c>
      <c r="P17" s="101">
        <v>5</v>
      </c>
      <c r="Q17" s="272" t="str">
        <f t="shared" si="2"/>
        <v/>
      </c>
      <c r="R17" s="102" t="s">
        <v>20</v>
      </c>
      <c r="S17" s="101">
        <v>7</v>
      </c>
      <c r="T17" s="272" t="str">
        <f t="shared" si="3"/>
        <v/>
      </c>
      <c r="U17" s="102" t="s">
        <v>20</v>
      </c>
      <c r="V17" s="101">
        <v>6</v>
      </c>
      <c r="W17" s="272" t="str">
        <f t="shared" si="4"/>
        <v/>
      </c>
      <c r="X17" s="102" t="s">
        <v>20</v>
      </c>
      <c r="Y17" s="101">
        <v>12</v>
      </c>
      <c r="Z17" s="272" t="str">
        <f t="shared" si="5"/>
        <v/>
      </c>
      <c r="AA17" s="102" t="s">
        <v>20</v>
      </c>
      <c r="AB17" s="101">
        <v>14</v>
      </c>
      <c r="AC17" s="272" t="str">
        <f t="shared" si="6"/>
        <v/>
      </c>
      <c r="AD17" s="102" t="s">
        <v>48</v>
      </c>
      <c r="AE17" s="101">
        <v>6</v>
      </c>
      <c r="AF17" s="272" t="str">
        <f t="shared" si="7"/>
        <v/>
      </c>
      <c r="AG17" s="102"/>
      <c r="AH17" s="101"/>
      <c r="AI17" s="272" t="str">
        <f t="shared" si="8"/>
        <v/>
      </c>
      <c r="AJ17" s="102" t="s">
        <v>20</v>
      </c>
      <c r="AK17" s="101">
        <v>5</v>
      </c>
      <c r="AL17" s="272" t="str">
        <f t="shared" si="9"/>
        <v/>
      </c>
      <c r="AM17" s="102" t="s">
        <v>20</v>
      </c>
      <c r="AN17" s="101">
        <v>13</v>
      </c>
      <c r="AO17" s="273" t="str">
        <f t="shared" si="10"/>
        <v/>
      </c>
      <c r="AT17" s="103" t="str">
        <f t="shared" si="11"/>
        <v>H</v>
      </c>
      <c r="AU17" s="101">
        <f t="shared" ca="1" si="12"/>
        <v>8</v>
      </c>
      <c r="AV17" s="273" t="str">
        <f t="shared" ca="1" si="13"/>
        <v/>
      </c>
      <c r="AX17" s="5">
        <f t="shared" si="14"/>
        <v>65</v>
      </c>
      <c r="AY17" s="5">
        <f t="shared" si="17"/>
        <v>65</v>
      </c>
      <c r="AZ17" s="5">
        <f t="shared" ca="1" si="15"/>
        <v>65</v>
      </c>
      <c r="BA17" s="5">
        <f t="shared" ca="1" si="16"/>
        <v>65</v>
      </c>
      <c r="BB17" s="5">
        <v>14</v>
      </c>
      <c r="BC17" s="5">
        <f ca="1">COUNTIF($AY$4:OFFSET($AY$4,0,0,BB17,1),AY17)</f>
        <v>1</v>
      </c>
      <c r="BY17" s="19" t="s">
        <v>157</v>
      </c>
    </row>
    <row r="18" spans="1:77" ht="15" customHeight="1" x14ac:dyDescent="0.2">
      <c r="B18" s="97" t="s">
        <v>117</v>
      </c>
      <c r="C18" s="98" t="s">
        <v>109</v>
      </c>
      <c r="D18" s="98" t="s">
        <v>127</v>
      </c>
      <c r="E18" s="99"/>
      <c r="F18" s="100"/>
      <c r="G18" s="101"/>
      <c r="H18" s="272" t="str">
        <f t="shared" si="18"/>
        <v/>
      </c>
      <c r="I18" s="102" t="s">
        <v>48</v>
      </c>
      <c r="J18" s="101">
        <v>3</v>
      </c>
      <c r="K18" s="272" t="str">
        <f t="shared" si="0"/>
        <v/>
      </c>
      <c r="L18" s="102" t="s">
        <v>48</v>
      </c>
      <c r="M18" s="101">
        <v>3</v>
      </c>
      <c r="N18" s="272" t="str">
        <f t="shared" si="1"/>
        <v/>
      </c>
      <c r="O18" s="102" t="s">
        <v>48</v>
      </c>
      <c r="P18" s="101">
        <v>4</v>
      </c>
      <c r="Q18" s="272" t="str">
        <f t="shared" si="2"/>
        <v/>
      </c>
      <c r="R18" s="102" t="s">
        <v>48</v>
      </c>
      <c r="S18" s="101">
        <v>9</v>
      </c>
      <c r="T18" s="272" t="str">
        <f t="shared" si="3"/>
        <v/>
      </c>
      <c r="U18" s="102" t="s">
        <v>48</v>
      </c>
      <c r="V18" s="101">
        <v>5</v>
      </c>
      <c r="W18" s="272" t="str">
        <f t="shared" si="4"/>
        <v/>
      </c>
      <c r="X18" s="102" t="s">
        <v>20</v>
      </c>
      <c r="Y18" s="101">
        <v>3</v>
      </c>
      <c r="Z18" s="272" t="str">
        <f t="shared" si="5"/>
        <v/>
      </c>
      <c r="AA18" s="102" t="s">
        <v>48</v>
      </c>
      <c r="AB18" s="101">
        <v>4</v>
      </c>
      <c r="AC18" s="272" t="str">
        <f t="shared" si="6"/>
        <v/>
      </c>
      <c r="AD18" s="102" t="s">
        <v>48</v>
      </c>
      <c r="AE18" s="101">
        <v>11</v>
      </c>
      <c r="AF18" s="272" t="str">
        <f t="shared" si="7"/>
        <v/>
      </c>
      <c r="AG18" s="102"/>
      <c r="AH18" s="101"/>
      <c r="AI18" s="272" t="str">
        <f t="shared" si="8"/>
        <v/>
      </c>
      <c r="AJ18" s="102" t="s">
        <v>20</v>
      </c>
      <c r="AK18" s="101">
        <v>2</v>
      </c>
      <c r="AL18" s="272" t="str">
        <f t="shared" si="9"/>
        <v/>
      </c>
      <c r="AM18" s="102" t="s">
        <v>48</v>
      </c>
      <c r="AN18" s="101">
        <v>9</v>
      </c>
      <c r="AO18" s="273" t="str">
        <f t="shared" si="10"/>
        <v/>
      </c>
      <c r="AT18" s="103" t="str">
        <f>IF($B18="","",IF(AX18&lt;0,"V","H"))</f>
        <v>V</v>
      </c>
      <c r="AU18" s="101">
        <f ca="1">IF($B18="","",RANK(BA18,BA$4:BA$19,1))</f>
        <v>6</v>
      </c>
      <c r="AV18" s="273" t="str">
        <f t="shared" ca="1" si="13"/>
        <v/>
      </c>
      <c r="AX18" s="5">
        <f t="shared" si="14"/>
        <v>-43</v>
      </c>
      <c r="AY18" s="5">
        <f t="shared" si="17"/>
        <v>43</v>
      </c>
      <c r="AZ18" s="5">
        <f t="shared" si="15"/>
        <v>43</v>
      </c>
      <c r="BA18" s="5">
        <f t="shared" ca="1" si="16"/>
        <v>43</v>
      </c>
      <c r="BB18" s="5">
        <v>15</v>
      </c>
      <c r="BC18" s="5">
        <f ca="1">COUNTIF($AY$4:OFFSET($AY$4,0,0,BB18,1),AY18)</f>
        <v>1</v>
      </c>
      <c r="BY18" s="19" t="s">
        <v>158</v>
      </c>
    </row>
    <row r="19" spans="1:77" ht="18" customHeight="1" x14ac:dyDescent="0.2">
      <c r="B19" s="97" t="s">
        <v>126</v>
      </c>
      <c r="C19" s="98" t="s">
        <v>109</v>
      </c>
      <c r="D19" s="98" t="s">
        <v>115</v>
      </c>
      <c r="E19" s="99"/>
      <c r="F19" s="100"/>
      <c r="G19" s="101"/>
      <c r="H19" s="272" t="str">
        <f t="shared" si="18"/>
        <v/>
      </c>
      <c r="I19" s="102" t="s">
        <v>48</v>
      </c>
      <c r="J19" s="101">
        <v>1</v>
      </c>
      <c r="K19" s="272" t="str">
        <f t="shared" si="0"/>
        <v/>
      </c>
      <c r="L19" s="102" t="s">
        <v>20</v>
      </c>
      <c r="M19" s="101">
        <v>4</v>
      </c>
      <c r="N19" s="272" t="str">
        <f t="shared" si="1"/>
        <v/>
      </c>
      <c r="O19" s="102" t="s">
        <v>20</v>
      </c>
      <c r="P19" s="101">
        <v>9</v>
      </c>
      <c r="Q19" s="272" t="str">
        <f t="shared" si="2"/>
        <v/>
      </c>
      <c r="R19" s="102" t="s">
        <v>48</v>
      </c>
      <c r="S19" s="101">
        <v>6</v>
      </c>
      <c r="T19" s="272" t="str">
        <f t="shared" si="3"/>
        <v/>
      </c>
      <c r="U19" s="102" t="s">
        <v>48</v>
      </c>
      <c r="V19" s="101">
        <v>2</v>
      </c>
      <c r="W19" s="272" t="str">
        <f t="shared" si="4"/>
        <v/>
      </c>
      <c r="X19" s="102" t="s">
        <v>20</v>
      </c>
      <c r="Y19" s="101">
        <v>2</v>
      </c>
      <c r="Z19" s="272" t="str">
        <f t="shared" si="5"/>
        <v/>
      </c>
      <c r="AA19" s="102" t="s">
        <v>20</v>
      </c>
      <c r="AB19" s="101">
        <v>13</v>
      </c>
      <c r="AC19" s="272" t="str">
        <f t="shared" si="6"/>
        <v/>
      </c>
      <c r="AD19" s="102" t="s">
        <v>48</v>
      </c>
      <c r="AE19" s="101">
        <v>15</v>
      </c>
      <c r="AF19" s="272" t="str">
        <f t="shared" si="7"/>
        <v/>
      </c>
      <c r="AG19" s="102"/>
      <c r="AH19" s="101"/>
      <c r="AI19" s="272" t="str">
        <f t="shared" si="8"/>
        <v/>
      </c>
      <c r="AJ19" s="102" t="s">
        <v>20</v>
      </c>
      <c r="AK19" s="101">
        <v>4</v>
      </c>
      <c r="AL19" s="272" t="str">
        <f t="shared" si="9"/>
        <v/>
      </c>
      <c r="AM19" s="102" t="s">
        <v>48</v>
      </c>
      <c r="AN19" s="101">
        <v>3</v>
      </c>
      <c r="AO19" s="273" t="str">
        <f t="shared" si="10"/>
        <v/>
      </c>
      <c r="AT19" s="103" t="str">
        <f>IF($B19="","",IF(AX19&lt;0,"V","H"))</f>
        <v>H</v>
      </c>
      <c r="AU19" s="101">
        <f ca="1">IF($B19="","",RANK(BA19,BA$4:BA$19,1))</f>
        <v>2</v>
      </c>
      <c r="AV19" s="273" t="str">
        <f t="shared" ca="1" si="13"/>
        <v/>
      </c>
      <c r="AX19" s="5">
        <f t="shared" si="14"/>
        <v>5</v>
      </c>
      <c r="AY19" s="5">
        <f t="shared" si="17"/>
        <v>5</v>
      </c>
      <c r="AZ19" s="5">
        <f t="shared" ca="1" si="15"/>
        <v>5</v>
      </c>
      <c r="BA19" s="5">
        <f t="shared" ca="1" si="16"/>
        <v>5</v>
      </c>
      <c r="BB19" s="5">
        <v>16</v>
      </c>
      <c r="BC19" s="5">
        <f ca="1">COUNTIF($AY$4:OFFSET($AY$4,0,0,BB19,1),AY19)</f>
        <v>1</v>
      </c>
      <c r="BY19" s="19" t="s">
        <v>159</v>
      </c>
    </row>
    <row r="20" spans="1:77" ht="18" customHeight="1" x14ac:dyDescent="0.2">
      <c r="B20" s="130"/>
      <c r="C20" s="131"/>
      <c r="D20" s="131"/>
      <c r="E20" s="132" t="s">
        <v>71</v>
      </c>
      <c r="F20" s="133" t="s">
        <v>160</v>
      </c>
      <c r="G20" s="134"/>
      <c r="H20" s="274"/>
      <c r="I20" s="135" t="s">
        <v>141</v>
      </c>
      <c r="J20" s="134">
        <v>43</v>
      </c>
      <c r="K20" s="274"/>
      <c r="L20" s="135" t="s">
        <v>141</v>
      </c>
      <c r="M20" s="134">
        <v>42</v>
      </c>
      <c r="N20" s="274"/>
      <c r="O20" s="135" t="s">
        <v>141</v>
      </c>
      <c r="P20" s="134">
        <v>42</v>
      </c>
      <c r="Q20" s="274"/>
      <c r="R20" s="135" t="s">
        <v>141</v>
      </c>
      <c r="S20" s="134">
        <v>34</v>
      </c>
      <c r="T20" s="274"/>
      <c r="U20" s="135" t="s">
        <v>141</v>
      </c>
      <c r="V20" s="134">
        <v>45</v>
      </c>
      <c r="W20" s="274"/>
      <c r="X20" s="135" t="s">
        <v>141</v>
      </c>
      <c r="Y20" s="134">
        <v>38</v>
      </c>
      <c r="Z20" s="274"/>
      <c r="AA20" s="135" t="s">
        <v>141</v>
      </c>
      <c r="AB20" s="134">
        <v>43</v>
      </c>
      <c r="AC20" s="274"/>
      <c r="AD20" s="135" t="s">
        <v>141</v>
      </c>
      <c r="AE20" s="134">
        <v>44</v>
      </c>
      <c r="AF20" s="274"/>
      <c r="AG20" s="135" t="s">
        <v>160</v>
      </c>
      <c r="AH20" s="134"/>
      <c r="AI20" s="274"/>
      <c r="AJ20" s="135" t="s">
        <v>141</v>
      </c>
      <c r="AK20" s="134">
        <v>44</v>
      </c>
      <c r="AL20" s="274"/>
      <c r="AM20" s="135" t="s">
        <v>141</v>
      </c>
      <c r="AN20" s="134">
        <v>38</v>
      </c>
      <c r="AO20" s="275"/>
      <c r="AT20" s="136"/>
      <c r="AU20" s="134"/>
      <c r="AV20" s="275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Y20" s="19" t="s">
        <v>161</v>
      </c>
    </row>
    <row r="21" spans="1:77" s="20" customFormat="1" ht="21" customHeight="1" thickBot="1" x14ac:dyDescent="0.25">
      <c r="A21" s="3"/>
      <c r="B21" s="21"/>
      <c r="C21" s="22"/>
      <c r="D21" s="22"/>
      <c r="E21" s="23" t="s">
        <v>21</v>
      </c>
      <c r="F21" s="137"/>
      <c r="G21" s="138">
        <f>RANK(H21,$H34:$AO34,0)+G52</f>
        <v>11</v>
      </c>
      <c r="H21" s="139">
        <f>IF(SUM(G4:G19)&gt;0,SUM(H4:H19)+$F$31,0)</f>
        <v>0</v>
      </c>
      <c r="I21" s="140"/>
      <c r="J21" s="138">
        <f>RANK(K21,$H34:$AO34,0)+J52</f>
        <v>1</v>
      </c>
      <c r="K21" s="139">
        <f>IF(SUM(J4:J19)&gt;0,SUM(K4:K19)+$F$31,0)</f>
        <v>136</v>
      </c>
      <c r="L21" s="140"/>
      <c r="M21" s="138">
        <f>RANK(N21,$H34:$AO34,0)+M52</f>
        <v>1</v>
      </c>
      <c r="N21" s="139">
        <f>IF(SUM(M4:M19)&gt;0,SUM(N4:N19)+$F$31,0)</f>
        <v>136</v>
      </c>
      <c r="O21" s="140"/>
      <c r="P21" s="138">
        <f>RANK(Q21,$H34:$AO34,0)+P52</f>
        <v>1</v>
      </c>
      <c r="Q21" s="139">
        <f>IF(SUM(P4:P19)&gt;0,SUM(Q4:Q19)+$F$31,0)</f>
        <v>136</v>
      </c>
      <c r="R21" s="140"/>
      <c r="S21" s="138">
        <f>RANK(T21,$H34:$AO34,0)+S52</f>
        <v>1</v>
      </c>
      <c r="T21" s="139">
        <f>IF(SUM(S4:S19)&gt;0,SUM(T4:T19)+$F$31,0)</f>
        <v>136</v>
      </c>
      <c r="U21" s="140"/>
      <c r="V21" s="138">
        <f>RANK(W21,$H34:$AO34,0)+V52</f>
        <v>1</v>
      </c>
      <c r="W21" s="139">
        <f>IF(SUM(V4:V19)&gt;0,SUM(W4:W19)+$F$31,0)</f>
        <v>136</v>
      </c>
      <c r="X21" s="140"/>
      <c r="Y21" s="138">
        <f>RANK(Z21,$H34:$AO34,0)+Y52</f>
        <v>1</v>
      </c>
      <c r="Z21" s="139">
        <f>IF(SUM(Y4:Y19)&gt;0,SUM(Z4:Z19)+$F$31,0)</f>
        <v>136</v>
      </c>
      <c r="AA21" s="140"/>
      <c r="AB21" s="138">
        <f>RANK(AC21,$H34:$AO34,0)+AB52</f>
        <v>1</v>
      </c>
      <c r="AC21" s="139">
        <f>IF(SUM(AB4:AB19)&gt;0,SUM(AC4:AC19)+$F$31,0)</f>
        <v>136</v>
      </c>
      <c r="AD21" s="140"/>
      <c r="AE21" s="138">
        <f>RANK(AF21,$H34:$AO34,0)+AE52</f>
        <v>1</v>
      </c>
      <c r="AF21" s="139">
        <f>IF(SUM(AE4:AE19)&gt;0,SUM(AF4:AF19)+$F$31,0)</f>
        <v>136</v>
      </c>
      <c r="AG21" s="140"/>
      <c r="AH21" s="138">
        <f>RANK(AI21,$H34:$AO34,0)+AH52</f>
        <v>11</v>
      </c>
      <c r="AI21" s="139">
        <f>IF(SUM(AH4:AH19)&gt;0,SUM(AI4:AI19)+$F$31,0)</f>
        <v>0</v>
      </c>
      <c r="AJ21" s="140"/>
      <c r="AK21" s="138">
        <f>RANK(AL21,$H34:$AO34,0)+AK52</f>
        <v>1</v>
      </c>
      <c r="AL21" s="139">
        <f>IF(SUM(AK4:AK19)&gt;0,SUM(AL4:AL19)+$F$31,0)</f>
        <v>136</v>
      </c>
      <c r="AM21" s="140"/>
      <c r="AN21" s="138">
        <f>RANK(AO21,$H34:$AO34,0)+AN52</f>
        <v>1</v>
      </c>
      <c r="AO21" s="141">
        <f>IF(SUM(AN4:AN19)&gt;0,SUM(AO4:AO19)+$F$31,0)</f>
        <v>136</v>
      </c>
      <c r="AP21" s="3"/>
      <c r="AT21" s="142"/>
      <c r="AU21" s="143">
        <f ca="1">RANK(AV34,$H34:$AV34,0)</f>
        <v>1</v>
      </c>
      <c r="AV21" s="144">
        <f ca="1">IF(SUM(AU4:AU19)&gt;0,SUM(AV4:AV19)+$F$31,0)</f>
        <v>136</v>
      </c>
      <c r="AW21" s="3"/>
      <c r="AX21" s="24"/>
      <c r="AY21" s="24"/>
      <c r="BE21" s="25"/>
      <c r="BG21" s="25"/>
      <c r="BH21" s="25"/>
      <c r="BI21" s="25"/>
      <c r="BJ21" s="25"/>
      <c r="BK21" s="25"/>
      <c r="BL21" s="25"/>
      <c r="BM21" s="25"/>
      <c r="BN21" s="25"/>
      <c r="BO21" s="8"/>
      <c r="BP21" s="8"/>
      <c r="BQ21" s="8"/>
      <c r="BR21" s="8"/>
      <c r="BS21" s="8"/>
      <c r="BT21" s="8"/>
      <c r="BU21" s="8"/>
      <c r="BV21" s="8"/>
      <c r="BW21" s="8"/>
      <c r="BY21" s="19" t="s">
        <v>162</v>
      </c>
    </row>
    <row r="22" spans="1:77" s="25" customFormat="1" ht="21" customHeight="1" x14ac:dyDescent="0.2">
      <c r="A22" s="3"/>
      <c r="B22" s="276"/>
      <c r="C22" s="277"/>
      <c r="D22" s="277"/>
      <c r="E22" s="278" t="s">
        <v>22</v>
      </c>
      <c r="F22" s="279"/>
      <c r="G22" s="280">
        <v>6</v>
      </c>
      <c r="H22" s="281">
        <v>90</v>
      </c>
      <c r="I22" s="282"/>
      <c r="J22" s="280">
        <v>9</v>
      </c>
      <c r="K22" s="281">
        <v>83</v>
      </c>
      <c r="L22" s="282"/>
      <c r="M22" s="280">
        <v>6</v>
      </c>
      <c r="N22" s="281">
        <v>90</v>
      </c>
      <c r="O22" s="282"/>
      <c r="P22" s="280">
        <v>12</v>
      </c>
      <c r="Q22" s="281">
        <v>72</v>
      </c>
      <c r="R22" s="282"/>
      <c r="S22" s="280">
        <v>3</v>
      </c>
      <c r="T22" s="281">
        <v>102</v>
      </c>
      <c r="U22" s="282"/>
      <c r="V22" s="280">
        <v>11</v>
      </c>
      <c r="W22" s="281">
        <v>74</v>
      </c>
      <c r="X22" s="282"/>
      <c r="Y22" s="280">
        <v>2</v>
      </c>
      <c r="Z22" s="281">
        <v>106</v>
      </c>
      <c r="AA22" s="282"/>
      <c r="AB22" s="280">
        <v>10</v>
      </c>
      <c r="AC22" s="281">
        <v>81</v>
      </c>
      <c r="AD22" s="282"/>
      <c r="AE22" s="280">
        <v>4</v>
      </c>
      <c r="AF22" s="281">
        <v>100</v>
      </c>
      <c r="AG22" s="282"/>
      <c r="AH22" s="280">
        <v>5</v>
      </c>
      <c r="AI22" s="281">
        <v>91</v>
      </c>
      <c r="AJ22" s="282"/>
      <c r="AK22" s="280">
        <v>8</v>
      </c>
      <c r="AL22" s="281">
        <v>84</v>
      </c>
      <c r="AM22" s="282"/>
      <c r="AN22" s="280">
        <v>1</v>
      </c>
      <c r="AO22" s="283">
        <v>119</v>
      </c>
      <c r="AP22" s="3"/>
      <c r="AU22" s="24"/>
      <c r="AW22" s="3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8"/>
      <c r="BP22" s="8"/>
      <c r="BQ22" s="8"/>
      <c r="BR22" s="8"/>
      <c r="BS22" s="8"/>
      <c r="BT22" s="8"/>
      <c r="BU22" s="8"/>
      <c r="BV22" s="8"/>
      <c r="BW22" s="8"/>
      <c r="BY22" s="19" t="s">
        <v>163</v>
      </c>
    </row>
    <row r="23" spans="1:77" s="20" customFormat="1" ht="21" customHeight="1" x14ac:dyDescent="0.2">
      <c r="A23" s="3"/>
      <c r="B23" s="284"/>
      <c r="C23" s="285"/>
      <c r="D23" s="285"/>
      <c r="E23" s="286" t="s">
        <v>23</v>
      </c>
      <c r="F23" s="287"/>
      <c r="G23" s="288"/>
      <c r="H23" s="289">
        <v>90</v>
      </c>
      <c r="I23" s="290"/>
      <c r="J23" s="288"/>
      <c r="K23" s="289">
        <v>83</v>
      </c>
      <c r="L23" s="290"/>
      <c r="M23" s="288"/>
      <c r="N23" s="289">
        <v>90</v>
      </c>
      <c r="O23" s="290"/>
      <c r="P23" s="288"/>
      <c r="Q23" s="289">
        <v>72</v>
      </c>
      <c r="R23" s="290"/>
      <c r="S23" s="288"/>
      <c r="T23" s="289">
        <v>102</v>
      </c>
      <c r="U23" s="290"/>
      <c r="V23" s="288"/>
      <c r="W23" s="289">
        <v>74</v>
      </c>
      <c r="X23" s="290"/>
      <c r="Y23" s="288"/>
      <c r="Z23" s="289">
        <v>106</v>
      </c>
      <c r="AA23" s="290"/>
      <c r="AB23" s="288"/>
      <c r="AC23" s="289">
        <v>81</v>
      </c>
      <c r="AD23" s="290"/>
      <c r="AE23" s="288"/>
      <c r="AF23" s="289">
        <v>100</v>
      </c>
      <c r="AG23" s="290"/>
      <c r="AH23" s="288"/>
      <c r="AI23" s="289">
        <v>91</v>
      </c>
      <c r="AJ23" s="290"/>
      <c r="AK23" s="288"/>
      <c r="AL23" s="289">
        <v>84</v>
      </c>
      <c r="AM23" s="290"/>
      <c r="AN23" s="288"/>
      <c r="AO23" s="291">
        <v>119</v>
      </c>
      <c r="AP23" s="3"/>
      <c r="AU23" s="24"/>
      <c r="AW23" s="3"/>
      <c r="BO23" s="8"/>
      <c r="BP23" s="8"/>
      <c r="BQ23" s="8"/>
      <c r="BR23" s="8"/>
      <c r="BS23" s="8"/>
      <c r="BT23" s="8"/>
      <c r="BU23" s="8"/>
      <c r="BV23" s="8"/>
      <c r="BW23" s="8"/>
      <c r="BY23" s="19" t="s">
        <v>164</v>
      </c>
    </row>
    <row r="24" spans="1:77" s="20" customFormat="1" ht="21" customHeight="1" x14ac:dyDescent="0.2">
      <c r="A24" s="3"/>
      <c r="B24" s="284"/>
      <c r="C24" s="285"/>
      <c r="D24" s="285"/>
      <c r="E24" s="286" t="s">
        <v>24</v>
      </c>
      <c r="F24" s="287"/>
      <c r="G24" s="288"/>
      <c r="H24" s="289" t="s">
        <v>0</v>
      </c>
      <c r="I24" s="290"/>
      <c r="J24" s="288"/>
      <c r="K24" s="289" t="s">
        <v>0</v>
      </c>
      <c r="L24" s="290"/>
      <c r="M24" s="288"/>
      <c r="N24" s="289" t="s">
        <v>0</v>
      </c>
      <c r="O24" s="290"/>
      <c r="P24" s="288"/>
      <c r="Q24" s="289" t="s">
        <v>0</v>
      </c>
      <c r="R24" s="290"/>
      <c r="S24" s="288"/>
      <c r="T24" s="289" t="s">
        <v>0</v>
      </c>
      <c r="U24" s="290"/>
      <c r="V24" s="288"/>
      <c r="W24" s="289" t="s">
        <v>0</v>
      </c>
      <c r="X24" s="290"/>
      <c r="Y24" s="288"/>
      <c r="Z24" s="289" t="s">
        <v>0</v>
      </c>
      <c r="AA24" s="290"/>
      <c r="AB24" s="288"/>
      <c r="AC24" s="289" t="s">
        <v>0</v>
      </c>
      <c r="AD24" s="290"/>
      <c r="AE24" s="288"/>
      <c r="AF24" s="289" t="s">
        <v>0</v>
      </c>
      <c r="AG24" s="290"/>
      <c r="AH24" s="288"/>
      <c r="AI24" s="289" t="s">
        <v>0</v>
      </c>
      <c r="AJ24" s="290"/>
      <c r="AK24" s="288"/>
      <c r="AL24" s="289" t="s">
        <v>0</v>
      </c>
      <c r="AM24" s="290"/>
      <c r="AN24" s="288"/>
      <c r="AO24" s="291" t="s">
        <v>0</v>
      </c>
      <c r="AP24" s="3"/>
      <c r="AW24" s="3"/>
      <c r="BO24" s="8"/>
      <c r="BP24" s="8"/>
      <c r="BQ24" s="8"/>
      <c r="BR24" s="8"/>
      <c r="BS24" s="8"/>
      <c r="BT24" s="8"/>
      <c r="BU24" s="8"/>
      <c r="BV24" s="8"/>
      <c r="BW24" s="8"/>
      <c r="BY24" s="19" t="s">
        <v>165</v>
      </c>
    </row>
    <row r="25" spans="1:77" s="20" customFormat="1" ht="21" customHeight="1" x14ac:dyDescent="0.2">
      <c r="A25" s="3"/>
      <c r="B25" s="284"/>
      <c r="C25" s="285"/>
      <c r="D25" s="285"/>
      <c r="E25" s="286" t="s">
        <v>25</v>
      </c>
      <c r="F25" s="287"/>
      <c r="G25" s="292">
        <v>0</v>
      </c>
      <c r="H25" s="289">
        <v>0</v>
      </c>
      <c r="I25" s="290"/>
      <c r="J25" s="292">
        <v>0</v>
      </c>
      <c r="K25" s="289">
        <v>0</v>
      </c>
      <c r="L25" s="290"/>
      <c r="M25" s="292">
        <v>0</v>
      </c>
      <c r="N25" s="289">
        <v>0</v>
      </c>
      <c r="O25" s="290"/>
      <c r="P25" s="292">
        <v>0</v>
      </c>
      <c r="Q25" s="289">
        <v>0</v>
      </c>
      <c r="R25" s="290"/>
      <c r="S25" s="292">
        <v>0</v>
      </c>
      <c r="T25" s="289">
        <v>0</v>
      </c>
      <c r="U25" s="290"/>
      <c r="V25" s="292">
        <v>0</v>
      </c>
      <c r="W25" s="289">
        <v>0</v>
      </c>
      <c r="X25" s="290"/>
      <c r="Y25" s="292">
        <v>0</v>
      </c>
      <c r="Z25" s="289">
        <v>0</v>
      </c>
      <c r="AA25" s="290"/>
      <c r="AB25" s="292">
        <v>0</v>
      </c>
      <c r="AC25" s="289">
        <v>0</v>
      </c>
      <c r="AD25" s="290"/>
      <c r="AE25" s="292">
        <v>0</v>
      </c>
      <c r="AF25" s="289">
        <v>0</v>
      </c>
      <c r="AG25" s="290"/>
      <c r="AH25" s="292">
        <v>0</v>
      </c>
      <c r="AI25" s="289">
        <v>0</v>
      </c>
      <c r="AJ25" s="290"/>
      <c r="AK25" s="292">
        <v>0</v>
      </c>
      <c r="AL25" s="289">
        <v>0</v>
      </c>
      <c r="AM25" s="290"/>
      <c r="AN25" s="292">
        <v>0</v>
      </c>
      <c r="AO25" s="291">
        <v>0</v>
      </c>
      <c r="AP25" s="3"/>
      <c r="AW25" s="3"/>
      <c r="BO25" s="8"/>
      <c r="BP25" s="8"/>
      <c r="BQ25" s="8"/>
      <c r="BR25" s="8"/>
      <c r="BS25" s="8"/>
      <c r="BT25" s="8"/>
      <c r="BU25" s="8"/>
      <c r="BV25" s="8"/>
      <c r="BW25" s="8"/>
      <c r="BY25" s="19" t="s">
        <v>166</v>
      </c>
    </row>
    <row r="26" spans="1:77" s="20" customFormat="1" ht="21" customHeight="1" thickBot="1" x14ac:dyDescent="0.25">
      <c r="A26" s="3"/>
      <c r="B26" s="293"/>
      <c r="C26" s="294"/>
      <c r="D26" s="294"/>
      <c r="E26" s="295" t="s">
        <v>26</v>
      </c>
      <c r="F26" s="296"/>
      <c r="G26" s="297">
        <v>0.625</v>
      </c>
      <c r="H26" s="298">
        <v>10</v>
      </c>
      <c r="I26" s="299"/>
      <c r="J26" s="297">
        <v>0.625</v>
      </c>
      <c r="K26" s="298">
        <v>10</v>
      </c>
      <c r="L26" s="299"/>
      <c r="M26" s="297">
        <v>0.5625</v>
      </c>
      <c r="N26" s="298">
        <v>9</v>
      </c>
      <c r="O26" s="299"/>
      <c r="P26" s="297">
        <v>0.5625</v>
      </c>
      <c r="Q26" s="298">
        <v>9</v>
      </c>
      <c r="R26" s="299"/>
      <c r="S26" s="297">
        <v>0.6875</v>
      </c>
      <c r="T26" s="298">
        <v>11</v>
      </c>
      <c r="U26" s="299"/>
      <c r="V26" s="297">
        <v>0.5</v>
      </c>
      <c r="W26" s="298">
        <v>8</v>
      </c>
      <c r="X26" s="299"/>
      <c r="Y26" s="297">
        <v>0.75</v>
      </c>
      <c r="Z26" s="298">
        <v>12</v>
      </c>
      <c r="AA26" s="299"/>
      <c r="AB26" s="297">
        <v>0.5625</v>
      </c>
      <c r="AC26" s="298">
        <v>9</v>
      </c>
      <c r="AD26" s="299"/>
      <c r="AE26" s="297">
        <v>0.6875</v>
      </c>
      <c r="AF26" s="298">
        <v>11</v>
      </c>
      <c r="AG26" s="299"/>
      <c r="AH26" s="297">
        <v>0.625</v>
      </c>
      <c r="AI26" s="298">
        <v>10</v>
      </c>
      <c r="AJ26" s="299"/>
      <c r="AK26" s="297">
        <v>0.5</v>
      </c>
      <c r="AL26" s="298">
        <v>8</v>
      </c>
      <c r="AM26" s="299"/>
      <c r="AN26" s="297">
        <v>0.6875</v>
      </c>
      <c r="AO26" s="300">
        <v>11</v>
      </c>
      <c r="AP26" s="3"/>
      <c r="AW26" s="3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8"/>
      <c r="BP26" s="8"/>
      <c r="BQ26" s="8"/>
      <c r="BR26" s="8"/>
      <c r="BS26" s="8"/>
      <c r="BT26" s="8"/>
      <c r="BU26" s="8"/>
      <c r="BV26" s="8"/>
      <c r="BW26" s="8"/>
      <c r="BY26" s="19" t="s">
        <v>167</v>
      </c>
    </row>
    <row r="27" spans="1:77" s="10" customFormat="1" ht="21" customHeight="1" thickBot="1" x14ac:dyDescent="0.25">
      <c r="A27" s="3"/>
      <c r="B27" s="301" t="s">
        <v>27</v>
      </c>
      <c r="C27" s="302"/>
      <c r="D27" s="302"/>
      <c r="E27" s="302"/>
      <c r="F27" s="302"/>
      <c r="G27" s="303"/>
      <c r="H27" s="302"/>
      <c r="I27" s="302"/>
      <c r="J27" s="302"/>
      <c r="K27" s="303"/>
      <c r="L27" s="303"/>
      <c r="M27" s="302"/>
      <c r="N27" s="302"/>
      <c r="O27" s="304" t="s">
        <v>28</v>
      </c>
      <c r="P27" s="305">
        <v>16</v>
      </c>
      <c r="Q27" s="302"/>
      <c r="R27" s="302"/>
      <c r="S27" s="302"/>
      <c r="T27" s="302"/>
      <c r="U27" s="302"/>
      <c r="V27" s="302"/>
      <c r="W27" s="302"/>
      <c r="X27" s="304" t="s">
        <v>29</v>
      </c>
      <c r="Y27" s="306">
        <v>3</v>
      </c>
      <c r="Z27" s="302"/>
      <c r="AA27" s="304"/>
      <c r="AB27" s="305"/>
      <c r="AC27" s="302"/>
      <c r="AD27" s="304"/>
      <c r="AE27" s="305"/>
      <c r="AF27" s="302"/>
      <c r="AG27" s="304" t="s">
        <v>30</v>
      </c>
      <c r="AH27" s="306">
        <v>2</v>
      </c>
      <c r="AI27" s="302"/>
      <c r="AJ27" s="304"/>
      <c r="AK27" s="305"/>
      <c r="AL27" s="302"/>
      <c r="AM27" s="302"/>
      <c r="AN27" s="302"/>
      <c r="AO27" s="307" t="s">
        <v>85</v>
      </c>
      <c r="AP27" s="3"/>
      <c r="AW27" s="3"/>
      <c r="BO27" s="8"/>
      <c r="BP27" s="8"/>
      <c r="BQ27" s="8"/>
      <c r="BR27" s="8"/>
      <c r="BS27" s="8"/>
      <c r="BT27" s="8"/>
      <c r="BU27" s="8"/>
      <c r="BV27" s="8"/>
      <c r="BW27" s="8"/>
      <c r="BY27" s="19" t="s">
        <v>168</v>
      </c>
    </row>
    <row r="28" spans="1:77" s="10" customFormat="1" ht="21" customHeight="1" thickTop="1" x14ac:dyDescent="0.2">
      <c r="A28" s="3"/>
      <c r="B28" s="26"/>
      <c r="C28" s="27"/>
      <c r="D28" s="27"/>
      <c r="E28" s="27"/>
      <c r="F28" s="27"/>
      <c r="G28" s="28"/>
      <c r="H28" s="27"/>
      <c r="I28" s="27"/>
      <c r="J28" s="27"/>
      <c r="K28" s="29"/>
      <c r="L28" s="30"/>
      <c r="M28" s="27"/>
      <c r="N28" s="27"/>
      <c r="O28" s="27"/>
      <c r="P28" s="27"/>
      <c r="Q28" s="29"/>
      <c r="R28" s="31"/>
      <c r="S28" s="27"/>
      <c r="T28" s="27"/>
      <c r="U28" s="27"/>
      <c r="V28" s="27"/>
      <c r="W28" s="27"/>
      <c r="X28" s="29"/>
      <c r="Y28" s="31"/>
      <c r="Z28" s="27"/>
      <c r="AA28" s="29"/>
      <c r="AB28" s="30"/>
      <c r="AC28" s="27"/>
      <c r="AD28" s="29"/>
      <c r="AE28" s="30"/>
      <c r="AF28" s="27"/>
      <c r="AG28" s="29"/>
      <c r="AH28" s="30"/>
      <c r="AI28" s="27"/>
      <c r="AJ28" s="29"/>
      <c r="AK28" s="30"/>
      <c r="AL28" s="27"/>
      <c r="AM28" s="27"/>
      <c r="AN28" s="27"/>
      <c r="AO28" s="27"/>
      <c r="AP28" s="3"/>
      <c r="AW28" s="3"/>
      <c r="BO28" s="8"/>
      <c r="BP28" s="8"/>
      <c r="BQ28" s="8"/>
      <c r="BR28" s="8"/>
      <c r="BS28" s="8"/>
      <c r="BT28" s="8"/>
      <c r="BU28" s="8"/>
      <c r="BV28" s="8"/>
      <c r="BW28" s="8"/>
      <c r="BY28" s="19" t="s">
        <v>169</v>
      </c>
    </row>
    <row r="29" spans="1:77" s="10" customFormat="1" ht="21" customHeight="1" x14ac:dyDescent="0.2">
      <c r="A29" s="3"/>
      <c r="B29" s="32" t="s">
        <v>31</v>
      </c>
      <c r="C29" s="26" t="s">
        <v>92</v>
      </c>
      <c r="D29" s="26"/>
      <c r="E29" s="27"/>
      <c r="F29" s="27"/>
      <c r="G29" s="28"/>
      <c r="H29" s="27"/>
      <c r="I29" s="27"/>
      <c r="J29" s="27"/>
      <c r="K29" s="29"/>
      <c r="L29" s="30"/>
      <c r="M29" s="27"/>
      <c r="N29" s="27"/>
      <c r="O29" s="27"/>
      <c r="P29" s="27"/>
      <c r="Q29" s="29"/>
      <c r="R29" s="31"/>
      <c r="S29" s="27"/>
      <c r="T29" s="27"/>
      <c r="U29" s="27"/>
      <c r="V29" s="27"/>
      <c r="W29" s="27"/>
      <c r="X29" s="29"/>
      <c r="Y29" s="31"/>
      <c r="Z29" s="27"/>
      <c r="AA29" s="29"/>
      <c r="AB29" s="30"/>
      <c r="AC29" s="27"/>
      <c r="AD29" s="29"/>
      <c r="AE29" s="30"/>
      <c r="AF29" s="27"/>
      <c r="AG29" s="29"/>
      <c r="AH29" s="30"/>
      <c r="AI29" s="27"/>
      <c r="AJ29" s="29"/>
      <c r="AK29" s="30"/>
      <c r="AL29" s="27"/>
      <c r="AM29" s="27"/>
      <c r="AN29" s="27"/>
      <c r="AO29" s="27"/>
      <c r="AP29" s="3"/>
      <c r="AW29" s="3"/>
      <c r="BO29" s="8"/>
      <c r="BP29" s="8"/>
      <c r="BQ29" s="8"/>
      <c r="BR29" s="8"/>
      <c r="BS29" s="8"/>
      <c r="BT29" s="8"/>
      <c r="BU29" s="8"/>
      <c r="BV29" s="8"/>
      <c r="BW29" s="8"/>
      <c r="BY29" s="19" t="s">
        <v>170</v>
      </c>
    </row>
    <row r="30" spans="1:77" s="10" customFormat="1" ht="21" customHeight="1" x14ac:dyDescent="0.2">
      <c r="A30" s="3"/>
      <c r="B30" s="26"/>
      <c r="C30" s="27"/>
      <c r="D30" s="27"/>
      <c r="E30" s="27"/>
      <c r="F30" s="27"/>
      <c r="G30" s="28"/>
      <c r="H30" s="27"/>
      <c r="I30" s="27"/>
      <c r="J30" s="27"/>
      <c r="K30" s="29"/>
      <c r="L30" s="30"/>
      <c r="M30" s="27"/>
      <c r="N30" s="27"/>
      <c r="O30" s="27"/>
      <c r="P30" s="27"/>
      <c r="Q30" s="29"/>
      <c r="R30" s="31"/>
      <c r="S30" s="27"/>
      <c r="T30" s="27"/>
      <c r="U30" s="27"/>
      <c r="V30" s="27"/>
      <c r="W30" s="27"/>
      <c r="X30" s="29"/>
      <c r="Y30" s="31"/>
      <c r="Z30" s="27"/>
      <c r="AA30" s="29"/>
      <c r="AB30" s="30"/>
      <c r="AC30" s="27"/>
      <c r="AD30" s="29"/>
      <c r="AE30" s="30"/>
      <c r="AF30" s="27"/>
      <c r="AG30" s="29"/>
      <c r="AH30" s="30"/>
      <c r="AI30" s="27"/>
      <c r="AJ30" s="29"/>
      <c r="AK30" s="30"/>
      <c r="AL30" s="27"/>
      <c r="AM30" s="27"/>
      <c r="AN30" s="27"/>
      <c r="AO30" s="27"/>
      <c r="AP30" s="3"/>
      <c r="AW30" s="3"/>
      <c r="BO30" s="8"/>
      <c r="BP30" s="8"/>
      <c r="BQ30" s="8"/>
      <c r="BR30" s="8"/>
      <c r="BS30" s="8"/>
      <c r="BT30" s="8"/>
      <c r="BU30" s="8"/>
      <c r="BV30" s="8"/>
      <c r="BW30" s="8"/>
      <c r="BY30" s="19" t="s">
        <v>171</v>
      </c>
    </row>
    <row r="31" spans="1:77" s="10" customFormat="1" ht="21" customHeight="1" x14ac:dyDescent="0.2">
      <c r="A31" s="3"/>
      <c r="B31" s="26"/>
      <c r="C31" s="27"/>
      <c r="D31" s="27"/>
      <c r="E31" s="33" t="s">
        <v>32</v>
      </c>
      <c r="F31" s="33">
        <v>136</v>
      </c>
      <c r="G31" s="28"/>
      <c r="H31" s="27"/>
      <c r="I31" s="27"/>
      <c r="J31" s="27"/>
      <c r="K31" s="29"/>
      <c r="L31" s="30"/>
      <c r="M31" s="27"/>
      <c r="N31" s="27"/>
      <c r="O31" s="27"/>
      <c r="P31" s="27"/>
      <c r="Q31" s="29"/>
      <c r="R31" s="31"/>
      <c r="S31" s="27"/>
      <c r="T31" s="27"/>
      <c r="U31" s="27"/>
      <c r="V31" s="27"/>
      <c r="W31" s="27"/>
      <c r="X31" s="29"/>
      <c r="Y31" s="31"/>
      <c r="Z31" s="27"/>
      <c r="AA31" s="29"/>
      <c r="AB31" s="30"/>
      <c r="AC31" s="27"/>
      <c r="AD31" s="29"/>
      <c r="AE31" s="30"/>
      <c r="AF31" s="27"/>
      <c r="AG31" s="29"/>
      <c r="AH31" s="30"/>
      <c r="AI31" s="27"/>
      <c r="AJ31" s="29"/>
      <c r="AK31" s="30"/>
      <c r="AL31" s="27"/>
      <c r="AM31" s="27"/>
      <c r="AN31" s="27"/>
      <c r="AO31" s="27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8"/>
      <c r="BP31" s="8"/>
      <c r="BQ31" s="8"/>
      <c r="BR31" s="8"/>
      <c r="BS31" s="8"/>
      <c r="BT31" s="8"/>
      <c r="BU31" s="8"/>
      <c r="BV31" s="8"/>
      <c r="BW31" s="8"/>
      <c r="BY31" s="19"/>
    </row>
    <row r="32" spans="1:77" ht="12.95" customHeight="1" x14ac:dyDescent="0.2">
      <c r="D32" s="3"/>
      <c r="E32" s="34" t="s">
        <v>33</v>
      </c>
      <c r="F32" s="3"/>
      <c r="G32" s="35">
        <f>SUM(G4:G19)</f>
        <v>0</v>
      </c>
      <c r="H32" s="36"/>
      <c r="I32" s="36"/>
      <c r="J32" s="35">
        <f>SUM(J4:J19)</f>
        <v>136</v>
      </c>
      <c r="K32" s="36"/>
      <c r="L32" s="36"/>
      <c r="M32" s="35">
        <f>SUM(M4:M19)</f>
        <v>136</v>
      </c>
      <c r="P32" s="35">
        <f>SUM(P4:P19)</f>
        <v>136</v>
      </c>
      <c r="S32" s="35">
        <f>SUM(S4:S19)</f>
        <v>136</v>
      </c>
      <c r="V32" s="35">
        <f>SUM(V4:V19)</f>
        <v>136</v>
      </c>
      <c r="Y32" s="35">
        <f>SUM(Y4:Y19)</f>
        <v>136</v>
      </c>
      <c r="AB32" s="35">
        <f>SUM(AB4:AB19)</f>
        <v>136</v>
      </c>
      <c r="AE32" s="35">
        <f>SUM(AE4:AE19)</f>
        <v>136</v>
      </c>
      <c r="AH32" s="35">
        <f>SUM(AH4:AH19)</f>
        <v>0</v>
      </c>
      <c r="AK32" s="35">
        <f>SUM(AK4:AK19)</f>
        <v>136</v>
      </c>
      <c r="AN32" s="35">
        <f>SUM(AN4:AN19)</f>
        <v>136</v>
      </c>
      <c r="AU32" s="35">
        <f ca="1">SUM(AU4:AU19)</f>
        <v>136</v>
      </c>
      <c r="BY32" s="19"/>
    </row>
    <row r="33" spans="4:77" ht="12.95" customHeight="1" x14ac:dyDescent="0.2">
      <c r="D33" s="3"/>
      <c r="E33" s="34"/>
      <c r="F33" s="3"/>
      <c r="G33" s="37"/>
      <c r="H33" s="3"/>
      <c r="I33" s="3"/>
      <c r="J33" s="37"/>
      <c r="K33" s="3"/>
      <c r="L33" s="3"/>
      <c r="M33" s="37"/>
      <c r="P33" s="37"/>
      <c r="S33" s="37"/>
      <c r="V33" s="37"/>
      <c r="Y33" s="37"/>
      <c r="AB33" s="37"/>
      <c r="AE33" s="37"/>
      <c r="AH33" s="37"/>
      <c r="AK33" s="37"/>
      <c r="AN33" s="37"/>
      <c r="BY33" s="19"/>
    </row>
    <row r="34" spans="4:77" ht="12.95" hidden="1" customHeight="1" x14ac:dyDescent="0.2">
      <c r="D34" s="36"/>
      <c r="E34" s="36"/>
      <c r="F34" s="36"/>
      <c r="G34" s="35"/>
      <c r="H34" s="36">
        <f t="shared" ref="H34:H39" si="19">H21</f>
        <v>0</v>
      </c>
      <c r="I34" s="36"/>
      <c r="J34" s="36"/>
      <c r="K34" s="36">
        <f t="shared" ref="K34:K39" si="20">K21</f>
        <v>136</v>
      </c>
      <c r="L34" s="36"/>
      <c r="M34" s="36"/>
      <c r="N34" s="36">
        <f t="shared" ref="N34:N39" si="21">N21</f>
        <v>136</v>
      </c>
      <c r="Q34" s="36">
        <f t="shared" ref="Q34:Q39" si="22">Q21</f>
        <v>136</v>
      </c>
      <c r="T34" s="36">
        <f t="shared" ref="T34:T39" si="23">T21</f>
        <v>136</v>
      </c>
      <c r="W34" s="36">
        <f t="shared" ref="W34:W39" si="24">W21</f>
        <v>136</v>
      </c>
      <c r="Z34" s="36">
        <f t="shared" ref="Z34:Z39" si="25">Z21</f>
        <v>136</v>
      </c>
      <c r="AC34" s="36">
        <f t="shared" ref="AC34:AC39" si="26">AC21</f>
        <v>136</v>
      </c>
      <c r="AF34" s="36">
        <f t="shared" ref="AF34:AF39" si="27">AF21</f>
        <v>136</v>
      </c>
      <c r="AI34" s="36">
        <f t="shared" ref="AI34:AI39" si="28">AI21</f>
        <v>0</v>
      </c>
      <c r="AL34" s="36">
        <f t="shared" ref="AL34:AL39" si="29">AL21</f>
        <v>136</v>
      </c>
      <c r="AO34" s="36">
        <f t="shared" ref="AO34:AO39" si="30">AO21</f>
        <v>136</v>
      </c>
      <c r="AV34" s="36">
        <f ca="1">AV21</f>
        <v>136</v>
      </c>
      <c r="BY34" s="19"/>
    </row>
    <row r="35" spans="4:77" ht="12.95" hidden="1" customHeight="1" x14ac:dyDescent="0.2">
      <c r="D35" s="3"/>
      <c r="E35" s="3"/>
      <c r="F35" s="3"/>
      <c r="G35" s="37"/>
      <c r="H35" s="38">
        <f t="shared" si="19"/>
        <v>90</v>
      </c>
      <c r="I35" s="3"/>
      <c r="J35" s="3"/>
      <c r="K35" s="38">
        <f t="shared" si="20"/>
        <v>83</v>
      </c>
      <c r="L35" s="3"/>
      <c r="M35" s="3"/>
      <c r="N35" s="38">
        <f t="shared" si="21"/>
        <v>90</v>
      </c>
      <c r="Q35" s="38">
        <f t="shared" si="22"/>
        <v>72</v>
      </c>
      <c r="T35" s="38">
        <f t="shared" si="23"/>
        <v>102</v>
      </c>
      <c r="W35" s="38">
        <f t="shared" si="24"/>
        <v>74</v>
      </c>
      <c r="Z35" s="38">
        <f t="shared" si="25"/>
        <v>106</v>
      </c>
      <c r="AC35" s="38">
        <f t="shared" si="26"/>
        <v>81</v>
      </c>
      <c r="AF35" s="38">
        <f t="shared" si="27"/>
        <v>100</v>
      </c>
      <c r="AI35" s="38">
        <f t="shared" si="28"/>
        <v>91</v>
      </c>
      <c r="AL35" s="38">
        <f t="shared" si="29"/>
        <v>84</v>
      </c>
      <c r="AO35" s="38">
        <f t="shared" si="30"/>
        <v>119</v>
      </c>
      <c r="BY35" s="19"/>
    </row>
    <row r="36" spans="4:77" ht="12.95" hidden="1" customHeight="1" x14ac:dyDescent="0.2">
      <c r="D36" s="3"/>
      <c r="E36" s="3"/>
      <c r="F36" s="3"/>
      <c r="G36" s="37"/>
      <c r="H36" s="38">
        <f t="shared" si="19"/>
        <v>90</v>
      </c>
      <c r="I36" s="3"/>
      <c r="J36" s="3"/>
      <c r="K36" s="38">
        <f t="shared" si="20"/>
        <v>83</v>
      </c>
      <c r="L36" s="3"/>
      <c r="M36" s="3"/>
      <c r="N36" s="38">
        <f t="shared" si="21"/>
        <v>90</v>
      </c>
      <c r="Q36" s="38">
        <f t="shared" si="22"/>
        <v>72</v>
      </c>
      <c r="T36" s="38">
        <f t="shared" si="23"/>
        <v>102</v>
      </c>
      <c r="W36" s="38">
        <f t="shared" si="24"/>
        <v>74</v>
      </c>
      <c r="Z36" s="38">
        <f t="shared" si="25"/>
        <v>106</v>
      </c>
      <c r="AC36" s="38">
        <f t="shared" si="26"/>
        <v>81</v>
      </c>
      <c r="AF36" s="38">
        <f t="shared" si="27"/>
        <v>100</v>
      </c>
      <c r="AI36" s="38">
        <f t="shared" si="28"/>
        <v>91</v>
      </c>
      <c r="AL36" s="38">
        <f t="shared" si="29"/>
        <v>84</v>
      </c>
      <c r="AO36" s="38">
        <f t="shared" si="30"/>
        <v>119</v>
      </c>
      <c r="BY36" s="19"/>
    </row>
    <row r="37" spans="4:77" ht="12.95" hidden="1" customHeight="1" x14ac:dyDescent="0.2">
      <c r="D37" s="3"/>
      <c r="E37" s="3"/>
      <c r="F37" s="3"/>
      <c r="G37" s="37"/>
      <c r="H37" s="38" t="str">
        <f t="shared" si="19"/>
        <v/>
      </c>
      <c r="I37" s="3"/>
      <c r="J37" s="3"/>
      <c r="K37" s="38" t="str">
        <f t="shared" si="20"/>
        <v/>
      </c>
      <c r="L37" s="3"/>
      <c r="M37" s="3"/>
      <c r="N37" s="38" t="str">
        <f t="shared" si="21"/>
        <v/>
      </c>
      <c r="Q37" s="38" t="str">
        <f t="shared" si="22"/>
        <v/>
      </c>
      <c r="T37" s="38" t="str">
        <f t="shared" si="23"/>
        <v/>
      </c>
      <c r="W37" s="38" t="str">
        <f t="shared" si="24"/>
        <v/>
      </c>
      <c r="Z37" s="38" t="str">
        <f t="shared" si="25"/>
        <v/>
      </c>
      <c r="AC37" s="38" t="str">
        <f t="shared" si="26"/>
        <v/>
      </c>
      <c r="AF37" s="38" t="str">
        <f t="shared" si="27"/>
        <v/>
      </c>
      <c r="AI37" s="38" t="str">
        <f t="shared" si="28"/>
        <v/>
      </c>
      <c r="AL37" s="38" t="str">
        <f t="shared" si="29"/>
        <v/>
      </c>
      <c r="AO37" s="38" t="str">
        <f t="shared" si="30"/>
        <v/>
      </c>
      <c r="BY37" s="19"/>
    </row>
    <row r="38" spans="4:77" ht="12.95" hidden="1" customHeight="1" x14ac:dyDescent="0.2">
      <c r="D38" s="3"/>
      <c r="E38" s="3"/>
      <c r="F38" s="3"/>
      <c r="G38" s="37"/>
      <c r="H38" s="38">
        <f t="shared" si="19"/>
        <v>0</v>
      </c>
      <c r="I38" s="3"/>
      <c r="J38" s="3"/>
      <c r="K38" s="38">
        <f t="shared" si="20"/>
        <v>0</v>
      </c>
      <c r="L38" s="3"/>
      <c r="M38" s="3"/>
      <c r="N38" s="38">
        <f t="shared" si="21"/>
        <v>0</v>
      </c>
      <c r="Q38" s="38">
        <f t="shared" si="22"/>
        <v>0</v>
      </c>
      <c r="T38" s="38">
        <f t="shared" si="23"/>
        <v>0</v>
      </c>
      <c r="W38" s="38">
        <f t="shared" si="24"/>
        <v>0</v>
      </c>
      <c r="Z38" s="38">
        <f t="shared" si="25"/>
        <v>0</v>
      </c>
      <c r="AC38" s="38">
        <f t="shared" si="26"/>
        <v>0</v>
      </c>
      <c r="AF38" s="38">
        <f t="shared" si="27"/>
        <v>0</v>
      </c>
      <c r="AI38" s="38">
        <f t="shared" si="28"/>
        <v>0</v>
      </c>
      <c r="AL38" s="38">
        <f t="shared" si="29"/>
        <v>0</v>
      </c>
      <c r="AO38" s="38">
        <f t="shared" si="30"/>
        <v>0</v>
      </c>
      <c r="BY38" s="19"/>
    </row>
    <row r="39" spans="4:77" ht="12.95" hidden="1" customHeight="1" x14ac:dyDescent="0.2">
      <c r="D39" s="3"/>
      <c r="E39" s="3"/>
      <c r="F39" s="3"/>
      <c r="G39" s="37"/>
      <c r="H39" s="38">
        <f t="shared" si="19"/>
        <v>10</v>
      </c>
      <c r="I39" s="3"/>
      <c r="J39" s="3"/>
      <c r="K39" s="38">
        <f t="shared" si="20"/>
        <v>10</v>
      </c>
      <c r="L39" s="3"/>
      <c r="M39" s="3"/>
      <c r="N39" s="38">
        <f t="shared" si="21"/>
        <v>9</v>
      </c>
      <c r="Q39" s="38">
        <f t="shared" si="22"/>
        <v>9</v>
      </c>
      <c r="T39" s="38">
        <f t="shared" si="23"/>
        <v>11</v>
      </c>
      <c r="W39" s="38">
        <f t="shared" si="24"/>
        <v>8</v>
      </c>
      <c r="Z39" s="38">
        <f t="shared" si="25"/>
        <v>12</v>
      </c>
      <c r="AC39" s="38">
        <f t="shared" si="26"/>
        <v>9</v>
      </c>
      <c r="AF39" s="38">
        <f t="shared" si="27"/>
        <v>11</v>
      </c>
      <c r="AI39" s="38">
        <f t="shared" si="28"/>
        <v>10</v>
      </c>
      <c r="AL39" s="38">
        <f t="shared" si="29"/>
        <v>8</v>
      </c>
      <c r="AO39" s="38">
        <f t="shared" si="30"/>
        <v>11</v>
      </c>
      <c r="BY39" s="19"/>
    </row>
    <row r="40" spans="4:77" ht="12.95" hidden="1" customHeight="1" x14ac:dyDescent="0.2">
      <c r="D40" s="3"/>
      <c r="E40" s="3"/>
      <c r="F40" s="3"/>
      <c r="G40" s="37">
        <f>G22</f>
        <v>6</v>
      </c>
      <c r="H40" s="38"/>
      <c r="I40" s="3"/>
      <c r="J40" s="37">
        <f>J22</f>
        <v>9</v>
      </c>
      <c r="K40" s="38"/>
      <c r="L40" s="3"/>
      <c r="M40" s="37">
        <f>M22</f>
        <v>6</v>
      </c>
      <c r="N40" s="38"/>
      <c r="P40" s="37">
        <f>P22</f>
        <v>12</v>
      </c>
      <c r="Q40" s="38"/>
      <c r="S40" s="37">
        <f>S22</f>
        <v>3</v>
      </c>
      <c r="T40" s="38"/>
      <c r="V40" s="37">
        <f>V22</f>
        <v>11</v>
      </c>
      <c r="W40" s="38"/>
      <c r="Y40" s="37">
        <f>Y22</f>
        <v>2</v>
      </c>
      <c r="Z40" s="38"/>
      <c r="AB40" s="37">
        <f>AB22</f>
        <v>10</v>
      </c>
      <c r="AC40" s="38"/>
      <c r="AE40" s="37">
        <f>AE22</f>
        <v>4</v>
      </c>
      <c r="AF40" s="38"/>
      <c r="AH40" s="37">
        <f>AH22</f>
        <v>5</v>
      </c>
      <c r="AI40" s="38"/>
      <c r="AK40" s="37">
        <f>AK22</f>
        <v>8</v>
      </c>
      <c r="AL40" s="38"/>
      <c r="AN40" s="37">
        <f>AN22</f>
        <v>1</v>
      </c>
      <c r="AO40" s="38"/>
      <c r="AR40" s="39">
        <f>COUNTIF($F$40:$AO$40,1)</f>
        <v>1</v>
      </c>
      <c r="AS40" s="40" t="s">
        <v>34</v>
      </c>
      <c r="BY40" s="19"/>
    </row>
    <row r="41" spans="4:77" ht="12.95" hidden="1" customHeight="1" x14ac:dyDescent="0.2">
      <c r="D41" s="3"/>
      <c r="E41" s="3"/>
      <c r="F41" s="3"/>
      <c r="G41" s="37">
        <f>G25</f>
        <v>0</v>
      </c>
      <c r="H41" s="3"/>
      <c r="I41" s="3"/>
      <c r="J41" s="37">
        <f>J25</f>
        <v>0</v>
      </c>
      <c r="K41" s="3"/>
      <c r="L41" s="3"/>
      <c r="M41" s="37">
        <f>M25</f>
        <v>0</v>
      </c>
      <c r="P41" s="37">
        <f>P25</f>
        <v>0</v>
      </c>
      <c r="S41" s="37">
        <f>S25</f>
        <v>0</v>
      </c>
      <c r="V41" s="37">
        <f>V25</f>
        <v>0</v>
      </c>
      <c r="Y41" s="37">
        <f>Y25</f>
        <v>0</v>
      </c>
      <c r="AB41" s="37">
        <f>AB25</f>
        <v>0</v>
      </c>
      <c r="AE41" s="37">
        <f>AE25</f>
        <v>0</v>
      </c>
      <c r="AH41" s="37">
        <f>AH25</f>
        <v>0</v>
      </c>
      <c r="AK41" s="37">
        <f>AK25</f>
        <v>0</v>
      </c>
      <c r="AN41" s="37">
        <f>AN25</f>
        <v>0</v>
      </c>
      <c r="AR41" s="39">
        <f>COUNTIF($F$40:$AO$40,2)</f>
        <v>1</v>
      </c>
      <c r="AS41" s="40" t="s">
        <v>35</v>
      </c>
      <c r="BY41" s="19"/>
    </row>
    <row r="42" spans="4:77" ht="12.95" hidden="1" customHeight="1" x14ac:dyDescent="0.2">
      <c r="D42" s="3"/>
      <c r="E42" s="3"/>
      <c r="F42" s="3"/>
      <c r="G42" s="37">
        <f>G26</f>
        <v>0.625</v>
      </c>
      <c r="H42" s="3"/>
      <c r="I42" s="3"/>
      <c r="J42" s="37">
        <f>J26</f>
        <v>0.625</v>
      </c>
      <c r="K42" s="3"/>
      <c r="L42" s="3"/>
      <c r="M42" s="37">
        <f>M26</f>
        <v>0.5625</v>
      </c>
      <c r="P42" s="37">
        <f>P26</f>
        <v>0.5625</v>
      </c>
      <c r="S42" s="37">
        <f>S26</f>
        <v>0.6875</v>
      </c>
      <c r="V42" s="37">
        <f>V26</f>
        <v>0.5</v>
      </c>
      <c r="Y42" s="37">
        <f>Y26</f>
        <v>0.75</v>
      </c>
      <c r="AB42" s="37">
        <f>AB26</f>
        <v>0.5625</v>
      </c>
      <c r="AE42" s="37">
        <f>AE26</f>
        <v>0.6875</v>
      </c>
      <c r="AH42" s="37">
        <f>AH26</f>
        <v>0.625</v>
      </c>
      <c r="AK42" s="37">
        <f>AK26</f>
        <v>0.5</v>
      </c>
      <c r="AN42" s="37">
        <f>AN26</f>
        <v>0.6875</v>
      </c>
      <c r="BY42" s="19"/>
    </row>
    <row r="43" spans="4:77" ht="12.95" hidden="1" customHeight="1" x14ac:dyDescent="0.2">
      <c r="D43" s="3"/>
      <c r="E43" s="3"/>
      <c r="F43" s="3"/>
      <c r="G43" s="37"/>
      <c r="H43" s="3"/>
      <c r="I43" s="3"/>
      <c r="J43" s="37"/>
      <c r="K43" s="3"/>
      <c r="L43" s="3"/>
      <c r="M43" s="37"/>
      <c r="P43" s="37"/>
      <c r="S43" s="37"/>
      <c r="V43" s="37"/>
      <c r="Y43" s="37"/>
      <c r="AB43" s="37"/>
      <c r="AE43" s="37"/>
      <c r="AH43" s="37"/>
      <c r="AK43" s="37"/>
      <c r="AN43" s="37"/>
      <c r="BY43" s="19"/>
    </row>
    <row r="44" spans="4:77" ht="12.95" customHeight="1" x14ac:dyDescent="0.2">
      <c r="F44" s="41" t="s">
        <v>36</v>
      </c>
      <c r="G44" s="5"/>
      <c r="BY44" s="19"/>
    </row>
    <row r="45" spans="4:77" ht="12.95" hidden="1" customHeight="1" x14ac:dyDescent="0.2">
      <c r="F45" s="34" t="s">
        <v>37</v>
      </c>
      <c r="G45" s="5" t="str">
        <f>IF(COUNTIF($H34:$AO34,MAX($H34:$AO34))&gt;1,"Yes","No")</f>
        <v>Yes</v>
      </c>
      <c r="BY45" s="19"/>
    </row>
    <row r="46" spans="4:77" ht="12.95" customHeight="1" x14ac:dyDescent="0.2">
      <c r="D46" s="3"/>
      <c r="F46" s="34" t="s">
        <v>38</v>
      </c>
      <c r="G46" s="42"/>
      <c r="H46" s="36"/>
      <c r="I46" s="36"/>
      <c r="J46" s="36"/>
      <c r="K46" s="36"/>
      <c r="L46" s="36"/>
      <c r="M46" s="36"/>
      <c r="BY46" s="19"/>
    </row>
    <row r="47" spans="4:77" ht="12.95" hidden="1" customHeight="1" x14ac:dyDescent="0.2">
      <c r="D47" s="3"/>
      <c r="F47" s="34" t="s">
        <v>39</v>
      </c>
      <c r="G47" s="35" t="str">
        <f>IF(ISNUMBER($G$46),MAX($H34:$AO34),"")</f>
        <v/>
      </c>
      <c r="H47" s="36"/>
      <c r="I47" s="36"/>
      <c r="J47" s="36"/>
      <c r="K47" s="36"/>
      <c r="L47" s="36"/>
      <c r="M47" s="36"/>
      <c r="BY47" s="19"/>
    </row>
    <row r="48" spans="4:77" ht="12.95" hidden="1" customHeight="1" x14ac:dyDescent="0.2">
      <c r="D48" s="3"/>
      <c r="F48" s="34" t="s">
        <v>40</v>
      </c>
      <c r="G48" s="35" t="str">
        <f>IF(ISNUMBER($G$46),COUNTIF($H34:$AO34,$G$47),"")</f>
        <v/>
      </c>
      <c r="H48" s="36"/>
      <c r="I48" s="36"/>
      <c r="J48" s="36"/>
      <c r="K48" s="36"/>
      <c r="L48" s="36"/>
      <c r="M48" s="36"/>
      <c r="BY48" s="19"/>
    </row>
    <row r="49" spans="2:77" ht="12.95" hidden="1" customHeight="1" x14ac:dyDescent="0.2">
      <c r="D49" s="3"/>
      <c r="F49" s="43" t="s">
        <v>41</v>
      </c>
      <c r="G49" s="35" t="str">
        <f>IF(ISNUMBER($G$46),IF(COUNTIF(G58:AN58,"&gt;1")&gt;0,"No","Yes"),"")</f>
        <v/>
      </c>
      <c r="H49" s="36"/>
      <c r="I49" s="36"/>
      <c r="J49" s="36"/>
      <c r="K49" s="36"/>
      <c r="L49" s="36"/>
      <c r="M49" s="36"/>
      <c r="BY49" s="19"/>
    </row>
    <row r="50" spans="2:77" ht="12.95" hidden="1" customHeight="1" x14ac:dyDescent="0.2">
      <c r="D50" s="3"/>
      <c r="E50" s="43"/>
      <c r="F50" s="35"/>
      <c r="G50" s="5"/>
      <c r="H50" s="36"/>
      <c r="I50" s="36"/>
      <c r="J50" s="36"/>
      <c r="K50" s="36"/>
      <c r="L50" s="36"/>
      <c r="M50" s="36"/>
      <c r="BY50" s="19"/>
    </row>
    <row r="51" spans="2:77" ht="12.95" hidden="1" customHeight="1" x14ac:dyDescent="0.2">
      <c r="D51" s="3"/>
      <c r="E51" s="3"/>
      <c r="F51" s="41" t="s">
        <v>42</v>
      </c>
      <c r="G51" s="35"/>
      <c r="H51" s="36"/>
      <c r="I51" s="36"/>
      <c r="J51" s="36"/>
      <c r="K51" s="36"/>
      <c r="L51" s="36"/>
      <c r="M51" s="36"/>
      <c r="BY51" s="19"/>
    </row>
    <row r="52" spans="2:77" ht="12.95" hidden="1" customHeight="1" x14ac:dyDescent="0.2">
      <c r="D52" s="3"/>
      <c r="E52" s="3"/>
      <c r="F52" s="34" t="s">
        <v>43</v>
      </c>
      <c r="G52" s="35">
        <f>IF(AND(ISNUMBER($G$46),G56="Yes",G55&gt;1),1,0)</f>
        <v>0</v>
      </c>
      <c r="H52" s="36"/>
      <c r="I52" s="36"/>
      <c r="J52" s="35">
        <f>IF(AND(ISNUMBER($G$46),J56="Yes",J55&gt;1),1,0)</f>
        <v>0</v>
      </c>
      <c r="K52" s="36"/>
      <c r="L52" s="36"/>
      <c r="M52" s="35">
        <f>IF(AND(ISNUMBER($G$46),M56="Yes",M55&gt;1),1,0)</f>
        <v>0</v>
      </c>
      <c r="P52" s="35">
        <f>IF(AND(ISNUMBER($G$46),P56="Yes",P55&gt;1),1,0)</f>
        <v>0</v>
      </c>
      <c r="S52" s="35">
        <f>IF(AND(ISNUMBER($G$46),S56="Yes",S55&gt;1),1,0)</f>
        <v>0</v>
      </c>
      <c r="V52" s="35">
        <f>IF(AND(ISNUMBER($G$46),V56="Yes",V55&gt;1),1,0)</f>
        <v>0</v>
      </c>
      <c r="Y52" s="35">
        <f>IF(AND(ISNUMBER($G$46),Y56="Yes",Y55&gt;1),1,0)</f>
        <v>0</v>
      </c>
      <c r="AB52" s="35">
        <f>IF(AND(ISNUMBER($G$46),AB56="Yes",AB55&gt;1),1,0)</f>
        <v>0</v>
      </c>
      <c r="AE52" s="35">
        <f>IF(AND(ISNUMBER($G$46),AE56="Yes",AE55&gt;1),1,0)</f>
        <v>0</v>
      </c>
      <c r="AH52" s="35">
        <f>IF(AND(ISNUMBER($G$46),AH56="Yes",AH55&gt;1),1,0)</f>
        <v>0</v>
      </c>
      <c r="AK52" s="35">
        <f>IF(AND(ISNUMBER($G$46),AK56="Yes",AK55&gt;1),1,0)</f>
        <v>0</v>
      </c>
      <c r="AN52" s="35">
        <f>IF(AND(ISNUMBER($G$46),AN56="Yes",AN55&gt;1),1,0)</f>
        <v>0</v>
      </c>
      <c r="BY52" s="19"/>
    </row>
    <row r="53" spans="2:77" ht="12.95" hidden="1" customHeight="1" x14ac:dyDescent="0.2">
      <c r="D53" s="3"/>
      <c r="E53" s="3"/>
      <c r="F53" s="34" t="s">
        <v>44</v>
      </c>
      <c r="G53" s="35" t="str">
        <f>IF(G56="Yes",ABS($G$46-G20)+IF(G54="Over",0.25,0),"")</f>
        <v/>
      </c>
      <c r="H53" s="35"/>
      <c r="I53" s="35"/>
      <c r="J53" s="35" t="str">
        <f>IF(J56="Yes",ABS($G$46-J20)+IF(J54="Over",0.25,0),"")</f>
        <v/>
      </c>
      <c r="K53" s="35"/>
      <c r="L53" s="35"/>
      <c r="M53" s="35" t="str">
        <f>IF(M56="Yes",ABS($G$46-M20)+IF(M54="Over",0.25,0),"")</f>
        <v/>
      </c>
      <c r="N53" s="6"/>
      <c r="O53" s="6"/>
      <c r="P53" s="35" t="str">
        <f>IF(P56="Yes",ABS($G$46-P20)+IF(P54="Over",0.25,0),"")</f>
        <v/>
      </c>
      <c r="Q53" s="6"/>
      <c r="R53" s="6"/>
      <c r="S53" s="35" t="str">
        <f>IF(S56="Yes",ABS($G$46-S20)+IF(S54="Over",0.25,0),"")</f>
        <v/>
      </c>
      <c r="T53" s="6"/>
      <c r="U53" s="6"/>
      <c r="V53" s="35" t="str">
        <f>IF(V56="Yes",ABS($G$46-V20)+IF(V54="Over",0.25,0),"")</f>
        <v/>
      </c>
      <c r="W53" s="6"/>
      <c r="X53" s="6"/>
      <c r="Y53" s="35" t="str">
        <f>IF(Y56="Yes",ABS($G$46-Y20)+IF(Y54="Over",0.25,0),"")</f>
        <v/>
      </c>
      <c r="Z53" s="6"/>
      <c r="AA53" s="6"/>
      <c r="AB53" s="35" t="str">
        <f>IF(AB56="Yes",ABS($G$46-AB20)+IF(AB54="Over",0.25,0),"")</f>
        <v/>
      </c>
      <c r="AC53" s="6"/>
      <c r="AD53" s="6"/>
      <c r="AE53" s="35" t="str">
        <f>IF(AE56="Yes",ABS($G$46-AE20)+IF(AE54="Over",0.25,0),"")</f>
        <v/>
      </c>
      <c r="AF53" s="6"/>
      <c r="AG53" s="6"/>
      <c r="AH53" s="35" t="str">
        <f>IF(AH56="Yes",ABS($G$46-AH20)+IF(AH54="Over",0.25,0),"")</f>
        <v/>
      </c>
      <c r="AI53" s="6"/>
      <c r="AJ53" s="6"/>
      <c r="AK53" s="35" t="str">
        <f>IF(AK56="Yes",ABS($G$46-AK20)+IF(AK54="Over",0.25,0),"")</f>
        <v/>
      </c>
      <c r="AL53" s="6"/>
      <c r="AM53" s="6"/>
      <c r="AN53" s="35" t="str">
        <f>IF(AN56="Yes",ABS($G$46-AN20)+IF(AN54="Over",0.25,0),"")</f>
        <v/>
      </c>
      <c r="BY53" s="19"/>
    </row>
    <row r="54" spans="2:77" ht="12.95" hidden="1" customHeight="1" x14ac:dyDescent="0.2">
      <c r="D54" s="3"/>
      <c r="E54" s="3"/>
      <c r="F54" s="43" t="s">
        <v>45</v>
      </c>
      <c r="G54" s="6" t="str">
        <f>IF(G56="Yes",IF(G20&gt;$G$46,"Over","Under"),"")</f>
        <v/>
      </c>
      <c r="J54" s="6" t="str">
        <f>IF(J56="Yes",IF(J20&gt;$G$46,"Over","Under"),"")</f>
        <v/>
      </c>
      <c r="M54" s="6" t="str">
        <f>IF(M56="Yes",IF(M20&gt;$G$46,"Over","Under"),"")</f>
        <v/>
      </c>
      <c r="P54" s="6" t="str">
        <f>IF(P56="Yes",IF(P20&gt;$G$46,"Over","Under"),"")</f>
        <v/>
      </c>
      <c r="S54" s="6" t="str">
        <f>IF(S56="Yes",IF(S20&gt;$G$46,"Over","Under"),"")</f>
        <v/>
      </c>
      <c r="V54" s="6" t="str">
        <f>IF(V56="Yes",IF(V20&gt;$G$46,"Over","Under"),"")</f>
        <v/>
      </c>
      <c r="Y54" s="6" t="str">
        <f>IF(Y56="Yes",IF(Y20&gt;$G$46,"Over","Under"),"")</f>
        <v/>
      </c>
      <c r="AB54" s="6" t="str">
        <f>IF(AB56="Yes",IF(AB20&gt;$G$46,"Over","Under"),"")</f>
        <v/>
      </c>
      <c r="AE54" s="6" t="str">
        <f>IF(AE56="Yes",IF(AE20&gt;$G$46,"Over","Under"),"")</f>
        <v/>
      </c>
      <c r="AH54" s="6" t="str">
        <f>IF(AH56="Yes",IF(AH20&gt;$G$46,"Over","Under"),"")</f>
        <v/>
      </c>
      <c r="AK54" s="6" t="str">
        <f>IF(AK56="Yes",IF(AK20&gt;$G$46,"Over","Under"),"")</f>
        <v/>
      </c>
      <c r="AN54" s="6" t="str">
        <f>IF(AN56="Yes",IF(AN20&gt;$G$46,"Over","Under"),"")</f>
        <v/>
      </c>
      <c r="BY54" s="19"/>
    </row>
    <row r="55" spans="2:77" ht="12.95" hidden="1" customHeight="1" x14ac:dyDescent="0.2">
      <c r="D55" s="3"/>
      <c r="E55" s="3"/>
      <c r="F55" s="43" t="s">
        <v>72</v>
      </c>
      <c r="G55" s="6" t="str">
        <f>IF(G56="Yes",RANK(G53,$G53:$AN53,1),"")</f>
        <v/>
      </c>
      <c r="J55" s="6" t="str">
        <f>IF(J56="Yes",RANK(J53,$G53:$AN53,1),"")</f>
        <v/>
      </c>
      <c r="M55" s="6" t="str">
        <f>IF(M56="Yes",RANK(M53,$G53:$AN53,1),"")</f>
        <v/>
      </c>
      <c r="P55" s="6" t="str">
        <f>IF(P56="Yes",RANK(P53,$G53:$AN53,1),"")</f>
        <v/>
      </c>
      <c r="S55" s="6" t="str">
        <f>IF(S56="Yes",RANK(S53,$G53:$AN53,1),"")</f>
        <v/>
      </c>
      <c r="V55" s="6" t="str">
        <f>IF(V56="Yes",RANK(V53,$G53:$AN53,1),"")</f>
        <v/>
      </c>
      <c r="Y55" s="6" t="str">
        <f>IF(Y56="Yes",RANK(Y53,$G53:$AN53,1),"")</f>
        <v/>
      </c>
      <c r="AB55" s="6" t="str">
        <f>IF(AB56="Yes",RANK(AB53,$G53:$AN53,1),"")</f>
        <v/>
      </c>
      <c r="AE55" s="6" t="str">
        <f>IF(AE56="Yes",RANK(AE53,$G53:$AN53,1),"")</f>
        <v/>
      </c>
      <c r="AH55" s="6" t="str">
        <f>IF(AH56="Yes",RANK(AH53,$G53:$AN53,1),"")</f>
        <v/>
      </c>
      <c r="AK55" s="6" t="str">
        <f>IF(AK56="Yes",RANK(AK53,$G53:$AN53,1),"")</f>
        <v/>
      </c>
      <c r="AN55" s="6" t="str">
        <f>IF(AN56="Yes",RANK(AN53,$G53:$AN53,1),"")</f>
        <v/>
      </c>
      <c r="BY55" s="19"/>
    </row>
    <row r="56" spans="2:77" ht="12.95" hidden="1" customHeight="1" x14ac:dyDescent="0.2">
      <c r="D56" s="3"/>
      <c r="E56" s="3"/>
      <c r="F56" s="43" t="s">
        <v>46</v>
      </c>
      <c r="G56" s="6" t="str">
        <f>IF(H21=$G$47,"Yes","")</f>
        <v/>
      </c>
      <c r="J56" s="6" t="str">
        <f>IF(K21=$G$47,"Yes","")</f>
        <v/>
      </c>
      <c r="M56" s="6" t="str">
        <f>IF(N21=$G$47,"Yes","")</f>
        <v/>
      </c>
      <c r="P56" s="6" t="str">
        <f>IF(Q21=$G$47,"Yes","")</f>
        <v/>
      </c>
      <c r="S56" s="6" t="str">
        <f>IF(T21=$G$47,"Yes","")</f>
        <v/>
      </c>
      <c r="V56" s="6" t="str">
        <f>IF(W21=$G$47,"Yes","")</f>
        <v/>
      </c>
      <c r="Y56" s="6" t="str">
        <f>IF(Z21=$G$47,"Yes","")</f>
        <v/>
      </c>
      <c r="AB56" s="6" t="str">
        <f>IF(AC21=$G$47,"Yes","")</f>
        <v/>
      </c>
      <c r="AE56" s="6" t="str">
        <f>IF(AF21=$G$47,"Yes","")</f>
        <v/>
      </c>
      <c r="AH56" s="6" t="str">
        <f>IF(AI21=$G$47,"Yes","")</f>
        <v/>
      </c>
      <c r="AK56" s="6" t="str">
        <f>IF(AL21=$G$47,"Yes","")</f>
        <v/>
      </c>
      <c r="AN56" s="6" t="str">
        <f>IF(AO21=$G$47,"Yes","")</f>
        <v/>
      </c>
      <c r="BY56" s="19"/>
    </row>
    <row r="57" spans="2:77" ht="12.95" hidden="1" customHeight="1" x14ac:dyDescent="0.2">
      <c r="D57" s="3"/>
      <c r="E57" s="3"/>
      <c r="F57" s="43"/>
      <c r="J57" s="6"/>
      <c r="M57" s="6"/>
      <c r="P57" s="6"/>
      <c r="S57" s="6"/>
      <c r="V57" s="6"/>
      <c r="Y57" s="6"/>
      <c r="AB57" s="6"/>
      <c r="AE57" s="6"/>
      <c r="AH57" s="6"/>
      <c r="AK57" s="6"/>
      <c r="AN57" s="6"/>
      <c r="BY57" s="19"/>
    </row>
    <row r="58" spans="2:77" ht="12.95" hidden="1" customHeight="1" x14ac:dyDescent="0.2">
      <c r="B58" s="43" t="s">
        <v>47</v>
      </c>
      <c r="C58" s="5">
        <f>COUNTA(B4:B19)</f>
        <v>16</v>
      </c>
      <c r="D58" s="3"/>
      <c r="E58" s="3"/>
      <c r="G58" s="6" t="str">
        <f>IF(AND(G56="Yes",COUNTIF($G53:$AN53,G53)&gt;1,G52=0),COUNTIF($G53:$AN53,G53),"")</f>
        <v/>
      </c>
      <c r="J58" s="6" t="str">
        <f>IF(AND(J56="Yes",COUNTIF($G53:$AN53,J53)&gt;1,J52=0),COUNTIF($G53:$AN53,J53),"")</f>
        <v/>
      </c>
      <c r="M58" s="6" t="str">
        <f>IF(AND(M56="Yes",COUNTIF($G53:$AN53,M53)&gt;1,M52=0),COUNTIF($G53:$AN53,M53),"")</f>
        <v/>
      </c>
      <c r="P58" s="6" t="str">
        <f>IF(AND(P56="Yes",COUNTIF($G53:$AN53,P53)&gt;1,P52=0),COUNTIF($G53:$AN53,P53),"")</f>
        <v/>
      </c>
      <c r="S58" s="6" t="str">
        <f>IF(AND(S56="Yes",COUNTIF($G53:$AN53,S53)&gt;1,S52=0),COUNTIF($G53:$AN53,S53),"")</f>
        <v/>
      </c>
      <c r="V58" s="6" t="str">
        <f>IF(AND(V56="Yes",COUNTIF($G53:$AN53,V53)&gt;1,V52=0),COUNTIF($G53:$AN53,V53),"")</f>
        <v/>
      </c>
      <c r="Y58" s="6" t="str">
        <f>IF(AND(Y56="Yes",COUNTIF($G53:$AN53,Y53)&gt;1,Y52=0),COUNTIF($G53:$AN53,Y53),"")</f>
        <v/>
      </c>
      <c r="AB58" s="6" t="str">
        <f>IF(AND(AB56="Yes",COUNTIF($G53:$AN53,AB53)&gt;1,AB52=0),COUNTIF($G53:$AN53,AB53),"")</f>
        <v/>
      </c>
      <c r="AE58" s="6" t="str">
        <f>IF(AND(AE56="Yes",COUNTIF($G53:$AN53,AE53)&gt;1,AE52=0),COUNTIF($G53:$AN53,AE53),"")</f>
        <v/>
      </c>
      <c r="AH58" s="6" t="str">
        <f>IF(AND(AH56="Yes",COUNTIF($G53:$AN53,AH53)&gt;1,AH52=0),COUNTIF($G53:$AN53,AH53),"")</f>
        <v/>
      </c>
      <c r="AK58" s="6" t="str">
        <f>IF(AND(AK56="Yes",COUNTIF($G53:$AN53,AK53)&gt;1,AK52=0),COUNTIF($G53:$AN53,AK53),"")</f>
        <v/>
      </c>
      <c r="AN58" s="6" t="str">
        <f>IF(AND(AN56="Yes",COUNTIF($G53:$AN53,AN53)&gt;1,AN52=0),COUNTIF($G53:$AN53,AN53),"")</f>
        <v/>
      </c>
      <c r="BY58" s="19"/>
    </row>
    <row r="59" spans="2:77" ht="12.95" hidden="1" customHeight="1" x14ac:dyDescent="0.2">
      <c r="B59" s="5" t="s">
        <v>20</v>
      </c>
      <c r="C59" s="44" t="s">
        <v>48</v>
      </c>
      <c r="D59" s="44" t="s">
        <v>49</v>
      </c>
      <c r="G59" s="5"/>
      <c r="AV59" s="44"/>
      <c r="AW59" s="5"/>
      <c r="BY59" s="19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44"/>
      <c r="AW60" s="5"/>
      <c r="BY60" s="19"/>
    </row>
    <row r="61" spans="2:77" ht="12.95" customHeight="1" x14ac:dyDescent="0.2">
      <c r="F61" s="43"/>
      <c r="G61" s="5"/>
      <c r="AW61" s="45"/>
      <c r="BY61" s="19"/>
    </row>
    <row r="62" spans="2:77" ht="12.95" customHeight="1" x14ac:dyDescent="0.2">
      <c r="F62" s="43"/>
      <c r="G62" s="5"/>
      <c r="AW62" s="45"/>
      <c r="BY62" s="19"/>
    </row>
    <row r="63" spans="2:77" ht="12.95" customHeight="1" x14ac:dyDescent="0.2">
      <c r="F63" s="43"/>
      <c r="G63" s="5"/>
      <c r="AW63" s="45"/>
      <c r="BY63" s="46"/>
    </row>
    <row r="64" spans="2:77" ht="12.95" customHeight="1" x14ac:dyDescent="0.2">
      <c r="G64" s="5"/>
      <c r="AW64" s="45"/>
      <c r="BY64" s="19"/>
    </row>
    <row r="65" spans="7:77" ht="12.95" customHeight="1" x14ac:dyDescent="0.2">
      <c r="G65" s="5"/>
      <c r="AW65" s="45"/>
      <c r="BY65" s="19"/>
    </row>
    <row r="66" spans="7:77" ht="12.95" customHeight="1" x14ac:dyDescent="0.2">
      <c r="G66" s="5"/>
      <c r="AW66" s="45"/>
      <c r="BY66" s="19"/>
    </row>
    <row r="67" spans="7:77" ht="12.95" customHeight="1" x14ac:dyDescent="0.2">
      <c r="G67" s="5"/>
      <c r="AW67" s="45"/>
      <c r="BY67" s="19"/>
    </row>
    <row r="68" spans="7:77" ht="12.95" customHeight="1" x14ac:dyDescent="0.2">
      <c r="G68" s="5"/>
      <c r="AW68" s="45"/>
      <c r="BY68" s="19"/>
    </row>
    <row r="69" spans="7:77" ht="12.95" customHeight="1" x14ac:dyDescent="0.2">
      <c r="G69" s="5"/>
      <c r="AW69" s="45"/>
      <c r="BY69" s="19"/>
    </row>
    <row r="70" spans="7:77" ht="12.95" customHeight="1" x14ac:dyDescent="0.2">
      <c r="G70" s="5"/>
      <c r="AW70" s="45"/>
      <c r="BY70" s="19"/>
    </row>
    <row r="71" spans="7:77" ht="12.95" customHeight="1" x14ac:dyDescent="0.2">
      <c r="G71" s="5"/>
      <c r="AW71" s="45"/>
      <c r="BY71" s="19"/>
    </row>
    <row r="72" spans="7:77" ht="12.95" customHeight="1" x14ac:dyDescent="0.2">
      <c r="G72" s="5"/>
      <c r="AW72" s="45"/>
      <c r="BY72" s="19"/>
    </row>
    <row r="73" spans="7:77" ht="12.95" customHeight="1" x14ac:dyDescent="0.2">
      <c r="G73" s="5"/>
      <c r="AW73" s="45"/>
      <c r="BY73" s="19"/>
    </row>
    <row r="74" spans="7:77" ht="12.95" customHeight="1" x14ac:dyDescent="0.2">
      <c r="G74" s="5"/>
      <c r="AW74" s="45"/>
      <c r="BY74" s="19"/>
    </row>
    <row r="75" spans="7:77" ht="12.95" customHeight="1" x14ac:dyDescent="0.2">
      <c r="G75" s="5"/>
      <c r="AW75" s="45"/>
      <c r="BY75" s="19"/>
    </row>
    <row r="76" spans="7:77" ht="12.95" customHeight="1" x14ac:dyDescent="0.2">
      <c r="G76" s="5"/>
      <c r="AW76" s="45"/>
      <c r="BY76" s="19"/>
    </row>
    <row r="77" spans="7:77" ht="12.95" customHeight="1" x14ac:dyDescent="0.2">
      <c r="G77" s="5"/>
      <c r="AW77" s="45"/>
      <c r="BY77" s="19"/>
    </row>
    <row r="78" spans="7:77" ht="12.95" customHeight="1" x14ac:dyDescent="0.2">
      <c r="G78" s="5"/>
      <c r="AW78" s="45"/>
      <c r="BY78" s="19"/>
    </row>
    <row r="79" spans="7:77" ht="12.95" customHeight="1" x14ac:dyDescent="0.2">
      <c r="G79" s="5"/>
      <c r="AW79" s="45"/>
      <c r="BY79" s="19"/>
    </row>
    <row r="80" spans="7:77" ht="12.95" customHeight="1" x14ac:dyDescent="0.2">
      <c r="G80" s="5"/>
      <c r="AW80" s="45"/>
      <c r="BY80" s="19"/>
    </row>
    <row r="81" spans="7:77" ht="12.95" customHeight="1" x14ac:dyDescent="0.2">
      <c r="G81" s="5"/>
      <c r="AW81" s="45"/>
      <c r="BY81" s="19"/>
    </row>
    <row r="82" spans="7:77" ht="12.95" customHeight="1" x14ac:dyDescent="0.2">
      <c r="G82" s="5"/>
      <c r="AW82" s="45"/>
      <c r="BY82" s="19"/>
    </row>
    <row r="83" spans="7:77" ht="12.95" customHeight="1" x14ac:dyDescent="0.2">
      <c r="G83" s="5"/>
      <c r="AW83" s="45"/>
      <c r="BY83" s="19"/>
    </row>
    <row r="84" spans="7:77" ht="12.95" customHeight="1" x14ac:dyDescent="0.2">
      <c r="G84" s="5"/>
      <c r="AW84" s="45"/>
      <c r="BY84" s="19"/>
    </row>
    <row r="85" spans="7:77" ht="12.95" customHeight="1" x14ac:dyDescent="0.2">
      <c r="G85" s="5"/>
      <c r="AW85" s="45"/>
      <c r="BY85" s="19"/>
    </row>
    <row r="86" spans="7:77" ht="12.95" customHeight="1" x14ac:dyDescent="0.2">
      <c r="G86" s="5"/>
      <c r="AW86" s="45"/>
      <c r="BY86" s="19"/>
    </row>
    <row r="87" spans="7:77" ht="12.95" customHeight="1" x14ac:dyDescent="0.2">
      <c r="G87" s="5"/>
      <c r="AW87" s="45"/>
      <c r="BY87" s="19"/>
    </row>
    <row r="88" spans="7:77" ht="12.95" customHeight="1" x14ac:dyDescent="0.2">
      <c r="G88" s="5"/>
      <c r="AW88" s="45"/>
      <c r="BY88" s="19"/>
    </row>
    <row r="89" spans="7:77" ht="12.95" customHeight="1" x14ac:dyDescent="0.2">
      <c r="G89" s="5"/>
      <c r="AW89" s="45"/>
      <c r="BY89" s="19"/>
    </row>
    <row r="90" spans="7:77" ht="12.95" customHeight="1" x14ac:dyDescent="0.2">
      <c r="G90" s="5"/>
      <c r="AW90" s="45"/>
      <c r="BY90" s="19"/>
    </row>
    <row r="91" spans="7:77" ht="12.95" customHeight="1" x14ac:dyDescent="0.2">
      <c r="G91" s="5"/>
      <c r="AW91" s="45"/>
      <c r="BY91" s="19"/>
    </row>
    <row r="92" spans="7:77" ht="12.95" customHeight="1" x14ac:dyDescent="0.2">
      <c r="G92" s="5"/>
      <c r="AW92" s="45"/>
      <c r="BY92" s="19"/>
    </row>
    <row r="93" spans="7:77" ht="12.95" customHeight="1" x14ac:dyDescent="0.2">
      <c r="G93" s="5"/>
      <c r="AW93" s="45"/>
      <c r="BY93" s="19"/>
    </row>
    <row r="94" spans="7:77" ht="12.95" customHeight="1" x14ac:dyDescent="0.2">
      <c r="G94" s="5"/>
      <c r="AW94" s="45"/>
      <c r="BY94" s="19"/>
    </row>
    <row r="95" spans="7:77" ht="12.95" customHeight="1" x14ac:dyDescent="0.2">
      <c r="G95" s="5"/>
      <c r="AW95" s="45"/>
      <c r="BY95" s="19"/>
    </row>
    <row r="96" spans="7:77" ht="12.95" customHeight="1" x14ac:dyDescent="0.2">
      <c r="G96" s="5"/>
      <c r="AW96" s="45"/>
      <c r="BY96" s="19"/>
    </row>
    <row r="97" spans="7:77" ht="12.95" customHeight="1" x14ac:dyDescent="0.2">
      <c r="G97" s="5"/>
      <c r="AW97" s="45"/>
      <c r="BY97" s="19"/>
    </row>
    <row r="98" spans="7:77" ht="12.95" customHeight="1" x14ac:dyDescent="0.2">
      <c r="G98" s="5"/>
      <c r="AW98" s="45"/>
      <c r="BY98" s="19"/>
    </row>
    <row r="99" spans="7:77" ht="12.95" customHeight="1" x14ac:dyDescent="0.2">
      <c r="G99" s="5"/>
      <c r="AW99" s="45"/>
      <c r="BY99" s="19"/>
    </row>
    <row r="100" spans="7:77" ht="12.95" customHeight="1" x14ac:dyDescent="0.2">
      <c r="G100" s="5"/>
      <c r="AW100" s="45"/>
      <c r="BY100" s="19"/>
    </row>
    <row r="101" spans="7:77" ht="12.95" customHeight="1" x14ac:dyDescent="0.2">
      <c r="G101" s="5"/>
      <c r="AW101" s="45"/>
      <c r="BY101" s="19"/>
    </row>
    <row r="102" spans="7:77" ht="12.95" customHeight="1" x14ac:dyDescent="0.2">
      <c r="G102" s="5"/>
      <c r="AW102" s="45"/>
      <c r="BY102" s="19"/>
    </row>
    <row r="103" spans="7:77" ht="12.95" customHeight="1" x14ac:dyDescent="0.2">
      <c r="G103" s="5"/>
      <c r="AW103" s="45"/>
      <c r="BY103" s="46"/>
    </row>
    <row r="104" spans="7:77" ht="12.75" x14ac:dyDescent="0.2">
      <c r="BY104" s="19"/>
    </row>
    <row r="105" spans="7:77" ht="12.75" x14ac:dyDescent="0.2">
      <c r="BY105" s="19"/>
    </row>
    <row r="106" spans="7:77" ht="12.75" x14ac:dyDescent="0.2">
      <c r="BY106" s="19"/>
    </row>
    <row r="107" spans="7:77" ht="12.75" x14ac:dyDescent="0.2">
      <c r="BY107" s="19"/>
    </row>
    <row r="108" spans="7:77" ht="12.75" x14ac:dyDescent="0.2">
      <c r="BY108" s="19"/>
    </row>
    <row r="109" spans="7:77" ht="12.75" x14ac:dyDescent="0.2">
      <c r="BY109" s="19"/>
    </row>
    <row r="110" spans="7:77" ht="12.75" x14ac:dyDescent="0.2">
      <c r="BY110" s="19"/>
    </row>
    <row r="111" spans="7:77" ht="12.75" x14ac:dyDescent="0.2">
      <c r="BY111" s="19"/>
    </row>
    <row r="112" spans="7:77" ht="12.75" x14ac:dyDescent="0.2">
      <c r="BY112" s="19"/>
    </row>
    <row r="113" spans="77:77" ht="12.75" x14ac:dyDescent="0.2">
      <c r="BY113" s="19"/>
    </row>
    <row r="114" spans="77:77" ht="12.75" x14ac:dyDescent="0.2">
      <c r="BY114" s="19"/>
    </row>
    <row r="115" spans="77:77" ht="12.75" x14ac:dyDescent="0.2">
      <c r="BY115" s="19"/>
    </row>
    <row r="116" spans="77:77" ht="12.75" x14ac:dyDescent="0.2">
      <c r="BY116" s="19"/>
    </row>
    <row r="117" spans="77:77" ht="12.75" x14ac:dyDescent="0.2">
      <c r="BY117" s="19"/>
    </row>
    <row r="118" spans="77:77" ht="12.75" x14ac:dyDescent="0.2">
      <c r="BY118" s="19"/>
    </row>
    <row r="119" spans="77:77" ht="12.75" x14ac:dyDescent="0.2">
      <c r="BY119" s="19"/>
    </row>
    <row r="120" spans="77:77" ht="12.75" x14ac:dyDescent="0.2">
      <c r="BY120" s="19"/>
    </row>
    <row r="121" spans="77:77" ht="12.75" x14ac:dyDescent="0.2">
      <c r="BY121" s="19"/>
    </row>
    <row r="122" spans="77:77" ht="12.75" x14ac:dyDescent="0.2">
      <c r="BY122" s="19"/>
    </row>
    <row r="123" spans="77:77" ht="12.75" x14ac:dyDescent="0.2">
      <c r="BY123" s="19"/>
    </row>
    <row r="124" spans="77:77" ht="12.75" x14ac:dyDescent="0.2">
      <c r="BY124" s="19"/>
    </row>
    <row r="125" spans="77:77" ht="12.75" x14ac:dyDescent="0.2">
      <c r="BY125" s="19"/>
    </row>
    <row r="126" spans="77:77" ht="12.75" x14ac:dyDescent="0.2">
      <c r="BY126" s="19"/>
    </row>
    <row r="127" spans="77:77" ht="12.75" x14ac:dyDescent="0.2">
      <c r="BY127" s="19"/>
    </row>
    <row r="128" spans="77:77" ht="12.75" x14ac:dyDescent="0.2">
      <c r="BY128" s="19"/>
    </row>
    <row r="129" spans="77:77" ht="12.75" x14ac:dyDescent="0.2">
      <c r="BY129" s="19"/>
    </row>
    <row r="130" spans="77:77" ht="12.75" x14ac:dyDescent="0.2">
      <c r="BY130" s="19"/>
    </row>
    <row r="131" spans="77:77" ht="12.75" x14ac:dyDescent="0.2">
      <c r="BY131" s="19"/>
    </row>
    <row r="132" spans="77:77" ht="12.75" x14ac:dyDescent="0.2">
      <c r="BY132" s="19"/>
    </row>
    <row r="133" spans="77:77" ht="12.75" x14ac:dyDescent="0.2">
      <c r="BY133" s="19"/>
    </row>
    <row r="134" spans="77:77" ht="12.75" x14ac:dyDescent="0.2">
      <c r="BY134" s="19"/>
    </row>
    <row r="135" spans="77:77" ht="12.75" x14ac:dyDescent="0.2">
      <c r="BY135" s="19"/>
    </row>
    <row r="136" spans="77:77" ht="12.75" x14ac:dyDescent="0.2">
      <c r="BY136" s="19"/>
    </row>
    <row r="137" spans="77:77" ht="12.75" x14ac:dyDescent="0.2">
      <c r="BY137" s="19"/>
    </row>
    <row r="138" spans="77:77" ht="12.75" x14ac:dyDescent="0.2">
      <c r="BY138" s="19"/>
    </row>
    <row r="139" spans="77:77" ht="12.75" x14ac:dyDescent="0.2">
      <c r="BY139" s="19"/>
    </row>
    <row r="140" spans="77:77" ht="12.75" x14ac:dyDescent="0.2">
      <c r="BY140" s="19"/>
    </row>
    <row r="141" spans="77:77" ht="12.75" x14ac:dyDescent="0.2">
      <c r="BY141" s="19"/>
    </row>
    <row r="142" spans="77:77" ht="12.75" x14ac:dyDescent="0.2">
      <c r="BY142" s="19"/>
    </row>
    <row r="143" spans="77:77" ht="12.75" x14ac:dyDescent="0.2">
      <c r="BY143" s="46"/>
    </row>
    <row r="144" spans="77:77" ht="12.75" x14ac:dyDescent="0.2">
      <c r="BY144" s="19"/>
    </row>
    <row r="145" spans="77:77" ht="12.75" x14ac:dyDescent="0.2">
      <c r="BY145" s="19"/>
    </row>
    <row r="146" spans="77:77" ht="12.75" x14ac:dyDescent="0.2">
      <c r="BY146" s="19"/>
    </row>
    <row r="147" spans="77:77" ht="12.75" x14ac:dyDescent="0.2">
      <c r="BY147" s="19"/>
    </row>
    <row r="148" spans="77:77" ht="12.75" x14ac:dyDescent="0.2">
      <c r="BY148" s="19"/>
    </row>
    <row r="149" spans="77:77" ht="12.75" x14ac:dyDescent="0.2">
      <c r="BY149" s="19"/>
    </row>
    <row r="150" spans="77:77" ht="12.75" x14ac:dyDescent="0.2">
      <c r="BY150" s="19"/>
    </row>
    <row r="151" spans="77:77" ht="12.75" x14ac:dyDescent="0.2">
      <c r="BY151" s="19"/>
    </row>
    <row r="152" spans="77:77" ht="12.75" x14ac:dyDescent="0.2">
      <c r="BY152" s="19"/>
    </row>
    <row r="153" spans="77:77" ht="12.75" x14ac:dyDescent="0.2">
      <c r="BY153" s="19"/>
    </row>
    <row r="154" spans="77:77" ht="12.75" x14ac:dyDescent="0.2">
      <c r="BY154" s="19"/>
    </row>
    <row r="155" spans="77:77" ht="12.75" x14ac:dyDescent="0.2">
      <c r="BY155" s="19"/>
    </row>
    <row r="156" spans="77:77" ht="12.75" x14ac:dyDescent="0.2">
      <c r="BY156" s="19"/>
    </row>
    <row r="157" spans="77:77" ht="12.75" x14ac:dyDescent="0.2">
      <c r="BY157" s="19"/>
    </row>
    <row r="158" spans="77:77" ht="12.75" x14ac:dyDescent="0.2">
      <c r="BY158" s="19"/>
    </row>
    <row r="159" spans="77:77" ht="12.75" x14ac:dyDescent="0.2">
      <c r="BY159" s="19"/>
    </row>
    <row r="160" spans="77:77" ht="12.75" x14ac:dyDescent="0.2">
      <c r="BY160" s="19"/>
    </row>
    <row r="161" spans="77:77" ht="12.75" x14ac:dyDescent="0.2">
      <c r="BY161" s="19"/>
    </row>
    <row r="162" spans="77:77" ht="12.75" x14ac:dyDescent="0.2">
      <c r="BY162" s="19"/>
    </row>
    <row r="163" spans="77:77" ht="12.75" x14ac:dyDescent="0.2">
      <c r="BY163" s="19"/>
    </row>
    <row r="164" spans="77:77" ht="12.75" x14ac:dyDescent="0.2">
      <c r="BY164" s="19"/>
    </row>
    <row r="165" spans="77:77" ht="12.75" x14ac:dyDescent="0.2">
      <c r="BY165" s="19"/>
    </row>
    <row r="166" spans="77:77" ht="12.75" x14ac:dyDescent="0.2">
      <c r="BY166" s="19"/>
    </row>
    <row r="167" spans="77:77" ht="12.75" x14ac:dyDescent="0.2">
      <c r="BY167" s="19"/>
    </row>
    <row r="168" spans="77:77" ht="12.75" x14ac:dyDescent="0.2">
      <c r="BY168" s="19"/>
    </row>
    <row r="169" spans="77:77" ht="12.75" x14ac:dyDescent="0.2">
      <c r="BY169" s="19"/>
    </row>
    <row r="170" spans="77:77" ht="12.75" x14ac:dyDescent="0.2">
      <c r="BY170" s="19"/>
    </row>
    <row r="171" spans="77:77" ht="12.75" x14ac:dyDescent="0.2">
      <c r="BY171" s="19"/>
    </row>
    <row r="172" spans="77:77" ht="12.75" x14ac:dyDescent="0.2">
      <c r="BY172" s="19"/>
    </row>
    <row r="173" spans="77:77" ht="12.75" x14ac:dyDescent="0.2">
      <c r="BY173" s="19"/>
    </row>
    <row r="174" spans="77:77" ht="12.75" x14ac:dyDescent="0.2">
      <c r="BY174" s="19"/>
    </row>
    <row r="175" spans="77:77" ht="12.75" x14ac:dyDescent="0.2">
      <c r="BY175" s="19"/>
    </row>
    <row r="176" spans="77:77" ht="12.75" x14ac:dyDescent="0.2">
      <c r="BY176" s="19"/>
    </row>
    <row r="177" spans="77:77" ht="12.75" x14ac:dyDescent="0.2">
      <c r="BY177" s="19"/>
    </row>
    <row r="178" spans="77:77" ht="12.75" x14ac:dyDescent="0.2">
      <c r="BY178" s="19"/>
    </row>
    <row r="179" spans="77:77" ht="12.75" x14ac:dyDescent="0.2">
      <c r="BY179" s="19"/>
    </row>
    <row r="180" spans="77:77" ht="12.75" x14ac:dyDescent="0.2">
      <c r="BY180" s="19"/>
    </row>
    <row r="181" spans="77:77" ht="12.75" x14ac:dyDescent="0.2">
      <c r="BY181" s="19"/>
    </row>
    <row r="182" spans="77:77" ht="12.75" x14ac:dyDescent="0.2">
      <c r="BY182" s="19"/>
    </row>
    <row r="183" spans="77:77" ht="12.75" x14ac:dyDescent="0.2">
      <c r="BY183" s="46"/>
    </row>
    <row r="184" spans="77:77" ht="12.75" x14ac:dyDescent="0.2">
      <c r="BY184" s="19"/>
    </row>
    <row r="185" spans="77:77" ht="12.75" x14ac:dyDescent="0.2">
      <c r="BY185" s="19"/>
    </row>
    <row r="186" spans="77:77" ht="12.75" x14ac:dyDescent="0.2">
      <c r="BY186" s="19"/>
    </row>
    <row r="187" spans="77:77" ht="12.75" x14ac:dyDescent="0.2">
      <c r="BY187" s="19"/>
    </row>
    <row r="188" spans="77:77" ht="12.75" x14ac:dyDescent="0.2">
      <c r="BY188" s="19"/>
    </row>
    <row r="189" spans="77:77" ht="12.75" x14ac:dyDescent="0.2">
      <c r="BY189" s="19"/>
    </row>
    <row r="190" spans="77:77" ht="12.75" x14ac:dyDescent="0.2">
      <c r="BY190" s="19"/>
    </row>
    <row r="191" spans="77:77" ht="12.75" x14ac:dyDescent="0.2">
      <c r="BY191" s="19"/>
    </row>
    <row r="192" spans="77:77" ht="12.75" x14ac:dyDescent="0.2">
      <c r="BY192" s="19"/>
    </row>
    <row r="193" spans="77:77" ht="12.75" x14ac:dyDescent="0.2">
      <c r="BY193" s="19"/>
    </row>
    <row r="194" spans="77:77" ht="12.75" x14ac:dyDescent="0.2">
      <c r="BY194" s="19"/>
    </row>
    <row r="195" spans="77:77" ht="12.75" x14ac:dyDescent="0.2">
      <c r="BY195" s="19"/>
    </row>
    <row r="196" spans="77:77" ht="12.75" x14ac:dyDescent="0.2">
      <c r="BY196" s="19"/>
    </row>
    <row r="197" spans="77:77" ht="12.75" x14ac:dyDescent="0.2">
      <c r="BY197" s="19"/>
    </row>
    <row r="198" spans="77:77" ht="12.75" x14ac:dyDescent="0.2">
      <c r="BY198" s="19"/>
    </row>
    <row r="199" spans="77:77" ht="12.75" x14ac:dyDescent="0.2">
      <c r="BY199" s="19"/>
    </row>
    <row r="200" spans="77:77" ht="12.75" x14ac:dyDescent="0.2">
      <c r="BY200" s="19"/>
    </row>
    <row r="201" spans="77:77" ht="12.75" x14ac:dyDescent="0.2">
      <c r="BY201" s="19"/>
    </row>
    <row r="202" spans="77:77" ht="12.75" x14ac:dyDescent="0.2">
      <c r="BY202" s="19"/>
    </row>
    <row r="203" spans="77:77" ht="12.75" x14ac:dyDescent="0.2">
      <c r="BY203" s="19"/>
    </row>
    <row r="204" spans="77:77" ht="12.75" x14ac:dyDescent="0.2">
      <c r="BY204" s="19"/>
    </row>
    <row r="205" spans="77:77" ht="12.75" x14ac:dyDescent="0.2">
      <c r="BY205" s="19"/>
    </row>
    <row r="206" spans="77:77" ht="12.75" x14ac:dyDescent="0.2">
      <c r="BY206" s="19"/>
    </row>
    <row r="207" spans="77:77" ht="12.75" x14ac:dyDescent="0.2">
      <c r="BY207" s="19"/>
    </row>
    <row r="208" spans="77:77" ht="12.75" x14ac:dyDescent="0.2">
      <c r="BY208" s="19"/>
    </row>
    <row r="209" spans="77:77" ht="12.75" x14ac:dyDescent="0.2">
      <c r="BY209" s="19"/>
    </row>
    <row r="210" spans="77:77" ht="12.75" x14ac:dyDescent="0.2">
      <c r="BY210" s="19"/>
    </row>
    <row r="211" spans="77:77" ht="12.75" x14ac:dyDescent="0.2">
      <c r="BY211" s="19"/>
    </row>
    <row r="212" spans="77:77" ht="12.75" x14ac:dyDescent="0.2">
      <c r="BY212" s="19"/>
    </row>
    <row r="213" spans="77:77" ht="12.75" x14ac:dyDescent="0.2">
      <c r="BY213" s="19"/>
    </row>
    <row r="214" spans="77:77" ht="12.75" x14ac:dyDescent="0.2">
      <c r="BY214" s="19"/>
    </row>
    <row r="215" spans="77:77" ht="12.75" x14ac:dyDescent="0.2">
      <c r="BY215" s="19"/>
    </row>
    <row r="216" spans="77:77" ht="12.75" x14ac:dyDescent="0.2">
      <c r="BY216" s="19"/>
    </row>
    <row r="217" spans="77:77" ht="12.75" x14ac:dyDescent="0.2">
      <c r="BY217" s="19"/>
    </row>
    <row r="218" spans="77:77" ht="12.75" x14ac:dyDescent="0.2">
      <c r="BY218" s="19"/>
    </row>
    <row r="219" spans="77:77" ht="12.75" x14ac:dyDescent="0.2">
      <c r="BY219" s="19"/>
    </row>
    <row r="220" spans="77:77" ht="12.75" x14ac:dyDescent="0.2">
      <c r="BY220" s="19"/>
    </row>
    <row r="221" spans="77:77" ht="12.75" x14ac:dyDescent="0.2">
      <c r="BY221" s="19"/>
    </row>
    <row r="222" spans="77:77" ht="12.75" x14ac:dyDescent="0.2">
      <c r="BY222" s="19"/>
    </row>
    <row r="223" spans="77:77" ht="12.75" x14ac:dyDescent="0.2">
      <c r="BY223" s="46"/>
    </row>
    <row r="224" spans="77:77" ht="12.75" x14ac:dyDescent="0.2">
      <c r="BY224" s="19"/>
    </row>
    <row r="225" spans="77:77" ht="12.75" x14ac:dyDescent="0.2">
      <c r="BY225" s="19"/>
    </row>
    <row r="226" spans="77:77" ht="12.75" x14ac:dyDescent="0.2">
      <c r="BY226" s="19"/>
    </row>
    <row r="227" spans="77:77" ht="12.75" x14ac:dyDescent="0.2">
      <c r="BY227" s="19"/>
    </row>
    <row r="228" spans="77:77" ht="12.75" x14ac:dyDescent="0.2">
      <c r="BY228" s="19"/>
    </row>
    <row r="229" spans="77:77" ht="12.75" x14ac:dyDescent="0.2">
      <c r="BY229" s="19"/>
    </row>
    <row r="230" spans="77:77" ht="12.75" x14ac:dyDescent="0.2">
      <c r="BY230" s="19"/>
    </row>
    <row r="231" spans="77:77" ht="12.75" x14ac:dyDescent="0.2">
      <c r="BY231" s="19"/>
    </row>
    <row r="232" spans="77:77" ht="12.75" x14ac:dyDescent="0.2">
      <c r="BY232" s="19"/>
    </row>
    <row r="233" spans="77:77" ht="12.75" x14ac:dyDescent="0.2">
      <c r="BY233" s="19"/>
    </row>
    <row r="234" spans="77:77" ht="12.75" x14ac:dyDescent="0.2">
      <c r="BY234" s="19"/>
    </row>
    <row r="235" spans="77:77" ht="12.75" x14ac:dyDescent="0.2">
      <c r="BY235" s="19"/>
    </row>
    <row r="236" spans="77:77" ht="12.75" x14ac:dyDescent="0.2">
      <c r="BY236" s="19"/>
    </row>
    <row r="237" spans="77:77" ht="12.75" x14ac:dyDescent="0.2">
      <c r="BY237" s="19"/>
    </row>
    <row r="238" spans="77:77" ht="12.75" x14ac:dyDescent="0.2">
      <c r="BY238" s="19"/>
    </row>
    <row r="239" spans="77:77" ht="12.75" x14ac:dyDescent="0.2">
      <c r="BY239" s="19"/>
    </row>
    <row r="240" spans="77:77" ht="12.75" x14ac:dyDescent="0.2">
      <c r="BY240" s="19"/>
    </row>
    <row r="241" spans="77:77" ht="12.75" x14ac:dyDescent="0.2">
      <c r="BY241" s="19"/>
    </row>
    <row r="242" spans="77:77" ht="12.75" x14ac:dyDescent="0.2">
      <c r="BY242" s="19"/>
    </row>
    <row r="243" spans="77:77" ht="12.75" x14ac:dyDescent="0.2">
      <c r="BY243" s="19"/>
    </row>
    <row r="244" spans="77:77" ht="12.75" x14ac:dyDescent="0.2">
      <c r="BY244" s="19"/>
    </row>
    <row r="245" spans="77:77" ht="12.75" x14ac:dyDescent="0.2">
      <c r="BY245" s="19"/>
    </row>
    <row r="246" spans="77:77" ht="12.75" x14ac:dyDescent="0.2">
      <c r="BY246" s="19"/>
    </row>
    <row r="247" spans="77:77" ht="12.75" x14ac:dyDescent="0.2">
      <c r="BY247" s="19"/>
    </row>
    <row r="248" spans="77:77" ht="12.75" x14ac:dyDescent="0.2">
      <c r="BY248" s="19"/>
    </row>
    <row r="249" spans="77:77" ht="12.75" x14ac:dyDescent="0.2">
      <c r="BY249" s="19"/>
    </row>
    <row r="250" spans="77:77" ht="12.75" x14ac:dyDescent="0.2">
      <c r="BY250" s="19"/>
    </row>
    <row r="251" spans="77:77" ht="12.75" x14ac:dyDescent="0.2">
      <c r="BY251" s="19"/>
    </row>
    <row r="252" spans="77:77" ht="12.75" x14ac:dyDescent="0.2">
      <c r="BY252" s="19"/>
    </row>
    <row r="253" spans="77:77" ht="12.75" x14ac:dyDescent="0.2">
      <c r="BY253" s="19"/>
    </row>
    <row r="254" spans="77:77" ht="12.75" x14ac:dyDescent="0.2">
      <c r="BY254" s="19"/>
    </row>
    <row r="255" spans="77:77" ht="12.75" x14ac:dyDescent="0.2">
      <c r="BY255" s="19"/>
    </row>
    <row r="256" spans="77:77" ht="12.75" x14ac:dyDescent="0.2">
      <c r="BY256" s="19"/>
    </row>
    <row r="257" spans="77:77" ht="12.75" x14ac:dyDescent="0.2">
      <c r="BY257" s="19"/>
    </row>
    <row r="258" spans="77:77" ht="12.75" x14ac:dyDescent="0.2">
      <c r="BY258" s="19"/>
    </row>
    <row r="259" spans="77:77" ht="12.75" x14ac:dyDescent="0.2">
      <c r="BY259" s="19"/>
    </row>
    <row r="260" spans="77:77" ht="12.75" x14ac:dyDescent="0.2">
      <c r="BY260" s="19"/>
    </row>
    <row r="261" spans="77:77" ht="12.75" x14ac:dyDescent="0.2">
      <c r="BY261" s="19"/>
    </row>
    <row r="262" spans="77:77" ht="12.75" x14ac:dyDescent="0.2">
      <c r="BY262" s="19"/>
    </row>
    <row r="263" spans="77:77" ht="12.75" x14ac:dyDescent="0.2">
      <c r="BY263" s="46"/>
    </row>
    <row r="264" spans="77:77" ht="12.75" x14ac:dyDescent="0.2">
      <c r="BY264" s="19"/>
    </row>
    <row r="265" spans="77:77" ht="12.75" x14ac:dyDescent="0.2">
      <c r="BY265" s="19"/>
    </row>
    <row r="266" spans="77:77" ht="12.75" x14ac:dyDescent="0.2">
      <c r="BY266" s="19"/>
    </row>
    <row r="267" spans="77:77" ht="12.75" x14ac:dyDescent="0.2">
      <c r="BY267" s="19"/>
    </row>
    <row r="268" spans="77:77" ht="12.75" x14ac:dyDescent="0.2">
      <c r="BY268" s="19"/>
    </row>
    <row r="269" spans="77:77" ht="12.75" x14ac:dyDescent="0.2">
      <c r="BY269" s="19"/>
    </row>
    <row r="270" spans="77:77" ht="12.75" x14ac:dyDescent="0.2">
      <c r="BY270" s="19"/>
    </row>
    <row r="271" spans="77:77" ht="12.75" x14ac:dyDescent="0.2">
      <c r="BY271" s="19"/>
    </row>
    <row r="272" spans="77:77" ht="12.75" x14ac:dyDescent="0.2">
      <c r="BY272" s="19"/>
    </row>
    <row r="273" spans="77:77" ht="12.75" x14ac:dyDescent="0.2">
      <c r="BY273" s="19"/>
    </row>
    <row r="274" spans="77:77" ht="12.75" x14ac:dyDescent="0.2">
      <c r="BY274" s="19"/>
    </row>
    <row r="275" spans="77:77" ht="12.75" x14ac:dyDescent="0.2">
      <c r="BY275" s="19"/>
    </row>
    <row r="276" spans="77:77" ht="12.75" x14ac:dyDescent="0.2">
      <c r="BY276" s="19"/>
    </row>
    <row r="277" spans="77:77" ht="12.75" x14ac:dyDescent="0.2">
      <c r="BY277" s="19"/>
    </row>
    <row r="278" spans="77:77" ht="12.75" x14ac:dyDescent="0.2">
      <c r="BY278" s="19"/>
    </row>
    <row r="279" spans="77:77" ht="12.75" x14ac:dyDescent="0.2">
      <c r="BY279" s="19"/>
    </row>
    <row r="280" spans="77:77" ht="12.75" x14ac:dyDescent="0.2">
      <c r="BY280" s="19"/>
    </row>
    <row r="281" spans="77:77" ht="12.75" x14ac:dyDescent="0.2">
      <c r="BY281" s="19"/>
    </row>
    <row r="282" spans="77:77" ht="12.75" x14ac:dyDescent="0.2">
      <c r="BY282" s="19"/>
    </row>
    <row r="283" spans="77:77" ht="12.75" x14ac:dyDescent="0.2">
      <c r="BY283" s="19"/>
    </row>
    <row r="284" spans="77:77" ht="12.75" x14ac:dyDescent="0.2">
      <c r="BY284" s="19"/>
    </row>
    <row r="285" spans="77:77" ht="12.75" x14ac:dyDescent="0.2">
      <c r="BY285" s="19"/>
    </row>
    <row r="286" spans="77:77" ht="12.75" x14ac:dyDescent="0.2">
      <c r="BY286" s="19"/>
    </row>
    <row r="287" spans="77:77" ht="12.75" x14ac:dyDescent="0.2">
      <c r="BY287" s="19"/>
    </row>
    <row r="288" spans="77:77" ht="12.75" x14ac:dyDescent="0.2">
      <c r="BY288" s="19"/>
    </row>
    <row r="289" spans="77:77" ht="12.75" x14ac:dyDescent="0.2">
      <c r="BY289" s="19"/>
    </row>
    <row r="290" spans="77:77" ht="12.75" x14ac:dyDescent="0.2">
      <c r="BY290" s="19"/>
    </row>
    <row r="291" spans="77:77" ht="12.75" x14ac:dyDescent="0.2">
      <c r="BY291" s="19"/>
    </row>
    <row r="292" spans="77:77" ht="12.75" x14ac:dyDescent="0.2">
      <c r="BY292" s="19"/>
    </row>
    <row r="293" spans="77:77" ht="12.75" x14ac:dyDescent="0.2">
      <c r="BY293" s="19"/>
    </row>
    <row r="294" spans="77:77" ht="12.75" x14ac:dyDescent="0.2">
      <c r="BY294" s="19"/>
    </row>
    <row r="295" spans="77:77" ht="12.75" x14ac:dyDescent="0.2">
      <c r="BY295" s="19"/>
    </row>
    <row r="296" spans="77:77" ht="12.75" x14ac:dyDescent="0.2">
      <c r="BY296" s="19"/>
    </row>
    <row r="297" spans="77:77" ht="12.75" x14ac:dyDescent="0.2">
      <c r="BY297" s="19"/>
    </row>
    <row r="298" spans="77:77" ht="12.75" x14ac:dyDescent="0.2">
      <c r="BY298" s="19"/>
    </row>
    <row r="299" spans="77:77" ht="12.75" x14ac:dyDescent="0.2">
      <c r="BY299" s="19"/>
    </row>
    <row r="300" spans="77:77" ht="12.75" x14ac:dyDescent="0.2">
      <c r="BY300" s="19"/>
    </row>
    <row r="301" spans="77:77" ht="12.75" x14ac:dyDescent="0.2">
      <c r="BY301" s="19"/>
    </row>
    <row r="302" spans="77:77" ht="12.75" x14ac:dyDescent="0.2">
      <c r="BY302" s="19"/>
    </row>
    <row r="303" spans="77:77" ht="12.75" x14ac:dyDescent="0.2">
      <c r="BY303" s="46"/>
    </row>
    <row r="304" spans="77:77" ht="12.75" x14ac:dyDescent="0.2">
      <c r="BY304" s="19"/>
    </row>
    <row r="305" spans="77:77" ht="12.75" x14ac:dyDescent="0.2">
      <c r="BY305" s="19"/>
    </row>
    <row r="306" spans="77:77" ht="12.75" x14ac:dyDescent="0.2">
      <c r="BY306" s="19"/>
    </row>
    <row r="307" spans="77:77" ht="12.75" x14ac:dyDescent="0.2">
      <c r="BY307" s="19"/>
    </row>
    <row r="308" spans="77:77" ht="12.75" x14ac:dyDescent="0.2">
      <c r="BY308" s="19"/>
    </row>
    <row r="309" spans="77:77" ht="12.75" x14ac:dyDescent="0.2">
      <c r="BY309" s="19"/>
    </row>
    <row r="310" spans="77:77" ht="12.75" x14ac:dyDescent="0.2">
      <c r="BY310" s="19"/>
    </row>
    <row r="311" spans="77:77" ht="12.75" x14ac:dyDescent="0.2">
      <c r="BY311" s="19"/>
    </row>
    <row r="312" spans="77:77" ht="12.75" x14ac:dyDescent="0.2">
      <c r="BY312" s="19"/>
    </row>
    <row r="313" spans="77:77" ht="12.75" x14ac:dyDescent="0.2">
      <c r="BY313" s="19"/>
    </row>
    <row r="314" spans="77:77" ht="12.75" x14ac:dyDescent="0.2">
      <c r="BY314" s="19"/>
    </row>
    <row r="315" spans="77:77" ht="12.75" x14ac:dyDescent="0.2">
      <c r="BY315" s="19"/>
    </row>
    <row r="316" spans="77:77" ht="12.75" x14ac:dyDescent="0.2">
      <c r="BY316" s="19"/>
    </row>
    <row r="317" spans="77:77" ht="12.75" x14ac:dyDescent="0.2">
      <c r="BY317" s="19"/>
    </row>
    <row r="318" spans="77:77" ht="12.75" x14ac:dyDescent="0.2">
      <c r="BY318" s="19"/>
    </row>
    <row r="319" spans="77:77" ht="12.75" x14ac:dyDescent="0.2">
      <c r="BY319" s="19"/>
    </row>
    <row r="320" spans="77:77" ht="12.75" x14ac:dyDescent="0.2">
      <c r="BY320" s="19"/>
    </row>
    <row r="321" spans="77:77" ht="12.75" x14ac:dyDescent="0.2">
      <c r="BY321" s="19"/>
    </row>
    <row r="322" spans="77:77" ht="12.75" x14ac:dyDescent="0.2">
      <c r="BY322" s="19"/>
    </row>
    <row r="323" spans="77:77" ht="12.75" x14ac:dyDescent="0.2">
      <c r="BY323" s="19"/>
    </row>
    <row r="324" spans="77:77" ht="12.75" x14ac:dyDescent="0.2">
      <c r="BY324" s="19"/>
    </row>
    <row r="325" spans="77:77" ht="12.75" x14ac:dyDescent="0.2">
      <c r="BY325" s="19"/>
    </row>
    <row r="326" spans="77:77" ht="12.75" x14ac:dyDescent="0.2">
      <c r="BY326" s="19"/>
    </row>
    <row r="327" spans="77:77" ht="12.75" x14ac:dyDescent="0.2">
      <c r="BY327" s="19"/>
    </row>
    <row r="328" spans="77:77" ht="12.75" x14ac:dyDescent="0.2">
      <c r="BY328" s="19"/>
    </row>
    <row r="329" spans="77:77" ht="12.75" x14ac:dyDescent="0.2">
      <c r="BY329" s="19"/>
    </row>
    <row r="330" spans="77:77" ht="12.75" x14ac:dyDescent="0.2">
      <c r="BY330" s="19"/>
    </row>
    <row r="331" spans="77:77" ht="12.75" x14ac:dyDescent="0.2">
      <c r="BY331" s="19"/>
    </row>
    <row r="332" spans="77:77" ht="12.75" x14ac:dyDescent="0.2">
      <c r="BY332" s="19"/>
    </row>
    <row r="333" spans="77:77" ht="12.75" x14ac:dyDescent="0.2">
      <c r="BY333" s="19"/>
    </row>
    <row r="334" spans="77:77" ht="12.75" x14ac:dyDescent="0.2">
      <c r="BY334" s="19"/>
    </row>
    <row r="335" spans="77:77" ht="12.75" x14ac:dyDescent="0.2">
      <c r="BY335" s="19"/>
    </row>
    <row r="336" spans="77:77" ht="12.75" x14ac:dyDescent="0.2">
      <c r="BY336" s="19"/>
    </row>
    <row r="337" spans="77:77" ht="12.75" x14ac:dyDescent="0.2">
      <c r="BY337" s="19"/>
    </row>
    <row r="338" spans="77:77" ht="12.75" x14ac:dyDescent="0.2">
      <c r="BY338" s="19"/>
    </row>
    <row r="339" spans="77:77" ht="12.75" x14ac:dyDescent="0.2">
      <c r="BY339" s="19"/>
    </row>
    <row r="340" spans="77:77" ht="12.75" x14ac:dyDescent="0.2">
      <c r="BY340" s="19"/>
    </row>
    <row r="341" spans="77:77" ht="12.75" x14ac:dyDescent="0.2">
      <c r="BY341" s="19"/>
    </row>
    <row r="342" spans="77:77" ht="12.75" x14ac:dyDescent="0.2">
      <c r="BY342" s="19"/>
    </row>
    <row r="343" spans="77:77" ht="12.75" x14ac:dyDescent="0.2">
      <c r="BY343" s="46"/>
    </row>
    <row r="344" spans="77:77" ht="12.75" x14ac:dyDescent="0.2">
      <c r="BY344" s="19"/>
    </row>
    <row r="345" spans="77:77" ht="12.75" x14ac:dyDescent="0.2">
      <c r="BY345" s="19"/>
    </row>
    <row r="346" spans="77:77" ht="12.75" x14ac:dyDescent="0.2">
      <c r="BY346" s="19"/>
    </row>
    <row r="347" spans="77:77" ht="12.75" x14ac:dyDescent="0.2">
      <c r="BY347" s="19"/>
    </row>
    <row r="348" spans="77:77" ht="12.75" x14ac:dyDescent="0.2">
      <c r="BY348" s="19"/>
    </row>
    <row r="349" spans="77:77" ht="12.75" x14ac:dyDescent="0.2">
      <c r="BY349" s="19"/>
    </row>
    <row r="350" spans="77:77" ht="12.75" x14ac:dyDescent="0.2">
      <c r="BY350" s="19"/>
    </row>
    <row r="351" spans="77:77" ht="12.75" x14ac:dyDescent="0.2">
      <c r="BY351" s="19"/>
    </row>
    <row r="352" spans="77:77" ht="12.75" x14ac:dyDescent="0.2">
      <c r="BY352" s="19"/>
    </row>
    <row r="353" spans="77:77" ht="12.75" x14ac:dyDescent="0.2">
      <c r="BY353" s="19"/>
    </row>
    <row r="354" spans="77:77" ht="12.75" x14ac:dyDescent="0.2">
      <c r="BY354" s="19"/>
    </row>
    <row r="355" spans="77:77" ht="12.75" x14ac:dyDescent="0.2">
      <c r="BY355" s="19"/>
    </row>
    <row r="356" spans="77:77" ht="12.75" x14ac:dyDescent="0.2">
      <c r="BY356" s="19"/>
    </row>
    <row r="357" spans="77:77" ht="12.75" x14ac:dyDescent="0.2">
      <c r="BY357" s="19"/>
    </row>
    <row r="358" spans="77:77" ht="12.75" x14ac:dyDescent="0.2">
      <c r="BY358" s="19"/>
    </row>
    <row r="359" spans="77:77" ht="12.75" x14ac:dyDescent="0.2">
      <c r="BY359" s="19"/>
    </row>
    <row r="360" spans="77:77" ht="12.75" x14ac:dyDescent="0.2">
      <c r="BY360" s="19"/>
    </row>
    <row r="361" spans="77:77" ht="12.75" x14ac:dyDescent="0.2">
      <c r="BY361" s="19"/>
    </row>
    <row r="362" spans="77:77" ht="12.75" x14ac:dyDescent="0.2">
      <c r="BY362" s="19"/>
    </row>
    <row r="363" spans="77:77" ht="12.75" x14ac:dyDescent="0.2">
      <c r="BY363" s="19"/>
    </row>
    <row r="364" spans="77:77" ht="12.75" x14ac:dyDescent="0.2">
      <c r="BY364" s="19"/>
    </row>
    <row r="365" spans="77:77" ht="12.75" x14ac:dyDescent="0.2">
      <c r="BY365" s="19"/>
    </row>
    <row r="366" spans="77:77" ht="12.75" x14ac:dyDescent="0.2">
      <c r="BY366" s="19"/>
    </row>
    <row r="367" spans="77:77" ht="12.75" x14ac:dyDescent="0.2">
      <c r="BY367" s="19"/>
    </row>
    <row r="368" spans="77:77" ht="12.75" x14ac:dyDescent="0.2">
      <c r="BY368" s="19"/>
    </row>
    <row r="369" spans="77:77" ht="12.75" x14ac:dyDescent="0.2">
      <c r="BY369" s="19"/>
    </row>
    <row r="370" spans="77:77" ht="12.75" x14ac:dyDescent="0.2">
      <c r="BY370" s="19"/>
    </row>
    <row r="371" spans="77:77" ht="12.75" x14ac:dyDescent="0.2">
      <c r="BY371" s="19"/>
    </row>
    <row r="372" spans="77:77" ht="12.75" x14ac:dyDescent="0.2">
      <c r="BY372" s="19"/>
    </row>
    <row r="373" spans="77:77" ht="12.75" x14ac:dyDescent="0.2">
      <c r="BY373" s="19"/>
    </row>
    <row r="374" spans="77:77" ht="12.75" x14ac:dyDescent="0.2">
      <c r="BY374" s="19"/>
    </row>
    <row r="375" spans="77:77" ht="12.75" x14ac:dyDescent="0.2">
      <c r="BY375" s="19"/>
    </row>
    <row r="376" spans="77:77" ht="12.75" x14ac:dyDescent="0.2">
      <c r="BY376" s="19"/>
    </row>
    <row r="377" spans="77:77" ht="12.75" x14ac:dyDescent="0.2">
      <c r="BY377" s="19"/>
    </row>
    <row r="378" spans="77:77" ht="12.75" x14ac:dyDescent="0.2">
      <c r="BY378" s="19"/>
    </row>
    <row r="379" spans="77:77" ht="12.75" x14ac:dyDescent="0.2">
      <c r="BY379" s="19"/>
    </row>
    <row r="380" spans="77:77" ht="12.75" x14ac:dyDescent="0.2">
      <c r="BY380" s="19"/>
    </row>
    <row r="381" spans="77:77" ht="12.75" x14ac:dyDescent="0.2">
      <c r="BY381" s="19"/>
    </row>
    <row r="382" spans="77:77" ht="12.75" x14ac:dyDescent="0.2">
      <c r="BY382" s="19"/>
    </row>
    <row r="383" spans="77:77" ht="12.75" x14ac:dyDescent="0.2">
      <c r="BY383" s="46"/>
    </row>
    <row r="384" spans="77:77" ht="12.75" x14ac:dyDescent="0.2">
      <c r="BY384" s="19"/>
    </row>
    <row r="385" spans="77:77" ht="12.75" x14ac:dyDescent="0.2">
      <c r="BY385" s="19"/>
    </row>
    <row r="386" spans="77:77" ht="12.75" x14ac:dyDescent="0.2">
      <c r="BY386" s="19"/>
    </row>
    <row r="387" spans="77:77" ht="12.75" x14ac:dyDescent="0.2">
      <c r="BY387" s="19"/>
    </row>
    <row r="388" spans="77:77" ht="12.75" x14ac:dyDescent="0.2">
      <c r="BY388" s="19"/>
    </row>
    <row r="389" spans="77:77" ht="12.75" x14ac:dyDescent="0.2">
      <c r="BY389" s="19"/>
    </row>
    <row r="390" spans="77:77" ht="12.75" x14ac:dyDescent="0.2">
      <c r="BY390" s="19"/>
    </row>
    <row r="391" spans="77:77" ht="12.75" x14ac:dyDescent="0.2">
      <c r="BY391" s="19"/>
    </row>
    <row r="392" spans="77:77" ht="12.75" x14ac:dyDescent="0.2">
      <c r="BY392" s="19"/>
    </row>
    <row r="393" spans="77:77" ht="12.75" x14ac:dyDescent="0.2">
      <c r="BY393" s="19"/>
    </row>
    <row r="394" spans="77:77" ht="12.75" x14ac:dyDescent="0.2">
      <c r="BY394" s="19"/>
    </row>
    <row r="395" spans="77:77" ht="12.75" x14ac:dyDescent="0.2">
      <c r="BY395" s="19"/>
    </row>
    <row r="396" spans="77:77" ht="12.75" x14ac:dyDescent="0.2">
      <c r="BY396" s="19"/>
    </row>
    <row r="397" spans="77:77" ht="12.75" x14ac:dyDescent="0.2">
      <c r="BY397" s="19"/>
    </row>
    <row r="398" spans="77:77" ht="12.75" x14ac:dyDescent="0.2">
      <c r="BY398" s="19"/>
    </row>
    <row r="399" spans="77:77" ht="12.75" x14ac:dyDescent="0.2">
      <c r="BY399" s="19"/>
    </row>
    <row r="400" spans="77:77" ht="12.75" x14ac:dyDescent="0.2">
      <c r="BY400" s="19"/>
    </row>
    <row r="401" spans="77:77" ht="12.75" x14ac:dyDescent="0.2">
      <c r="BY401" s="19"/>
    </row>
    <row r="402" spans="77:77" ht="12.75" x14ac:dyDescent="0.2">
      <c r="BY402" s="19"/>
    </row>
    <row r="403" spans="77:77" ht="12.75" x14ac:dyDescent="0.2">
      <c r="BY403" s="19"/>
    </row>
    <row r="404" spans="77:77" ht="12.75" x14ac:dyDescent="0.2">
      <c r="BY404" s="19"/>
    </row>
    <row r="405" spans="77:77" ht="12.75" x14ac:dyDescent="0.2">
      <c r="BY405" s="19"/>
    </row>
    <row r="406" spans="77:77" ht="12.75" x14ac:dyDescent="0.2">
      <c r="BY406" s="19"/>
    </row>
    <row r="407" spans="77:77" ht="12.75" x14ac:dyDescent="0.2">
      <c r="BY407" s="19"/>
    </row>
    <row r="408" spans="77:77" ht="12.75" x14ac:dyDescent="0.2">
      <c r="BY408" s="19"/>
    </row>
    <row r="409" spans="77:77" ht="12.75" x14ac:dyDescent="0.2">
      <c r="BY409" s="19"/>
    </row>
    <row r="410" spans="77:77" ht="12.75" x14ac:dyDescent="0.2">
      <c r="BY410" s="19"/>
    </row>
    <row r="411" spans="77:77" ht="12.75" x14ac:dyDescent="0.2">
      <c r="BY411" s="19"/>
    </row>
    <row r="412" spans="77:77" ht="12.75" x14ac:dyDescent="0.2">
      <c r="BY412" s="19"/>
    </row>
    <row r="413" spans="77:77" ht="12.75" x14ac:dyDescent="0.2">
      <c r="BY413" s="19"/>
    </row>
    <row r="414" spans="77:77" ht="12.75" x14ac:dyDescent="0.2">
      <c r="BY414" s="19"/>
    </row>
    <row r="415" spans="77:77" ht="12.75" x14ac:dyDescent="0.2">
      <c r="BY415" s="19"/>
    </row>
    <row r="416" spans="77:77" ht="12.75" x14ac:dyDescent="0.2">
      <c r="BY416" s="19"/>
    </row>
    <row r="417" spans="77:77" ht="12.75" x14ac:dyDescent="0.2">
      <c r="BY417" s="19"/>
    </row>
    <row r="418" spans="77:77" ht="12.75" x14ac:dyDescent="0.2">
      <c r="BY418" s="19"/>
    </row>
    <row r="419" spans="77:77" ht="12.75" x14ac:dyDescent="0.2">
      <c r="BY419" s="19"/>
    </row>
    <row r="420" spans="77:77" ht="12.75" x14ac:dyDescent="0.2">
      <c r="BY420" s="19"/>
    </row>
    <row r="421" spans="77:77" ht="12.75" x14ac:dyDescent="0.2">
      <c r="BY421" s="19"/>
    </row>
    <row r="422" spans="77:77" ht="12.75" x14ac:dyDescent="0.2">
      <c r="BY422" s="19"/>
    </row>
    <row r="423" spans="77:77" ht="12.75" x14ac:dyDescent="0.2">
      <c r="BY423" s="46"/>
    </row>
    <row r="424" spans="77:77" ht="12.75" x14ac:dyDescent="0.2">
      <c r="BY424" s="19"/>
    </row>
    <row r="425" spans="77:77" ht="12.75" x14ac:dyDescent="0.2">
      <c r="BY425" s="19"/>
    </row>
    <row r="426" spans="77:77" ht="12.75" x14ac:dyDescent="0.2">
      <c r="BY426" s="19"/>
    </row>
    <row r="427" spans="77:77" ht="12.75" x14ac:dyDescent="0.2">
      <c r="BY427" s="19"/>
    </row>
    <row r="428" spans="77:77" ht="12.75" x14ac:dyDescent="0.2">
      <c r="BY428" s="19"/>
    </row>
    <row r="429" spans="77:77" ht="12.75" x14ac:dyDescent="0.2">
      <c r="BY429" s="19"/>
    </row>
    <row r="430" spans="77:77" ht="12.75" x14ac:dyDescent="0.2">
      <c r="BY430" s="19"/>
    </row>
    <row r="431" spans="77:77" ht="12.75" x14ac:dyDescent="0.2">
      <c r="BY431" s="19"/>
    </row>
    <row r="432" spans="77:77" ht="12.75" x14ac:dyDescent="0.2">
      <c r="BY432" s="19"/>
    </row>
    <row r="433" spans="77:77" ht="12.75" x14ac:dyDescent="0.2">
      <c r="BY433" s="19"/>
    </row>
    <row r="434" spans="77:77" ht="12.75" x14ac:dyDescent="0.2">
      <c r="BY434" s="19"/>
    </row>
    <row r="435" spans="77:77" ht="12.75" x14ac:dyDescent="0.2">
      <c r="BY435" s="19"/>
    </row>
    <row r="436" spans="77:77" ht="12.75" x14ac:dyDescent="0.2">
      <c r="BY436" s="19"/>
    </row>
    <row r="437" spans="77:77" ht="12.75" x14ac:dyDescent="0.2">
      <c r="BY437" s="19"/>
    </row>
    <row r="438" spans="77:77" ht="12.75" x14ac:dyDescent="0.2">
      <c r="BY438" s="19"/>
    </row>
    <row r="439" spans="77:77" ht="12.75" x14ac:dyDescent="0.2">
      <c r="BY439" s="19"/>
    </row>
    <row r="440" spans="77:77" ht="12.75" x14ac:dyDescent="0.2">
      <c r="BY440" s="19"/>
    </row>
    <row r="441" spans="77:77" ht="12.75" x14ac:dyDescent="0.2">
      <c r="BY441" s="19"/>
    </row>
    <row r="442" spans="77:77" ht="12.75" x14ac:dyDescent="0.2">
      <c r="BY442" s="19"/>
    </row>
    <row r="443" spans="77:77" ht="12.75" x14ac:dyDescent="0.2">
      <c r="BY443" s="19"/>
    </row>
    <row r="444" spans="77:77" ht="12.75" x14ac:dyDescent="0.2">
      <c r="BY444" s="19"/>
    </row>
    <row r="445" spans="77:77" ht="12.75" x14ac:dyDescent="0.2">
      <c r="BY445" s="19"/>
    </row>
    <row r="446" spans="77:77" ht="12.75" x14ac:dyDescent="0.2">
      <c r="BY446" s="19"/>
    </row>
    <row r="447" spans="77:77" ht="12.75" x14ac:dyDescent="0.2">
      <c r="BY447" s="19"/>
    </row>
    <row r="448" spans="77:77" ht="12.75" x14ac:dyDescent="0.2">
      <c r="BY448" s="19"/>
    </row>
    <row r="449" spans="77:77" ht="12.75" x14ac:dyDescent="0.2">
      <c r="BY449" s="19"/>
    </row>
    <row r="450" spans="77:77" ht="12.75" x14ac:dyDescent="0.2">
      <c r="BY450" s="19"/>
    </row>
    <row r="451" spans="77:77" ht="12.75" x14ac:dyDescent="0.2">
      <c r="BY451" s="19"/>
    </row>
    <row r="452" spans="77:77" ht="12.75" x14ac:dyDescent="0.2">
      <c r="BY452" s="19"/>
    </row>
    <row r="453" spans="77:77" ht="12.75" x14ac:dyDescent="0.2">
      <c r="BY453" s="19"/>
    </row>
    <row r="454" spans="77:77" ht="12.75" x14ac:dyDescent="0.2">
      <c r="BY454" s="19"/>
    </row>
    <row r="455" spans="77:77" ht="12.75" x14ac:dyDescent="0.2">
      <c r="BY455" s="19"/>
    </row>
    <row r="456" spans="77:77" ht="12.75" x14ac:dyDescent="0.2">
      <c r="BY456" s="19"/>
    </row>
    <row r="457" spans="77:77" ht="12.75" x14ac:dyDescent="0.2">
      <c r="BY457" s="19"/>
    </row>
    <row r="458" spans="77:77" ht="12.75" x14ac:dyDescent="0.2">
      <c r="BY458" s="19"/>
    </row>
    <row r="459" spans="77:77" ht="12.75" x14ac:dyDescent="0.2">
      <c r="BY459" s="19"/>
    </row>
    <row r="460" spans="77:77" ht="12.75" x14ac:dyDescent="0.2">
      <c r="BY460" s="19"/>
    </row>
    <row r="461" spans="77:77" ht="12.75" x14ac:dyDescent="0.2">
      <c r="BY461" s="19"/>
    </row>
    <row r="462" spans="77:77" ht="12.75" x14ac:dyDescent="0.2">
      <c r="BY462" s="19"/>
    </row>
    <row r="463" spans="77:77" ht="12.75" x14ac:dyDescent="0.2">
      <c r="BY463" s="46"/>
    </row>
    <row r="464" spans="77:77" ht="12.75" x14ac:dyDescent="0.2">
      <c r="BY464" s="19"/>
    </row>
    <row r="465" spans="77:77" ht="12.75" x14ac:dyDescent="0.2">
      <c r="BY465" s="19"/>
    </row>
    <row r="466" spans="77:77" ht="12.75" x14ac:dyDescent="0.2">
      <c r="BY466" s="19"/>
    </row>
    <row r="467" spans="77:77" ht="12.75" x14ac:dyDescent="0.2">
      <c r="BY467" s="19"/>
    </row>
    <row r="468" spans="77:77" ht="12.75" x14ac:dyDescent="0.2">
      <c r="BY468" s="19"/>
    </row>
    <row r="469" spans="77:77" ht="12.75" x14ac:dyDescent="0.2">
      <c r="BY469" s="19"/>
    </row>
    <row r="470" spans="77:77" ht="12.75" x14ac:dyDescent="0.2">
      <c r="BY470" s="19"/>
    </row>
    <row r="471" spans="77:77" ht="12.75" x14ac:dyDescent="0.2">
      <c r="BY471" s="19"/>
    </row>
    <row r="472" spans="77:77" ht="12.75" x14ac:dyDescent="0.2">
      <c r="BY472" s="19"/>
    </row>
    <row r="473" spans="77:77" ht="12.75" x14ac:dyDescent="0.2">
      <c r="BY473" s="19"/>
    </row>
    <row r="474" spans="77:77" ht="12.75" x14ac:dyDescent="0.2">
      <c r="BY474" s="19"/>
    </row>
    <row r="475" spans="77:77" ht="12.75" x14ac:dyDescent="0.2">
      <c r="BY475" s="19"/>
    </row>
    <row r="476" spans="77:77" ht="12.75" x14ac:dyDescent="0.2">
      <c r="BY476" s="19"/>
    </row>
    <row r="477" spans="77:77" ht="12.75" x14ac:dyDescent="0.2">
      <c r="BY477" s="19"/>
    </row>
    <row r="478" spans="77:77" ht="12.75" x14ac:dyDescent="0.2">
      <c r="BY478" s="19"/>
    </row>
    <row r="479" spans="77:77" ht="12.75" x14ac:dyDescent="0.2">
      <c r="BY479" s="19"/>
    </row>
    <row r="480" spans="77:77" ht="12.75" x14ac:dyDescent="0.2">
      <c r="BY480" s="19"/>
    </row>
    <row r="481" spans="77:77" ht="12.75" x14ac:dyDescent="0.2">
      <c r="BY481" s="19"/>
    </row>
    <row r="482" spans="77:77" ht="12.75" x14ac:dyDescent="0.2">
      <c r="BY482" s="19"/>
    </row>
    <row r="483" spans="77:77" ht="12.75" x14ac:dyDescent="0.2">
      <c r="BY483" s="46"/>
    </row>
    <row r="484" spans="77:77" ht="12.75" x14ac:dyDescent="0.2">
      <c r="BY484" s="19"/>
    </row>
    <row r="485" spans="77:77" ht="12.75" x14ac:dyDescent="0.2">
      <c r="BY485" s="19"/>
    </row>
    <row r="486" spans="77:77" ht="12.75" x14ac:dyDescent="0.2">
      <c r="BY486" s="19"/>
    </row>
    <row r="487" spans="77:77" ht="12.75" x14ac:dyDescent="0.2">
      <c r="BY487" s="19"/>
    </row>
    <row r="488" spans="77:77" ht="12.75" x14ac:dyDescent="0.2">
      <c r="BY488" s="19"/>
    </row>
    <row r="489" spans="77:77" ht="12.75" x14ac:dyDescent="0.2">
      <c r="BY489" s="19"/>
    </row>
    <row r="490" spans="77:77" ht="12.75" x14ac:dyDescent="0.2">
      <c r="BY490" s="19"/>
    </row>
    <row r="491" spans="77:77" ht="12.75" x14ac:dyDescent="0.2">
      <c r="BY491" s="19"/>
    </row>
    <row r="492" spans="77:77" ht="12.75" x14ac:dyDescent="0.2">
      <c r="BY492" s="19"/>
    </row>
    <row r="493" spans="77:77" ht="12.75" x14ac:dyDescent="0.2">
      <c r="BY493" s="19"/>
    </row>
    <row r="494" spans="77:77" ht="12.75" x14ac:dyDescent="0.2">
      <c r="BY494" s="19"/>
    </row>
    <row r="495" spans="77:77" ht="12.75" x14ac:dyDescent="0.2">
      <c r="BY495" s="19"/>
    </row>
    <row r="496" spans="77:77" ht="12.75" x14ac:dyDescent="0.2">
      <c r="BY496" s="19"/>
    </row>
    <row r="497" spans="77:77" ht="12.75" x14ac:dyDescent="0.2">
      <c r="BY497" s="19"/>
    </row>
    <row r="498" spans="77:77" ht="12.75" x14ac:dyDescent="0.2">
      <c r="BY498" s="19"/>
    </row>
    <row r="499" spans="77:77" ht="12.75" x14ac:dyDescent="0.2">
      <c r="BY499" s="19"/>
    </row>
    <row r="500" spans="77:77" ht="12.75" x14ac:dyDescent="0.2">
      <c r="BY500" s="19"/>
    </row>
    <row r="501" spans="77:77" ht="12.75" x14ac:dyDescent="0.2">
      <c r="BY501" s="19"/>
    </row>
    <row r="502" spans="77:77" ht="12.75" x14ac:dyDescent="0.2">
      <c r="BY502" s="19"/>
    </row>
    <row r="503" spans="77:77" ht="12.75" x14ac:dyDescent="0.2">
      <c r="BY503" s="19"/>
    </row>
    <row r="504" spans="77:77" ht="12.75" x14ac:dyDescent="0.2">
      <c r="BY504" s="19"/>
    </row>
    <row r="505" spans="77:77" ht="12.75" x14ac:dyDescent="0.2">
      <c r="BY505" s="19"/>
    </row>
    <row r="506" spans="77:77" ht="12.75" x14ac:dyDescent="0.2">
      <c r="BY506" s="19"/>
    </row>
    <row r="507" spans="77:77" ht="12.75" x14ac:dyDescent="0.2">
      <c r="BY507" s="19"/>
    </row>
    <row r="508" spans="77:77" ht="12.75" x14ac:dyDescent="0.2">
      <c r="BY508" s="19"/>
    </row>
    <row r="509" spans="77:77" ht="12.75" x14ac:dyDescent="0.2">
      <c r="BY509" s="19"/>
    </row>
    <row r="510" spans="77:77" ht="12.75" x14ac:dyDescent="0.2">
      <c r="BY510" s="19"/>
    </row>
    <row r="511" spans="77:77" ht="12.75" x14ac:dyDescent="0.2">
      <c r="BY511" s="19"/>
    </row>
    <row r="512" spans="77:77" ht="12.75" x14ac:dyDescent="0.2">
      <c r="BY512" s="19"/>
    </row>
    <row r="513" spans="77:77" ht="12.75" x14ac:dyDescent="0.2">
      <c r="BY513" s="19"/>
    </row>
    <row r="514" spans="77:77" ht="12.75" x14ac:dyDescent="0.2">
      <c r="BY514" s="19"/>
    </row>
    <row r="515" spans="77:77" ht="12.75" x14ac:dyDescent="0.2">
      <c r="BY515" s="19"/>
    </row>
    <row r="516" spans="77:77" ht="12.75" x14ac:dyDescent="0.2">
      <c r="BY516" s="19"/>
    </row>
    <row r="517" spans="77:77" ht="12.75" x14ac:dyDescent="0.2">
      <c r="BY517" s="19"/>
    </row>
    <row r="518" spans="77:77" ht="12.75" x14ac:dyDescent="0.2">
      <c r="BY518" s="19"/>
    </row>
    <row r="519" spans="77:77" ht="12.75" x14ac:dyDescent="0.2">
      <c r="BY519" s="46"/>
    </row>
    <row r="520" spans="77:77" ht="12.75" x14ac:dyDescent="0.2">
      <c r="BY520" s="19"/>
    </row>
  </sheetData>
  <sheetProtection sheet="1" objects="1" scenarios="1"/>
  <mergeCells count="7">
    <mergeCell ref="BE2:BG2"/>
    <mergeCell ref="BI2:BL2"/>
    <mergeCell ref="BR3:BS3"/>
    <mergeCell ref="BT3:BU3"/>
    <mergeCell ref="BV3:BW3"/>
    <mergeCell ref="BN2:BP2"/>
    <mergeCell ref="BQ2:BW2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6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3" sqref="B3"/>
    </sheetView>
  </sheetViews>
  <sheetFormatPr defaultRowHeight="12.75" x14ac:dyDescent="0.2"/>
  <cols>
    <col min="1" max="1" width="1.7109375" style="3" customWidth="1"/>
    <col min="2" max="2" width="5.7109375" style="5" customWidth="1"/>
    <col min="3" max="3" width="9.28515625" style="5" customWidth="1"/>
    <col min="4" max="4" width="6.7109375" style="5" customWidth="1"/>
    <col min="5" max="5" width="5.42578125" style="5" customWidth="1"/>
    <col min="6" max="6" width="6.28515625" style="5" customWidth="1"/>
    <col min="7" max="7" width="6.140625" style="5" customWidth="1"/>
    <col min="8" max="8" width="5.42578125" style="5" customWidth="1"/>
    <col min="9" max="9" width="6.28515625" style="5" customWidth="1"/>
    <col min="10" max="10" width="6.140625" style="5" customWidth="1"/>
    <col min="11" max="11" width="5.42578125" style="5" customWidth="1"/>
    <col min="12" max="12" width="6.28515625" style="5" customWidth="1"/>
    <col min="13" max="13" width="6.140625" style="5" customWidth="1"/>
    <col min="14" max="14" width="5.42578125" style="5" customWidth="1"/>
    <col min="15" max="15" width="6.28515625" style="5" customWidth="1"/>
    <col min="16" max="16" width="6.140625" style="5" customWidth="1"/>
    <col min="17" max="17" width="5.42578125" style="5" customWidth="1"/>
    <col min="18" max="18" width="6.28515625" style="5" customWidth="1"/>
    <col min="19" max="19" width="6.140625" style="5" customWidth="1"/>
    <col min="20" max="20" width="5.42578125" style="5" customWidth="1"/>
    <col min="21" max="21" width="6.28515625" style="5" customWidth="1"/>
    <col min="22" max="22" width="6.140625" style="5" customWidth="1"/>
    <col min="23" max="23" width="5.42578125" style="5" customWidth="1"/>
    <col min="24" max="24" width="6.28515625" style="5" customWidth="1"/>
    <col min="25" max="25" width="6.140625" style="5" customWidth="1"/>
    <col min="26" max="26" width="5.42578125" style="5" customWidth="1"/>
    <col min="27" max="27" width="6.28515625" style="5" customWidth="1"/>
    <col min="28" max="28" width="6.140625" style="5" customWidth="1"/>
    <col min="29" max="29" width="5.42578125" style="5" customWidth="1"/>
    <col min="30" max="30" width="6.28515625" style="5" customWidth="1"/>
    <col min="31" max="31" width="6.140625" style="5" customWidth="1"/>
    <col min="32" max="32" width="5.42578125" style="5" customWidth="1"/>
    <col min="33" max="33" width="6.28515625" style="5" customWidth="1"/>
    <col min="34" max="34" width="6.140625" style="5" customWidth="1"/>
    <col min="35" max="35" width="5.42578125" style="5" customWidth="1"/>
    <col min="36" max="36" width="6.28515625" style="5" customWidth="1"/>
    <col min="37" max="37" width="6.140625" style="5" customWidth="1"/>
    <col min="38" max="38" width="5.42578125" style="5" customWidth="1"/>
    <col min="39" max="39" width="6.28515625" style="5" customWidth="1"/>
    <col min="40" max="40" width="6.140625" style="5" customWidth="1"/>
    <col min="41" max="41" width="8.7109375" style="48" customWidth="1"/>
    <col min="42" max="42" width="50.7109375" style="49" customWidth="1"/>
    <col min="43" max="43" width="8.7109375" style="48" hidden="1" customWidth="1"/>
    <col min="44" max="44" width="50.7109375" style="49" hidden="1" customWidth="1"/>
    <col min="45" max="45" width="4.7109375" style="5" hidden="1" customWidth="1"/>
    <col min="46" max="46" width="8.7109375" style="8" customWidth="1"/>
    <col min="47" max="48" width="10.7109375" style="8" customWidth="1"/>
    <col min="49" max="51" width="5.7109375" style="8" customWidth="1"/>
    <col min="52" max="52" width="6.5703125" style="8" bestFit="1" customWidth="1"/>
    <col min="53" max="54" width="5.7109375" style="8" customWidth="1"/>
    <col min="55" max="55" width="10.7109375" style="8" customWidth="1"/>
    <col min="56" max="61" width="5.7109375" style="8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ht="99.95" customHeight="1" thickBot="1" x14ac:dyDescent="0.25">
      <c r="U1" s="247" t="s">
        <v>106</v>
      </c>
    </row>
    <row r="2" spans="2:99" ht="27" customHeight="1" thickTop="1" thickBot="1" x14ac:dyDescent="0.25">
      <c r="B2" s="308"/>
      <c r="C2" s="309" t="s">
        <v>172</v>
      </c>
      <c r="D2" s="310"/>
      <c r="E2" s="311" t="s">
        <v>94</v>
      </c>
      <c r="F2" s="253">
        <v>-3</v>
      </c>
      <c r="G2" s="312"/>
      <c r="H2" s="311" t="s">
        <v>95</v>
      </c>
      <c r="I2" s="253">
        <v>-3</v>
      </c>
      <c r="J2" s="312"/>
      <c r="K2" s="311" t="s">
        <v>96</v>
      </c>
      <c r="L2" s="253">
        <v>-3</v>
      </c>
      <c r="M2" s="312"/>
      <c r="N2" s="311" t="s">
        <v>97</v>
      </c>
      <c r="O2" s="253">
        <v>-3</v>
      </c>
      <c r="P2" s="312"/>
      <c r="Q2" s="311" t="s">
        <v>98</v>
      </c>
      <c r="R2" s="253">
        <v>-3</v>
      </c>
      <c r="S2" s="312"/>
      <c r="T2" s="311" t="s">
        <v>99</v>
      </c>
      <c r="U2" s="253">
        <v>-3</v>
      </c>
      <c r="V2" s="312"/>
      <c r="W2" s="311" t="s">
        <v>100</v>
      </c>
      <c r="X2" s="253">
        <v>-1</v>
      </c>
      <c r="Y2" s="312"/>
      <c r="Z2" s="311" t="s">
        <v>101</v>
      </c>
      <c r="AA2" s="253">
        <v>-3</v>
      </c>
      <c r="AB2" s="312"/>
      <c r="AC2" s="311" t="s">
        <v>102</v>
      </c>
      <c r="AD2" s="253">
        <v>-3</v>
      </c>
      <c r="AE2" s="312"/>
      <c r="AF2" s="311" t="s">
        <v>103</v>
      </c>
      <c r="AG2" s="253">
        <v>-3</v>
      </c>
      <c r="AH2" s="312"/>
      <c r="AI2" s="311" t="s">
        <v>104</v>
      </c>
      <c r="AJ2" s="253">
        <v>-3</v>
      </c>
      <c r="AK2" s="312"/>
      <c r="AL2" s="311" t="s">
        <v>105</v>
      </c>
      <c r="AM2" s="253">
        <v>31</v>
      </c>
      <c r="AN2" s="313"/>
      <c r="AO2" s="50">
        <v>12</v>
      </c>
      <c r="AP2" s="51" t="s">
        <v>50</v>
      </c>
      <c r="AQ2" s="50">
        <v>1</v>
      </c>
      <c r="AR2" s="51" t="s">
        <v>51</v>
      </c>
      <c r="AS2" s="16"/>
    </row>
    <row r="3" spans="2:99" ht="27" customHeight="1" thickBot="1" x14ac:dyDescent="0.25">
      <c r="B3" s="314" t="s">
        <v>52</v>
      </c>
      <c r="C3" s="315" t="s">
        <v>53</v>
      </c>
      <c r="D3" s="316" t="s">
        <v>54</v>
      </c>
      <c r="E3" s="317" t="s">
        <v>13</v>
      </c>
      <c r="F3" s="315" t="s">
        <v>55</v>
      </c>
      <c r="G3" s="318" t="s">
        <v>15</v>
      </c>
      <c r="H3" s="319" t="s">
        <v>13</v>
      </c>
      <c r="I3" s="315" t="s">
        <v>55</v>
      </c>
      <c r="J3" s="318" t="s">
        <v>15</v>
      </c>
      <c r="K3" s="319" t="s">
        <v>13</v>
      </c>
      <c r="L3" s="315" t="s">
        <v>55</v>
      </c>
      <c r="M3" s="318" t="s">
        <v>15</v>
      </c>
      <c r="N3" s="319" t="s">
        <v>13</v>
      </c>
      <c r="O3" s="315" t="s">
        <v>55</v>
      </c>
      <c r="P3" s="318" t="s">
        <v>15</v>
      </c>
      <c r="Q3" s="319" t="s">
        <v>13</v>
      </c>
      <c r="R3" s="315" t="s">
        <v>55</v>
      </c>
      <c r="S3" s="318" t="s">
        <v>15</v>
      </c>
      <c r="T3" s="319" t="s">
        <v>13</v>
      </c>
      <c r="U3" s="315" t="s">
        <v>55</v>
      </c>
      <c r="V3" s="318" t="s">
        <v>15</v>
      </c>
      <c r="W3" s="319" t="s">
        <v>13</v>
      </c>
      <c r="X3" s="315" t="s">
        <v>55</v>
      </c>
      <c r="Y3" s="318" t="s">
        <v>15</v>
      </c>
      <c r="Z3" s="319" t="s">
        <v>13</v>
      </c>
      <c r="AA3" s="315" t="s">
        <v>55</v>
      </c>
      <c r="AB3" s="318" t="s">
        <v>15</v>
      </c>
      <c r="AC3" s="319" t="s">
        <v>13</v>
      </c>
      <c r="AD3" s="315" t="s">
        <v>55</v>
      </c>
      <c r="AE3" s="318" t="s">
        <v>15</v>
      </c>
      <c r="AF3" s="319" t="s">
        <v>13</v>
      </c>
      <c r="AG3" s="315" t="s">
        <v>55</v>
      </c>
      <c r="AH3" s="318" t="s">
        <v>15</v>
      </c>
      <c r="AI3" s="319" t="s">
        <v>13</v>
      </c>
      <c r="AJ3" s="315" t="s">
        <v>55</v>
      </c>
      <c r="AK3" s="318" t="s">
        <v>15</v>
      </c>
      <c r="AL3" s="319" t="s">
        <v>13</v>
      </c>
      <c r="AM3" s="315" t="s">
        <v>55</v>
      </c>
      <c r="AN3" s="320" t="s">
        <v>15</v>
      </c>
      <c r="AO3" s="52">
        <v>3</v>
      </c>
      <c r="AP3" s="51" t="s">
        <v>56</v>
      </c>
      <c r="AQ3" s="53">
        <v>2</v>
      </c>
      <c r="AR3" s="51" t="s">
        <v>57</v>
      </c>
      <c r="AS3" s="54"/>
    </row>
    <row r="4" spans="2:99" ht="15" customHeight="1" thickBot="1" x14ac:dyDescent="0.25">
      <c r="B4" s="145">
        <v>1</v>
      </c>
      <c r="C4" s="76">
        <v>16</v>
      </c>
      <c r="D4" s="146">
        <v>16</v>
      </c>
      <c r="E4" s="78">
        <v>6</v>
      </c>
      <c r="F4" s="147">
        <v>10</v>
      </c>
      <c r="G4" s="148">
        <v>90</v>
      </c>
      <c r="H4" s="80">
        <v>9</v>
      </c>
      <c r="I4" s="147">
        <v>10</v>
      </c>
      <c r="J4" s="148">
        <v>83</v>
      </c>
      <c r="K4" s="80">
        <v>6</v>
      </c>
      <c r="L4" s="147">
        <v>9</v>
      </c>
      <c r="M4" s="148">
        <v>90</v>
      </c>
      <c r="N4" s="80">
        <v>12</v>
      </c>
      <c r="O4" s="147">
        <v>9</v>
      </c>
      <c r="P4" s="148">
        <v>72</v>
      </c>
      <c r="Q4" s="80">
        <v>3</v>
      </c>
      <c r="R4" s="147">
        <v>11</v>
      </c>
      <c r="S4" s="148">
        <v>102</v>
      </c>
      <c r="T4" s="80">
        <v>11</v>
      </c>
      <c r="U4" s="147">
        <v>8</v>
      </c>
      <c r="V4" s="148">
        <v>74</v>
      </c>
      <c r="W4" s="80">
        <v>2</v>
      </c>
      <c r="X4" s="147">
        <v>12</v>
      </c>
      <c r="Y4" s="148">
        <v>106</v>
      </c>
      <c r="Z4" s="80">
        <v>10</v>
      </c>
      <c r="AA4" s="147">
        <v>9</v>
      </c>
      <c r="AB4" s="148">
        <v>81</v>
      </c>
      <c r="AC4" s="80">
        <v>4</v>
      </c>
      <c r="AD4" s="147">
        <v>11</v>
      </c>
      <c r="AE4" s="148">
        <v>100</v>
      </c>
      <c r="AF4" s="80">
        <v>5</v>
      </c>
      <c r="AG4" s="147">
        <v>10</v>
      </c>
      <c r="AH4" s="148">
        <v>91</v>
      </c>
      <c r="AI4" s="80">
        <v>8</v>
      </c>
      <c r="AJ4" s="147">
        <v>8</v>
      </c>
      <c r="AK4" s="148">
        <v>84</v>
      </c>
      <c r="AL4" s="80">
        <v>1</v>
      </c>
      <c r="AM4" s="147">
        <v>11</v>
      </c>
      <c r="AN4" s="149">
        <v>119</v>
      </c>
      <c r="AO4" s="55">
        <v>3</v>
      </c>
      <c r="AP4" s="56" t="s">
        <v>58</v>
      </c>
      <c r="AQ4" s="55">
        <v>0</v>
      </c>
      <c r="AR4" s="56" t="s">
        <v>59</v>
      </c>
      <c r="AS4" s="5">
        <v>16</v>
      </c>
      <c r="AT4" s="232" t="s">
        <v>107</v>
      </c>
      <c r="AU4" s="233"/>
      <c r="AV4" s="233"/>
      <c r="AW4" s="233"/>
      <c r="AX4" s="233"/>
      <c r="AY4" s="233"/>
      <c r="AZ4" s="233"/>
      <c r="BA4" s="233"/>
      <c r="BB4" s="233"/>
      <c r="BC4" s="233"/>
      <c r="BD4" s="233"/>
      <c r="BE4" s="233"/>
      <c r="BF4" s="233"/>
      <c r="BG4" s="233"/>
      <c r="BH4" s="233"/>
      <c r="BI4" s="234"/>
      <c r="BJ4" s="5"/>
      <c r="BK4" s="5" t="s">
        <v>0</v>
      </c>
      <c r="BL4" s="5"/>
      <c r="BM4" s="5">
        <v>90</v>
      </c>
      <c r="BN4" s="5" t="s">
        <v>0</v>
      </c>
      <c r="BO4" s="5"/>
      <c r="BP4" s="5">
        <v>83</v>
      </c>
      <c r="BQ4" s="5" t="s">
        <v>0</v>
      </c>
      <c r="BR4" s="5"/>
      <c r="BS4" s="5">
        <v>90</v>
      </c>
      <c r="BT4" s="5">
        <v>1</v>
      </c>
      <c r="BU4" s="5"/>
      <c r="BV4" s="5">
        <v>72</v>
      </c>
      <c r="BW4" s="5" t="s">
        <v>0</v>
      </c>
      <c r="BX4" s="5"/>
      <c r="BY4" s="5">
        <v>102</v>
      </c>
      <c r="BZ4" s="5" t="s">
        <v>0</v>
      </c>
      <c r="CA4" s="5"/>
      <c r="CB4" s="5">
        <v>74</v>
      </c>
      <c r="CC4" s="5" t="s">
        <v>0</v>
      </c>
      <c r="CD4" s="5"/>
      <c r="CE4" s="5">
        <v>106</v>
      </c>
      <c r="CF4" s="5" t="s">
        <v>0</v>
      </c>
      <c r="CG4" s="5"/>
      <c r="CH4" s="5">
        <v>81</v>
      </c>
      <c r="CI4" s="5" t="s">
        <v>0</v>
      </c>
      <c r="CJ4" s="5"/>
      <c r="CK4" s="5">
        <v>100</v>
      </c>
      <c r="CL4" s="5" t="s">
        <v>0</v>
      </c>
      <c r="CM4" s="5"/>
      <c r="CN4" s="5">
        <v>91</v>
      </c>
      <c r="CO4" s="5" t="s">
        <v>0</v>
      </c>
      <c r="CP4" s="5"/>
      <c r="CQ4" s="5">
        <v>84</v>
      </c>
      <c r="CR4" s="5" t="s">
        <v>0</v>
      </c>
      <c r="CS4" s="5"/>
      <c r="CT4" s="5">
        <v>119</v>
      </c>
      <c r="CU4" s="5"/>
    </row>
    <row r="5" spans="2:99" ht="15" customHeight="1" thickBot="1" x14ac:dyDescent="0.25">
      <c r="B5" s="150">
        <v>2</v>
      </c>
      <c r="C5" s="98">
        <v>16</v>
      </c>
      <c r="D5" s="151" t="s">
        <v>0</v>
      </c>
      <c r="E5" s="100" t="s">
        <v>0</v>
      </c>
      <c r="F5" s="152" t="s">
        <v>0</v>
      </c>
      <c r="G5" s="153" t="s">
        <v>0</v>
      </c>
      <c r="H5" s="102" t="s">
        <v>0</v>
      </c>
      <c r="I5" s="152" t="s">
        <v>0</v>
      </c>
      <c r="J5" s="153" t="s">
        <v>0</v>
      </c>
      <c r="K5" s="102" t="s">
        <v>0</v>
      </c>
      <c r="L5" s="152" t="s">
        <v>0</v>
      </c>
      <c r="M5" s="153" t="s">
        <v>0</v>
      </c>
      <c r="N5" s="102" t="s">
        <v>0</v>
      </c>
      <c r="O5" s="152" t="s">
        <v>0</v>
      </c>
      <c r="P5" s="153" t="s">
        <v>0</v>
      </c>
      <c r="Q5" s="102" t="s">
        <v>0</v>
      </c>
      <c r="R5" s="152" t="s">
        <v>0</v>
      </c>
      <c r="S5" s="153" t="s">
        <v>0</v>
      </c>
      <c r="T5" s="102" t="s">
        <v>0</v>
      </c>
      <c r="U5" s="152" t="s">
        <v>0</v>
      </c>
      <c r="V5" s="153" t="s">
        <v>0</v>
      </c>
      <c r="W5" s="102" t="s">
        <v>0</v>
      </c>
      <c r="X5" s="152" t="s">
        <v>0</v>
      </c>
      <c r="Y5" s="153" t="s">
        <v>0</v>
      </c>
      <c r="Z5" s="102" t="s">
        <v>0</v>
      </c>
      <c r="AA5" s="152" t="s">
        <v>0</v>
      </c>
      <c r="AB5" s="153" t="s">
        <v>0</v>
      </c>
      <c r="AC5" s="102" t="s">
        <v>0</v>
      </c>
      <c r="AD5" s="152" t="s">
        <v>0</v>
      </c>
      <c r="AE5" s="153" t="s">
        <v>0</v>
      </c>
      <c r="AF5" s="102" t="s">
        <v>0</v>
      </c>
      <c r="AG5" s="152" t="s">
        <v>0</v>
      </c>
      <c r="AH5" s="153" t="s">
        <v>0</v>
      </c>
      <c r="AI5" s="102" t="s">
        <v>0</v>
      </c>
      <c r="AJ5" s="152" t="s">
        <v>0</v>
      </c>
      <c r="AK5" s="153" t="s">
        <v>0</v>
      </c>
      <c r="AL5" s="102" t="s">
        <v>0</v>
      </c>
      <c r="AM5" s="152" t="s">
        <v>0</v>
      </c>
      <c r="AN5" s="154" t="s">
        <v>0</v>
      </c>
      <c r="AO5" s="55">
        <v>2</v>
      </c>
      <c r="AP5" s="56" t="s">
        <v>60</v>
      </c>
      <c r="AQ5" s="55">
        <v>0</v>
      </c>
      <c r="AR5" s="56" t="s">
        <v>61</v>
      </c>
      <c r="AS5" s="5">
        <v>16</v>
      </c>
      <c r="AT5" s="235" t="s">
        <v>14</v>
      </c>
      <c r="AU5" s="235" t="s">
        <v>89</v>
      </c>
      <c r="AV5" s="244" t="s">
        <v>90</v>
      </c>
      <c r="AW5" s="245"/>
      <c r="AX5" s="245"/>
      <c r="AY5" s="245"/>
      <c r="AZ5" s="245"/>
      <c r="BA5" s="245"/>
      <c r="BB5" s="246"/>
      <c r="BC5" s="244" t="s">
        <v>91</v>
      </c>
      <c r="BD5" s="245"/>
      <c r="BE5" s="245"/>
      <c r="BF5" s="245"/>
      <c r="BG5" s="245"/>
      <c r="BH5" s="245"/>
      <c r="BI5" s="246"/>
      <c r="BJ5" s="5"/>
      <c r="BK5" s="5" t="s">
        <v>0</v>
      </c>
      <c r="BL5" s="5"/>
      <c r="BM5" s="5" t="s">
        <v>0</v>
      </c>
      <c r="BN5" s="5" t="s">
        <v>0</v>
      </c>
      <c r="BO5" s="5"/>
      <c r="BP5" s="5" t="s">
        <v>0</v>
      </c>
      <c r="BQ5" s="5" t="s">
        <v>0</v>
      </c>
      <c r="BR5" s="5"/>
      <c r="BS5" s="5" t="s">
        <v>0</v>
      </c>
      <c r="BT5" s="5" t="s">
        <v>0</v>
      </c>
      <c r="BU5" s="5"/>
      <c r="BV5" s="5" t="s">
        <v>0</v>
      </c>
      <c r="BW5" s="5" t="s">
        <v>0</v>
      </c>
      <c r="BX5" s="5"/>
      <c r="BY5" s="5" t="s">
        <v>0</v>
      </c>
      <c r="BZ5" s="5" t="s">
        <v>0</v>
      </c>
      <c r="CA5" s="5"/>
      <c r="CB5" s="5" t="s">
        <v>0</v>
      </c>
      <c r="CC5" s="5" t="s">
        <v>0</v>
      </c>
      <c r="CD5" s="5"/>
      <c r="CE5" s="5" t="s">
        <v>0</v>
      </c>
      <c r="CF5" s="5" t="s">
        <v>0</v>
      </c>
      <c r="CG5" s="5"/>
      <c r="CH5" s="5" t="s">
        <v>0</v>
      </c>
      <c r="CI5" s="5" t="s">
        <v>0</v>
      </c>
      <c r="CJ5" s="5"/>
      <c r="CK5" s="5" t="s">
        <v>0</v>
      </c>
      <c r="CL5" s="5" t="s">
        <v>0</v>
      </c>
      <c r="CM5" s="5"/>
      <c r="CN5" s="5" t="s">
        <v>0</v>
      </c>
      <c r="CO5" s="5" t="s">
        <v>0</v>
      </c>
      <c r="CP5" s="5"/>
      <c r="CQ5" s="5" t="s">
        <v>0</v>
      </c>
      <c r="CR5" s="5" t="s">
        <v>0</v>
      </c>
      <c r="CS5" s="5"/>
      <c r="CT5" s="5" t="s">
        <v>0</v>
      </c>
      <c r="CU5" s="5"/>
    </row>
    <row r="6" spans="2:99" ht="15" customHeight="1" x14ac:dyDescent="0.2">
      <c r="B6" s="150">
        <v>3</v>
      </c>
      <c r="C6" s="98">
        <v>16</v>
      </c>
      <c r="D6" s="151" t="s">
        <v>0</v>
      </c>
      <c r="E6" s="100" t="s">
        <v>0</v>
      </c>
      <c r="F6" s="152" t="s">
        <v>0</v>
      </c>
      <c r="G6" s="153" t="s">
        <v>0</v>
      </c>
      <c r="H6" s="102" t="s">
        <v>0</v>
      </c>
      <c r="I6" s="152" t="s">
        <v>0</v>
      </c>
      <c r="J6" s="153" t="s">
        <v>0</v>
      </c>
      <c r="K6" s="102" t="s">
        <v>0</v>
      </c>
      <c r="L6" s="152" t="s">
        <v>0</v>
      </c>
      <c r="M6" s="153" t="s">
        <v>0</v>
      </c>
      <c r="N6" s="102" t="s">
        <v>0</v>
      </c>
      <c r="O6" s="152" t="s">
        <v>0</v>
      </c>
      <c r="P6" s="153" t="s">
        <v>0</v>
      </c>
      <c r="Q6" s="102" t="s">
        <v>0</v>
      </c>
      <c r="R6" s="152" t="s">
        <v>0</v>
      </c>
      <c r="S6" s="153" t="s">
        <v>0</v>
      </c>
      <c r="T6" s="102" t="s">
        <v>0</v>
      </c>
      <c r="U6" s="152" t="s">
        <v>0</v>
      </c>
      <c r="V6" s="153" t="s">
        <v>0</v>
      </c>
      <c r="W6" s="102" t="s">
        <v>0</v>
      </c>
      <c r="X6" s="152" t="s">
        <v>0</v>
      </c>
      <c r="Y6" s="153" t="s">
        <v>0</v>
      </c>
      <c r="Z6" s="102" t="s">
        <v>0</v>
      </c>
      <c r="AA6" s="152" t="s">
        <v>0</v>
      </c>
      <c r="AB6" s="153" t="s">
        <v>0</v>
      </c>
      <c r="AC6" s="102" t="s">
        <v>0</v>
      </c>
      <c r="AD6" s="152" t="s">
        <v>0</v>
      </c>
      <c r="AE6" s="153" t="s">
        <v>0</v>
      </c>
      <c r="AF6" s="102" t="s">
        <v>0</v>
      </c>
      <c r="AG6" s="152" t="s">
        <v>0</v>
      </c>
      <c r="AH6" s="153" t="s">
        <v>0</v>
      </c>
      <c r="AI6" s="102" t="s">
        <v>0</v>
      </c>
      <c r="AJ6" s="152" t="s">
        <v>0</v>
      </c>
      <c r="AK6" s="153" t="s">
        <v>0</v>
      </c>
      <c r="AL6" s="102" t="s">
        <v>0</v>
      </c>
      <c r="AM6" s="152" t="s">
        <v>0</v>
      </c>
      <c r="AN6" s="154" t="s">
        <v>0</v>
      </c>
      <c r="AO6" s="55">
        <v>31</v>
      </c>
      <c r="AP6" s="56" t="s">
        <v>62</v>
      </c>
      <c r="AQ6" s="55">
        <v>0</v>
      </c>
      <c r="AR6" s="56" t="s">
        <v>63</v>
      </c>
      <c r="AS6" s="5">
        <v>16</v>
      </c>
      <c r="AT6" s="236"/>
      <c r="AU6" s="236"/>
      <c r="AV6" s="238" t="s">
        <v>78</v>
      </c>
      <c r="AW6" s="240" t="s">
        <v>79</v>
      </c>
      <c r="AX6" s="240" t="s">
        <v>78</v>
      </c>
      <c r="AY6" s="240" t="s">
        <v>80</v>
      </c>
      <c r="AZ6" s="240"/>
      <c r="BA6" s="240" t="s">
        <v>81</v>
      </c>
      <c r="BB6" s="242"/>
      <c r="BC6" s="238" t="s">
        <v>82</v>
      </c>
      <c r="BD6" s="240" t="s">
        <v>79</v>
      </c>
      <c r="BE6" s="240"/>
      <c r="BF6" s="240" t="s">
        <v>83</v>
      </c>
      <c r="BG6" s="240"/>
      <c r="BH6" s="240" t="s">
        <v>84</v>
      </c>
      <c r="BI6" s="242"/>
      <c r="BJ6" s="5"/>
      <c r="BK6" s="5" t="s">
        <v>0</v>
      </c>
      <c r="BL6" s="5"/>
      <c r="BM6" s="5" t="s">
        <v>0</v>
      </c>
      <c r="BN6" s="5" t="s">
        <v>0</v>
      </c>
      <c r="BO6" s="5"/>
      <c r="BP6" s="5" t="s">
        <v>0</v>
      </c>
      <c r="BQ6" s="5" t="s">
        <v>0</v>
      </c>
      <c r="BR6" s="5"/>
      <c r="BS6" s="5" t="s">
        <v>0</v>
      </c>
      <c r="BT6" s="5" t="s">
        <v>0</v>
      </c>
      <c r="BU6" s="5"/>
      <c r="BV6" s="5" t="s">
        <v>0</v>
      </c>
      <c r="BW6" s="5" t="s">
        <v>0</v>
      </c>
      <c r="BX6" s="5"/>
      <c r="BY6" s="5" t="s">
        <v>0</v>
      </c>
      <c r="BZ6" s="5" t="s">
        <v>0</v>
      </c>
      <c r="CA6" s="5"/>
      <c r="CB6" s="5" t="s">
        <v>0</v>
      </c>
      <c r="CC6" s="5" t="s">
        <v>0</v>
      </c>
      <c r="CD6" s="5"/>
      <c r="CE6" s="5" t="s">
        <v>0</v>
      </c>
      <c r="CF6" s="5" t="s">
        <v>0</v>
      </c>
      <c r="CG6" s="5"/>
      <c r="CH6" s="5" t="s">
        <v>0</v>
      </c>
      <c r="CI6" s="5" t="s">
        <v>0</v>
      </c>
      <c r="CJ6" s="5"/>
      <c r="CK6" s="5" t="s">
        <v>0</v>
      </c>
      <c r="CL6" s="5" t="s">
        <v>0</v>
      </c>
      <c r="CM6" s="5"/>
      <c r="CN6" s="5" t="s">
        <v>0</v>
      </c>
      <c r="CO6" s="5" t="s">
        <v>0</v>
      </c>
      <c r="CP6" s="5"/>
      <c r="CQ6" s="5" t="s">
        <v>0</v>
      </c>
      <c r="CR6" s="5" t="s">
        <v>0</v>
      </c>
      <c r="CS6" s="5"/>
      <c r="CT6" s="5" t="s">
        <v>0</v>
      </c>
      <c r="CU6" s="5"/>
    </row>
    <row r="7" spans="2:99" ht="15" customHeight="1" thickBot="1" x14ac:dyDescent="0.25">
      <c r="B7" s="150">
        <v>4</v>
      </c>
      <c r="C7" s="98">
        <v>15</v>
      </c>
      <c r="D7" s="151" t="s">
        <v>0</v>
      </c>
      <c r="E7" s="100" t="s">
        <v>0</v>
      </c>
      <c r="F7" s="152" t="s">
        <v>0</v>
      </c>
      <c r="G7" s="153" t="s">
        <v>0</v>
      </c>
      <c r="H7" s="102" t="s">
        <v>0</v>
      </c>
      <c r="I7" s="152" t="s">
        <v>0</v>
      </c>
      <c r="J7" s="153" t="s">
        <v>0</v>
      </c>
      <c r="K7" s="102" t="s">
        <v>0</v>
      </c>
      <c r="L7" s="152" t="s">
        <v>0</v>
      </c>
      <c r="M7" s="153" t="s">
        <v>0</v>
      </c>
      <c r="N7" s="102" t="s">
        <v>0</v>
      </c>
      <c r="O7" s="152" t="s">
        <v>0</v>
      </c>
      <c r="P7" s="153" t="s">
        <v>0</v>
      </c>
      <c r="Q7" s="102" t="s">
        <v>0</v>
      </c>
      <c r="R7" s="152" t="s">
        <v>0</v>
      </c>
      <c r="S7" s="153" t="s">
        <v>0</v>
      </c>
      <c r="T7" s="102" t="s">
        <v>0</v>
      </c>
      <c r="U7" s="152" t="s">
        <v>0</v>
      </c>
      <c r="V7" s="153" t="s">
        <v>0</v>
      </c>
      <c r="W7" s="102" t="s">
        <v>0</v>
      </c>
      <c r="X7" s="152" t="s">
        <v>0</v>
      </c>
      <c r="Y7" s="153" t="s">
        <v>0</v>
      </c>
      <c r="Z7" s="102" t="s">
        <v>0</v>
      </c>
      <c r="AA7" s="152" t="s">
        <v>0</v>
      </c>
      <c r="AB7" s="153" t="s">
        <v>0</v>
      </c>
      <c r="AC7" s="102" t="s">
        <v>0</v>
      </c>
      <c r="AD7" s="152" t="s">
        <v>0</v>
      </c>
      <c r="AE7" s="153" t="s">
        <v>0</v>
      </c>
      <c r="AF7" s="102" t="s">
        <v>0</v>
      </c>
      <c r="AG7" s="152" t="s">
        <v>0</v>
      </c>
      <c r="AH7" s="153" t="s">
        <v>0</v>
      </c>
      <c r="AI7" s="102" t="s">
        <v>0</v>
      </c>
      <c r="AJ7" s="152" t="s">
        <v>0</v>
      </c>
      <c r="AK7" s="153" t="s">
        <v>0</v>
      </c>
      <c r="AL7" s="102" t="s">
        <v>0</v>
      </c>
      <c r="AM7" s="152" t="s">
        <v>0</v>
      </c>
      <c r="AN7" s="154" t="s">
        <v>0</v>
      </c>
      <c r="AO7" s="57"/>
      <c r="AP7" s="58"/>
      <c r="AQ7" s="57"/>
      <c r="AR7" s="58"/>
      <c r="AS7" s="5">
        <v>15</v>
      </c>
      <c r="AT7" s="237"/>
      <c r="AU7" s="237"/>
      <c r="AV7" s="239"/>
      <c r="AW7" s="241"/>
      <c r="AX7" s="241"/>
      <c r="AY7" s="241"/>
      <c r="AZ7" s="241"/>
      <c r="BA7" s="241"/>
      <c r="BB7" s="243"/>
      <c r="BC7" s="239"/>
      <c r="BD7" s="241"/>
      <c r="BE7" s="241"/>
      <c r="BF7" s="241"/>
      <c r="BG7" s="241"/>
      <c r="BH7" s="241"/>
      <c r="BI7" s="243"/>
      <c r="BJ7" s="5"/>
      <c r="BK7" s="5" t="s">
        <v>0</v>
      </c>
      <c r="BL7" s="5"/>
      <c r="BM7" s="5" t="s">
        <v>0</v>
      </c>
      <c r="BN7" s="5" t="s">
        <v>0</v>
      </c>
      <c r="BO7" s="5"/>
      <c r="BP7" s="5" t="s">
        <v>0</v>
      </c>
      <c r="BQ7" s="5" t="s">
        <v>0</v>
      </c>
      <c r="BR7" s="5"/>
      <c r="BS7" s="5" t="s">
        <v>0</v>
      </c>
      <c r="BT7" s="5" t="s">
        <v>0</v>
      </c>
      <c r="BU7" s="5"/>
      <c r="BV7" s="5" t="s">
        <v>0</v>
      </c>
      <c r="BW7" s="5" t="s">
        <v>0</v>
      </c>
      <c r="BX7" s="5"/>
      <c r="BY7" s="5" t="s">
        <v>0</v>
      </c>
      <c r="BZ7" s="5" t="s">
        <v>0</v>
      </c>
      <c r="CA7" s="5"/>
      <c r="CB7" s="5" t="s">
        <v>0</v>
      </c>
      <c r="CC7" s="5" t="s">
        <v>0</v>
      </c>
      <c r="CD7" s="5"/>
      <c r="CE7" s="5" t="s">
        <v>0</v>
      </c>
      <c r="CF7" s="5" t="s">
        <v>0</v>
      </c>
      <c r="CG7" s="5"/>
      <c r="CH7" s="5" t="s">
        <v>0</v>
      </c>
      <c r="CI7" s="5" t="s">
        <v>0</v>
      </c>
      <c r="CJ7" s="5"/>
      <c r="CK7" s="5" t="s">
        <v>0</v>
      </c>
      <c r="CL7" s="5" t="s">
        <v>0</v>
      </c>
      <c r="CM7" s="5"/>
      <c r="CN7" s="5" t="s">
        <v>0</v>
      </c>
      <c r="CO7" s="5" t="s">
        <v>0</v>
      </c>
      <c r="CP7" s="5"/>
      <c r="CQ7" s="5" t="s">
        <v>0</v>
      </c>
      <c r="CR7" s="5" t="s">
        <v>0</v>
      </c>
      <c r="CS7" s="5"/>
      <c r="CT7" s="5" t="s">
        <v>0</v>
      </c>
      <c r="CU7" s="5"/>
    </row>
    <row r="8" spans="2:99" ht="15" customHeight="1" x14ac:dyDescent="0.2">
      <c r="B8" s="150">
        <v>5</v>
      </c>
      <c r="C8" s="98">
        <v>14</v>
      </c>
      <c r="D8" s="151" t="s">
        <v>0</v>
      </c>
      <c r="E8" s="100" t="s">
        <v>0</v>
      </c>
      <c r="F8" s="152" t="s">
        <v>0</v>
      </c>
      <c r="G8" s="153" t="s">
        <v>0</v>
      </c>
      <c r="H8" s="102" t="s">
        <v>0</v>
      </c>
      <c r="I8" s="152" t="s">
        <v>0</v>
      </c>
      <c r="J8" s="153" t="s">
        <v>0</v>
      </c>
      <c r="K8" s="102" t="s">
        <v>0</v>
      </c>
      <c r="L8" s="152" t="s">
        <v>0</v>
      </c>
      <c r="M8" s="153" t="s">
        <v>0</v>
      </c>
      <c r="N8" s="102" t="s">
        <v>0</v>
      </c>
      <c r="O8" s="152" t="s">
        <v>0</v>
      </c>
      <c r="P8" s="153" t="s">
        <v>0</v>
      </c>
      <c r="Q8" s="102" t="s">
        <v>0</v>
      </c>
      <c r="R8" s="152" t="s">
        <v>0</v>
      </c>
      <c r="S8" s="153" t="s">
        <v>0</v>
      </c>
      <c r="T8" s="102" t="s">
        <v>0</v>
      </c>
      <c r="U8" s="152" t="s">
        <v>0</v>
      </c>
      <c r="V8" s="153" t="s">
        <v>0</v>
      </c>
      <c r="W8" s="102" t="s">
        <v>0</v>
      </c>
      <c r="X8" s="152" t="s">
        <v>0</v>
      </c>
      <c r="Y8" s="153" t="s">
        <v>0</v>
      </c>
      <c r="Z8" s="102" t="s">
        <v>0</v>
      </c>
      <c r="AA8" s="152" t="s">
        <v>0</v>
      </c>
      <c r="AB8" s="153" t="s">
        <v>0</v>
      </c>
      <c r="AC8" s="102" t="s">
        <v>0</v>
      </c>
      <c r="AD8" s="152" t="s">
        <v>0</v>
      </c>
      <c r="AE8" s="153" t="s">
        <v>0</v>
      </c>
      <c r="AF8" s="102" t="s">
        <v>0</v>
      </c>
      <c r="AG8" s="152" t="s">
        <v>0</v>
      </c>
      <c r="AH8" s="153" t="s">
        <v>0</v>
      </c>
      <c r="AI8" s="102" t="s">
        <v>0</v>
      </c>
      <c r="AJ8" s="152" t="s">
        <v>0</v>
      </c>
      <c r="AK8" s="153" t="s">
        <v>0</v>
      </c>
      <c r="AL8" s="102" t="s">
        <v>0</v>
      </c>
      <c r="AM8" s="152" t="s">
        <v>0</v>
      </c>
      <c r="AN8" s="154" t="s">
        <v>0</v>
      </c>
      <c r="AO8" s="57"/>
      <c r="AQ8" s="57"/>
      <c r="AS8" s="5">
        <v>14</v>
      </c>
      <c r="AT8" s="199" t="s">
        <v>99</v>
      </c>
      <c r="AU8" s="200">
        <v>-3</v>
      </c>
      <c r="AV8" s="201">
        <v>-3</v>
      </c>
      <c r="AW8" s="202" t="s">
        <v>0</v>
      </c>
      <c r="AX8" s="203" t="s">
        <v>0</v>
      </c>
      <c r="AY8" s="204" t="s">
        <v>0</v>
      </c>
      <c r="AZ8" s="203" t="s">
        <v>0</v>
      </c>
      <c r="BA8" s="205" t="s">
        <v>0</v>
      </c>
      <c r="BB8" s="206" t="s">
        <v>0</v>
      </c>
      <c r="BC8" s="201"/>
      <c r="BD8" s="202"/>
      <c r="BE8" s="203"/>
      <c r="BF8" s="204"/>
      <c r="BG8" s="203"/>
      <c r="BH8" s="205"/>
      <c r="BI8" s="207"/>
      <c r="BJ8" s="5"/>
      <c r="BK8" s="5" t="s">
        <v>0</v>
      </c>
      <c r="BL8" s="5"/>
      <c r="BM8" s="5" t="s">
        <v>0</v>
      </c>
      <c r="BN8" s="5" t="s">
        <v>0</v>
      </c>
      <c r="BO8" s="5"/>
      <c r="BP8" s="5" t="s">
        <v>0</v>
      </c>
      <c r="BQ8" s="5" t="s">
        <v>0</v>
      </c>
      <c r="BR8" s="5"/>
      <c r="BS8" s="5" t="s">
        <v>0</v>
      </c>
      <c r="BT8" s="5" t="s">
        <v>0</v>
      </c>
      <c r="BU8" s="5"/>
      <c r="BV8" s="5" t="s">
        <v>0</v>
      </c>
      <c r="BW8" s="5" t="s">
        <v>0</v>
      </c>
      <c r="BX8" s="5"/>
      <c r="BY8" s="5" t="s">
        <v>0</v>
      </c>
      <c r="BZ8" s="5" t="s">
        <v>0</v>
      </c>
      <c r="CA8" s="5"/>
      <c r="CB8" s="5" t="s">
        <v>0</v>
      </c>
      <c r="CC8" s="5" t="s">
        <v>0</v>
      </c>
      <c r="CD8" s="5"/>
      <c r="CE8" s="5" t="s">
        <v>0</v>
      </c>
      <c r="CF8" s="5" t="s">
        <v>0</v>
      </c>
      <c r="CG8" s="5"/>
      <c r="CH8" s="5" t="s">
        <v>0</v>
      </c>
      <c r="CI8" s="5" t="s">
        <v>0</v>
      </c>
      <c r="CJ8" s="5"/>
      <c r="CK8" s="5" t="s">
        <v>0</v>
      </c>
      <c r="CL8" s="5" t="s">
        <v>0</v>
      </c>
      <c r="CM8" s="5"/>
      <c r="CN8" s="5" t="s">
        <v>0</v>
      </c>
      <c r="CO8" s="5" t="s">
        <v>0</v>
      </c>
      <c r="CP8" s="5"/>
      <c r="CQ8" s="5" t="s">
        <v>0</v>
      </c>
      <c r="CR8" s="5" t="s">
        <v>0</v>
      </c>
      <c r="CS8" s="5"/>
      <c r="CT8" s="5" t="s">
        <v>0</v>
      </c>
      <c r="CU8" s="5"/>
    </row>
    <row r="9" spans="2:99" ht="15" customHeight="1" x14ac:dyDescent="0.2">
      <c r="B9" s="150">
        <v>6</v>
      </c>
      <c r="C9" s="98">
        <v>15</v>
      </c>
      <c r="D9" s="151" t="s">
        <v>0</v>
      </c>
      <c r="E9" s="100" t="s">
        <v>0</v>
      </c>
      <c r="F9" s="152" t="s">
        <v>0</v>
      </c>
      <c r="G9" s="153" t="s">
        <v>0</v>
      </c>
      <c r="H9" s="102" t="s">
        <v>0</v>
      </c>
      <c r="I9" s="152" t="s">
        <v>0</v>
      </c>
      <c r="J9" s="153" t="s">
        <v>0</v>
      </c>
      <c r="K9" s="102" t="s">
        <v>0</v>
      </c>
      <c r="L9" s="152" t="s">
        <v>0</v>
      </c>
      <c r="M9" s="153" t="s">
        <v>0</v>
      </c>
      <c r="N9" s="102" t="s">
        <v>0</v>
      </c>
      <c r="O9" s="152" t="s">
        <v>0</v>
      </c>
      <c r="P9" s="153" t="s">
        <v>0</v>
      </c>
      <c r="Q9" s="102" t="s">
        <v>0</v>
      </c>
      <c r="R9" s="152" t="s">
        <v>0</v>
      </c>
      <c r="S9" s="153" t="s">
        <v>0</v>
      </c>
      <c r="T9" s="102" t="s">
        <v>0</v>
      </c>
      <c r="U9" s="152" t="s">
        <v>0</v>
      </c>
      <c r="V9" s="153" t="s">
        <v>0</v>
      </c>
      <c r="W9" s="102" t="s">
        <v>0</v>
      </c>
      <c r="X9" s="152" t="s">
        <v>0</v>
      </c>
      <c r="Y9" s="153" t="s">
        <v>0</v>
      </c>
      <c r="Z9" s="102" t="s">
        <v>0</v>
      </c>
      <c r="AA9" s="152" t="s">
        <v>0</v>
      </c>
      <c r="AB9" s="153" t="s">
        <v>0</v>
      </c>
      <c r="AC9" s="102" t="s">
        <v>0</v>
      </c>
      <c r="AD9" s="152" t="s">
        <v>0</v>
      </c>
      <c r="AE9" s="153" t="s">
        <v>0</v>
      </c>
      <c r="AF9" s="102" t="s">
        <v>0</v>
      </c>
      <c r="AG9" s="152" t="s">
        <v>0</v>
      </c>
      <c r="AH9" s="153" t="s">
        <v>0</v>
      </c>
      <c r="AI9" s="102" t="s">
        <v>0</v>
      </c>
      <c r="AJ9" s="152" t="s">
        <v>0</v>
      </c>
      <c r="AK9" s="153" t="s">
        <v>0</v>
      </c>
      <c r="AL9" s="102" t="s">
        <v>0</v>
      </c>
      <c r="AM9" s="152" t="s">
        <v>0</v>
      </c>
      <c r="AN9" s="154" t="s">
        <v>0</v>
      </c>
      <c r="AO9" s="57"/>
      <c r="AP9" s="59" t="s">
        <v>93</v>
      </c>
      <c r="AQ9" s="57"/>
      <c r="AR9" s="60" t="s">
        <v>173</v>
      </c>
      <c r="AS9" s="5">
        <v>15</v>
      </c>
      <c r="AT9" s="208" t="s">
        <v>103</v>
      </c>
      <c r="AU9" s="209">
        <v>-3</v>
      </c>
      <c r="AV9" s="210">
        <v>-3</v>
      </c>
      <c r="AW9" s="211" t="s">
        <v>0</v>
      </c>
      <c r="AX9" s="212" t="s">
        <v>0</v>
      </c>
      <c r="AY9" s="213" t="s">
        <v>0</v>
      </c>
      <c r="AZ9" s="212" t="s">
        <v>0</v>
      </c>
      <c r="BA9" s="214" t="s">
        <v>0</v>
      </c>
      <c r="BB9" s="215" t="s">
        <v>0</v>
      </c>
      <c r="BC9" s="210"/>
      <c r="BD9" s="211"/>
      <c r="BE9" s="212"/>
      <c r="BF9" s="213"/>
      <c r="BG9" s="212"/>
      <c r="BH9" s="214"/>
      <c r="BI9" s="216"/>
      <c r="BJ9" s="5"/>
      <c r="BK9" s="5" t="s">
        <v>0</v>
      </c>
      <c r="BL9" s="5"/>
      <c r="BM9" s="5" t="s">
        <v>0</v>
      </c>
      <c r="BN9" s="5" t="s">
        <v>0</v>
      </c>
      <c r="BO9" s="5"/>
      <c r="BP9" s="5" t="s">
        <v>0</v>
      </c>
      <c r="BQ9" s="5" t="s">
        <v>0</v>
      </c>
      <c r="BR9" s="5"/>
      <c r="BS9" s="5" t="s">
        <v>0</v>
      </c>
      <c r="BT9" s="5" t="s">
        <v>0</v>
      </c>
      <c r="BU9" s="5"/>
      <c r="BV9" s="5" t="s">
        <v>0</v>
      </c>
      <c r="BW9" s="5" t="s">
        <v>0</v>
      </c>
      <c r="BX9" s="5"/>
      <c r="BY9" s="5" t="s">
        <v>0</v>
      </c>
      <c r="BZ9" s="5" t="s">
        <v>0</v>
      </c>
      <c r="CA9" s="5"/>
      <c r="CB9" s="5" t="s">
        <v>0</v>
      </c>
      <c r="CC9" s="5" t="s">
        <v>0</v>
      </c>
      <c r="CD9" s="5"/>
      <c r="CE9" s="5" t="s">
        <v>0</v>
      </c>
      <c r="CF9" s="5" t="s">
        <v>0</v>
      </c>
      <c r="CG9" s="5"/>
      <c r="CH9" s="5" t="s">
        <v>0</v>
      </c>
      <c r="CI9" s="5" t="s">
        <v>0</v>
      </c>
      <c r="CJ9" s="5"/>
      <c r="CK9" s="5" t="s">
        <v>0</v>
      </c>
      <c r="CL9" s="5" t="s">
        <v>0</v>
      </c>
      <c r="CM9" s="5"/>
      <c r="CN9" s="5" t="s">
        <v>0</v>
      </c>
      <c r="CO9" s="5" t="s">
        <v>0</v>
      </c>
      <c r="CP9" s="5"/>
      <c r="CQ9" s="5" t="s">
        <v>0</v>
      </c>
      <c r="CR9" s="5" t="s">
        <v>0</v>
      </c>
      <c r="CS9" s="5"/>
      <c r="CT9" s="5" t="s">
        <v>0</v>
      </c>
      <c r="CU9" s="5"/>
    </row>
    <row r="10" spans="2:99" ht="15" customHeight="1" x14ac:dyDescent="0.2">
      <c r="B10" s="150">
        <v>7</v>
      </c>
      <c r="C10" s="98">
        <v>15</v>
      </c>
      <c r="D10" s="151" t="s">
        <v>0</v>
      </c>
      <c r="E10" s="100" t="s">
        <v>0</v>
      </c>
      <c r="F10" s="152" t="s">
        <v>0</v>
      </c>
      <c r="G10" s="153" t="s">
        <v>0</v>
      </c>
      <c r="H10" s="102" t="s">
        <v>0</v>
      </c>
      <c r="I10" s="152" t="s">
        <v>0</v>
      </c>
      <c r="J10" s="153" t="s">
        <v>0</v>
      </c>
      <c r="K10" s="102" t="s">
        <v>0</v>
      </c>
      <c r="L10" s="152" t="s">
        <v>0</v>
      </c>
      <c r="M10" s="153" t="s">
        <v>0</v>
      </c>
      <c r="N10" s="102" t="s">
        <v>0</v>
      </c>
      <c r="O10" s="152" t="s">
        <v>0</v>
      </c>
      <c r="P10" s="153" t="s">
        <v>0</v>
      </c>
      <c r="Q10" s="102" t="s">
        <v>0</v>
      </c>
      <c r="R10" s="152" t="s">
        <v>0</v>
      </c>
      <c r="S10" s="153" t="s">
        <v>0</v>
      </c>
      <c r="T10" s="102" t="s">
        <v>0</v>
      </c>
      <c r="U10" s="152" t="s">
        <v>0</v>
      </c>
      <c r="V10" s="153" t="s">
        <v>0</v>
      </c>
      <c r="W10" s="102" t="s">
        <v>0</v>
      </c>
      <c r="X10" s="152" t="s">
        <v>0</v>
      </c>
      <c r="Y10" s="153" t="s">
        <v>0</v>
      </c>
      <c r="Z10" s="102" t="s">
        <v>0</v>
      </c>
      <c r="AA10" s="152" t="s">
        <v>0</v>
      </c>
      <c r="AB10" s="153" t="s">
        <v>0</v>
      </c>
      <c r="AC10" s="102" t="s">
        <v>0</v>
      </c>
      <c r="AD10" s="152" t="s">
        <v>0</v>
      </c>
      <c r="AE10" s="153" t="s">
        <v>0</v>
      </c>
      <c r="AF10" s="102" t="s">
        <v>0</v>
      </c>
      <c r="AG10" s="152" t="s">
        <v>0</v>
      </c>
      <c r="AH10" s="153" t="s">
        <v>0</v>
      </c>
      <c r="AI10" s="102" t="s">
        <v>0</v>
      </c>
      <c r="AJ10" s="152" t="s">
        <v>0</v>
      </c>
      <c r="AK10" s="153" t="s">
        <v>0</v>
      </c>
      <c r="AL10" s="102" t="s">
        <v>0</v>
      </c>
      <c r="AM10" s="152" t="s">
        <v>0</v>
      </c>
      <c r="AN10" s="154" t="s">
        <v>0</v>
      </c>
      <c r="AO10" s="57"/>
      <c r="AP10" s="59" t="s">
        <v>106</v>
      </c>
      <c r="AQ10" s="57"/>
      <c r="AR10" s="60" t="s">
        <v>174</v>
      </c>
      <c r="AS10" s="5">
        <v>15</v>
      </c>
      <c r="AT10" s="208" t="s">
        <v>105</v>
      </c>
      <c r="AU10" s="209">
        <v>31</v>
      </c>
      <c r="AV10" s="210">
        <v>-3</v>
      </c>
      <c r="AW10" s="211">
        <v>1</v>
      </c>
      <c r="AX10" s="212">
        <v>31</v>
      </c>
      <c r="AY10" s="213" t="s">
        <v>88</v>
      </c>
      <c r="AZ10" s="212">
        <v>3</v>
      </c>
      <c r="BA10" s="214" t="s">
        <v>0</v>
      </c>
      <c r="BB10" s="215" t="s">
        <v>0</v>
      </c>
      <c r="BC10" s="210"/>
      <c r="BD10" s="211"/>
      <c r="BE10" s="212"/>
      <c r="BF10" s="213"/>
      <c r="BG10" s="212"/>
      <c r="BH10" s="214"/>
      <c r="BI10" s="216"/>
      <c r="BJ10" s="5"/>
      <c r="BK10" s="5" t="s">
        <v>0</v>
      </c>
      <c r="BL10" s="5"/>
      <c r="BM10" s="5" t="s">
        <v>0</v>
      </c>
      <c r="BN10" s="5" t="s">
        <v>0</v>
      </c>
      <c r="BO10" s="5"/>
      <c r="BP10" s="5" t="s">
        <v>0</v>
      </c>
      <c r="BQ10" s="5" t="s">
        <v>0</v>
      </c>
      <c r="BR10" s="5"/>
      <c r="BS10" s="5" t="s">
        <v>0</v>
      </c>
      <c r="BT10" s="5" t="s">
        <v>0</v>
      </c>
      <c r="BU10" s="5"/>
      <c r="BV10" s="5" t="s">
        <v>0</v>
      </c>
      <c r="BW10" s="5" t="s">
        <v>0</v>
      </c>
      <c r="BX10" s="5"/>
      <c r="BY10" s="5" t="s">
        <v>0</v>
      </c>
      <c r="BZ10" s="5" t="s">
        <v>0</v>
      </c>
      <c r="CA10" s="5"/>
      <c r="CB10" s="5" t="s">
        <v>0</v>
      </c>
      <c r="CC10" s="5" t="s">
        <v>0</v>
      </c>
      <c r="CD10" s="5"/>
      <c r="CE10" s="5" t="s">
        <v>0</v>
      </c>
      <c r="CF10" s="5" t="s">
        <v>0</v>
      </c>
      <c r="CG10" s="5"/>
      <c r="CH10" s="5" t="s">
        <v>0</v>
      </c>
      <c r="CI10" s="5" t="s">
        <v>0</v>
      </c>
      <c r="CJ10" s="5"/>
      <c r="CK10" s="5" t="s">
        <v>0</v>
      </c>
      <c r="CL10" s="5" t="s">
        <v>0</v>
      </c>
      <c r="CM10" s="5"/>
      <c r="CN10" s="5" t="s">
        <v>0</v>
      </c>
      <c r="CO10" s="5" t="s">
        <v>0</v>
      </c>
      <c r="CP10" s="5"/>
      <c r="CQ10" s="5" t="s">
        <v>0</v>
      </c>
      <c r="CR10" s="5" t="s">
        <v>0</v>
      </c>
      <c r="CS10" s="5"/>
      <c r="CT10" s="5" t="s">
        <v>0</v>
      </c>
      <c r="CU10" s="5"/>
    </row>
    <row r="11" spans="2:99" ht="15" customHeight="1" x14ac:dyDescent="0.2">
      <c r="B11" s="150">
        <v>8</v>
      </c>
      <c r="C11" s="98">
        <v>13</v>
      </c>
      <c r="D11" s="151" t="s">
        <v>0</v>
      </c>
      <c r="E11" s="100" t="s">
        <v>0</v>
      </c>
      <c r="F11" s="152" t="s">
        <v>0</v>
      </c>
      <c r="G11" s="153" t="s">
        <v>0</v>
      </c>
      <c r="H11" s="102" t="s">
        <v>0</v>
      </c>
      <c r="I11" s="152" t="s">
        <v>0</v>
      </c>
      <c r="J11" s="153" t="s">
        <v>0</v>
      </c>
      <c r="K11" s="102" t="s">
        <v>0</v>
      </c>
      <c r="L11" s="152" t="s">
        <v>0</v>
      </c>
      <c r="M11" s="153" t="s">
        <v>0</v>
      </c>
      <c r="N11" s="102" t="s">
        <v>0</v>
      </c>
      <c r="O11" s="152" t="s">
        <v>0</v>
      </c>
      <c r="P11" s="153" t="s">
        <v>0</v>
      </c>
      <c r="Q11" s="102" t="s">
        <v>0</v>
      </c>
      <c r="R11" s="152" t="s">
        <v>0</v>
      </c>
      <c r="S11" s="153" t="s">
        <v>0</v>
      </c>
      <c r="T11" s="102" t="s">
        <v>0</v>
      </c>
      <c r="U11" s="152" t="s">
        <v>0</v>
      </c>
      <c r="V11" s="153" t="s">
        <v>0</v>
      </c>
      <c r="W11" s="102" t="s">
        <v>0</v>
      </c>
      <c r="X11" s="152" t="s">
        <v>0</v>
      </c>
      <c r="Y11" s="153" t="s">
        <v>0</v>
      </c>
      <c r="Z11" s="102" t="s">
        <v>0</v>
      </c>
      <c r="AA11" s="152" t="s">
        <v>0</v>
      </c>
      <c r="AB11" s="153" t="s">
        <v>0</v>
      </c>
      <c r="AC11" s="102" t="s">
        <v>0</v>
      </c>
      <c r="AD11" s="152" t="s">
        <v>0</v>
      </c>
      <c r="AE11" s="153" t="s">
        <v>0</v>
      </c>
      <c r="AF11" s="102" t="s">
        <v>0</v>
      </c>
      <c r="AG11" s="152" t="s">
        <v>0</v>
      </c>
      <c r="AH11" s="153" t="s">
        <v>0</v>
      </c>
      <c r="AI11" s="102" t="s">
        <v>0</v>
      </c>
      <c r="AJ11" s="152" t="s">
        <v>0</v>
      </c>
      <c r="AK11" s="153" t="s">
        <v>0</v>
      </c>
      <c r="AL11" s="102" t="s">
        <v>0</v>
      </c>
      <c r="AM11" s="152" t="s">
        <v>0</v>
      </c>
      <c r="AN11" s="154" t="s">
        <v>0</v>
      </c>
      <c r="AO11" s="57"/>
      <c r="AP11" s="58"/>
      <c r="AQ11" s="57"/>
      <c r="AR11" s="60" t="s">
        <v>175</v>
      </c>
      <c r="AS11" s="5">
        <v>13</v>
      </c>
      <c r="AT11" s="208" t="s">
        <v>94</v>
      </c>
      <c r="AU11" s="209">
        <v>-3</v>
      </c>
      <c r="AV11" s="210">
        <v>-3</v>
      </c>
      <c r="AW11" s="211" t="s">
        <v>0</v>
      </c>
      <c r="AX11" s="212" t="s">
        <v>0</v>
      </c>
      <c r="AY11" s="213" t="s">
        <v>0</v>
      </c>
      <c r="AZ11" s="212" t="s">
        <v>0</v>
      </c>
      <c r="BA11" s="214" t="s">
        <v>0</v>
      </c>
      <c r="BB11" s="215" t="s">
        <v>0</v>
      </c>
      <c r="BC11" s="210"/>
      <c r="BD11" s="211"/>
      <c r="BE11" s="212"/>
      <c r="BF11" s="213"/>
      <c r="BG11" s="212"/>
      <c r="BH11" s="214"/>
      <c r="BI11" s="216"/>
      <c r="BJ11" s="5"/>
      <c r="BK11" s="5" t="s">
        <v>0</v>
      </c>
      <c r="BL11" s="5"/>
      <c r="BM11" s="5" t="s">
        <v>0</v>
      </c>
      <c r="BN11" s="5" t="s">
        <v>0</v>
      </c>
      <c r="BO11" s="5"/>
      <c r="BP11" s="5" t="s">
        <v>0</v>
      </c>
      <c r="BQ11" s="5" t="s">
        <v>0</v>
      </c>
      <c r="BR11" s="5"/>
      <c r="BS11" s="5" t="s">
        <v>0</v>
      </c>
      <c r="BT11" s="5" t="s">
        <v>0</v>
      </c>
      <c r="BU11" s="5"/>
      <c r="BV11" s="5" t="s">
        <v>0</v>
      </c>
      <c r="BW11" s="5" t="s">
        <v>0</v>
      </c>
      <c r="BX11" s="5"/>
      <c r="BY11" s="5" t="s">
        <v>0</v>
      </c>
      <c r="BZ11" s="5" t="s">
        <v>0</v>
      </c>
      <c r="CA11" s="5"/>
      <c r="CB11" s="5" t="s">
        <v>0</v>
      </c>
      <c r="CC11" s="5" t="s">
        <v>0</v>
      </c>
      <c r="CD11" s="5"/>
      <c r="CE11" s="5" t="s">
        <v>0</v>
      </c>
      <c r="CF11" s="5" t="s">
        <v>0</v>
      </c>
      <c r="CG11" s="5"/>
      <c r="CH11" s="5" t="s">
        <v>0</v>
      </c>
      <c r="CI11" s="5" t="s">
        <v>0</v>
      </c>
      <c r="CJ11" s="5"/>
      <c r="CK11" s="5" t="s">
        <v>0</v>
      </c>
      <c r="CL11" s="5" t="s">
        <v>0</v>
      </c>
      <c r="CM11" s="5"/>
      <c r="CN11" s="5" t="s">
        <v>0</v>
      </c>
      <c r="CO11" s="5" t="s">
        <v>0</v>
      </c>
      <c r="CP11" s="5"/>
      <c r="CQ11" s="5" t="s">
        <v>0</v>
      </c>
      <c r="CR11" s="5" t="s">
        <v>0</v>
      </c>
      <c r="CS11" s="5"/>
      <c r="CT11" s="5" t="s">
        <v>0</v>
      </c>
      <c r="CU11" s="5"/>
    </row>
    <row r="12" spans="2:99" ht="15" customHeight="1" x14ac:dyDescent="0.2">
      <c r="B12" s="150">
        <v>9</v>
      </c>
      <c r="C12" s="98">
        <v>13</v>
      </c>
      <c r="D12" s="151" t="s">
        <v>0</v>
      </c>
      <c r="E12" s="100" t="s">
        <v>0</v>
      </c>
      <c r="F12" s="152" t="s">
        <v>0</v>
      </c>
      <c r="G12" s="153" t="s">
        <v>0</v>
      </c>
      <c r="H12" s="102" t="s">
        <v>0</v>
      </c>
      <c r="I12" s="152" t="s">
        <v>0</v>
      </c>
      <c r="J12" s="153" t="s">
        <v>0</v>
      </c>
      <c r="K12" s="102" t="s">
        <v>0</v>
      </c>
      <c r="L12" s="152" t="s">
        <v>0</v>
      </c>
      <c r="M12" s="153" t="s">
        <v>0</v>
      </c>
      <c r="N12" s="102" t="s">
        <v>0</v>
      </c>
      <c r="O12" s="152" t="s">
        <v>0</v>
      </c>
      <c r="P12" s="153" t="s">
        <v>0</v>
      </c>
      <c r="Q12" s="102" t="s">
        <v>0</v>
      </c>
      <c r="R12" s="152" t="s">
        <v>0</v>
      </c>
      <c r="S12" s="153" t="s">
        <v>0</v>
      </c>
      <c r="T12" s="102" t="s">
        <v>0</v>
      </c>
      <c r="U12" s="152" t="s">
        <v>0</v>
      </c>
      <c r="V12" s="153" t="s">
        <v>0</v>
      </c>
      <c r="W12" s="102" t="s">
        <v>0</v>
      </c>
      <c r="X12" s="152" t="s">
        <v>0</v>
      </c>
      <c r="Y12" s="153" t="s">
        <v>0</v>
      </c>
      <c r="Z12" s="102" t="s">
        <v>0</v>
      </c>
      <c r="AA12" s="152" t="s">
        <v>0</v>
      </c>
      <c r="AB12" s="153" t="s">
        <v>0</v>
      </c>
      <c r="AC12" s="102" t="s">
        <v>0</v>
      </c>
      <c r="AD12" s="152" t="s">
        <v>0</v>
      </c>
      <c r="AE12" s="153" t="s">
        <v>0</v>
      </c>
      <c r="AF12" s="102" t="s">
        <v>0</v>
      </c>
      <c r="AG12" s="152" t="s">
        <v>0</v>
      </c>
      <c r="AH12" s="153" t="s">
        <v>0</v>
      </c>
      <c r="AI12" s="102" t="s">
        <v>0</v>
      </c>
      <c r="AJ12" s="152" t="s">
        <v>0</v>
      </c>
      <c r="AK12" s="153" t="s">
        <v>0</v>
      </c>
      <c r="AL12" s="102" t="s">
        <v>0</v>
      </c>
      <c r="AM12" s="152" t="s">
        <v>0</v>
      </c>
      <c r="AN12" s="154" t="s">
        <v>0</v>
      </c>
      <c r="AO12" s="57"/>
      <c r="AP12" s="58"/>
      <c r="AQ12" s="57"/>
      <c r="AR12" s="60" t="s">
        <v>172</v>
      </c>
      <c r="AS12" s="5">
        <v>13</v>
      </c>
      <c r="AT12" s="208" t="s">
        <v>95</v>
      </c>
      <c r="AU12" s="209">
        <v>-3</v>
      </c>
      <c r="AV12" s="210">
        <v>-3</v>
      </c>
      <c r="AW12" s="211" t="s">
        <v>0</v>
      </c>
      <c r="AX12" s="212" t="s">
        <v>0</v>
      </c>
      <c r="AY12" s="213" t="s">
        <v>0</v>
      </c>
      <c r="AZ12" s="212" t="s">
        <v>0</v>
      </c>
      <c r="BA12" s="214" t="s">
        <v>0</v>
      </c>
      <c r="BB12" s="215" t="s">
        <v>0</v>
      </c>
      <c r="BC12" s="210"/>
      <c r="BD12" s="211"/>
      <c r="BE12" s="212"/>
      <c r="BF12" s="213"/>
      <c r="BG12" s="212"/>
      <c r="BH12" s="214"/>
      <c r="BI12" s="216"/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5" customHeight="1" x14ac:dyDescent="0.2">
      <c r="B13" s="150">
        <v>10</v>
      </c>
      <c r="C13" s="98">
        <v>14</v>
      </c>
      <c r="D13" s="151" t="s">
        <v>0</v>
      </c>
      <c r="E13" s="100" t="s">
        <v>0</v>
      </c>
      <c r="F13" s="152" t="s">
        <v>0</v>
      </c>
      <c r="G13" s="153" t="s">
        <v>0</v>
      </c>
      <c r="H13" s="102" t="s">
        <v>0</v>
      </c>
      <c r="I13" s="152" t="s">
        <v>0</v>
      </c>
      <c r="J13" s="153" t="s">
        <v>0</v>
      </c>
      <c r="K13" s="102" t="s">
        <v>0</v>
      </c>
      <c r="L13" s="152" t="s">
        <v>0</v>
      </c>
      <c r="M13" s="153" t="s">
        <v>0</v>
      </c>
      <c r="N13" s="102" t="s">
        <v>0</v>
      </c>
      <c r="O13" s="152" t="s">
        <v>0</v>
      </c>
      <c r="P13" s="153" t="s">
        <v>0</v>
      </c>
      <c r="Q13" s="102" t="s">
        <v>0</v>
      </c>
      <c r="R13" s="152" t="s">
        <v>0</v>
      </c>
      <c r="S13" s="153" t="s">
        <v>0</v>
      </c>
      <c r="T13" s="102" t="s">
        <v>0</v>
      </c>
      <c r="U13" s="152" t="s">
        <v>0</v>
      </c>
      <c r="V13" s="153" t="s">
        <v>0</v>
      </c>
      <c r="W13" s="102" t="s">
        <v>0</v>
      </c>
      <c r="X13" s="152" t="s">
        <v>0</v>
      </c>
      <c r="Y13" s="153" t="s">
        <v>0</v>
      </c>
      <c r="Z13" s="102" t="s">
        <v>0</v>
      </c>
      <c r="AA13" s="152" t="s">
        <v>0</v>
      </c>
      <c r="AB13" s="153" t="s">
        <v>0</v>
      </c>
      <c r="AC13" s="102" t="s">
        <v>0</v>
      </c>
      <c r="AD13" s="152" t="s">
        <v>0</v>
      </c>
      <c r="AE13" s="153" t="s">
        <v>0</v>
      </c>
      <c r="AF13" s="102" t="s">
        <v>0</v>
      </c>
      <c r="AG13" s="152" t="s">
        <v>0</v>
      </c>
      <c r="AH13" s="153" t="s">
        <v>0</v>
      </c>
      <c r="AI13" s="102" t="s">
        <v>0</v>
      </c>
      <c r="AJ13" s="152" t="s">
        <v>0</v>
      </c>
      <c r="AK13" s="153" t="s">
        <v>0</v>
      </c>
      <c r="AL13" s="102" t="s">
        <v>0</v>
      </c>
      <c r="AM13" s="152" t="s">
        <v>0</v>
      </c>
      <c r="AN13" s="154" t="s">
        <v>0</v>
      </c>
      <c r="AO13" s="57"/>
      <c r="AP13" s="58"/>
      <c r="AQ13" s="57"/>
      <c r="AR13" s="58"/>
      <c r="AS13" s="5">
        <v>14</v>
      </c>
      <c r="AT13" s="208" t="s">
        <v>96</v>
      </c>
      <c r="AU13" s="209">
        <v>-3</v>
      </c>
      <c r="AV13" s="210">
        <v>-3</v>
      </c>
      <c r="AW13" s="211" t="s">
        <v>0</v>
      </c>
      <c r="AX13" s="212" t="s">
        <v>0</v>
      </c>
      <c r="AY13" s="213" t="s">
        <v>0</v>
      </c>
      <c r="AZ13" s="212" t="s">
        <v>0</v>
      </c>
      <c r="BA13" s="214" t="s">
        <v>0</v>
      </c>
      <c r="BB13" s="215" t="s">
        <v>0</v>
      </c>
      <c r="BC13" s="210"/>
      <c r="BD13" s="211"/>
      <c r="BE13" s="212"/>
      <c r="BF13" s="213"/>
      <c r="BG13" s="212"/>
      <c r="BH13" s="214"/>
      <c r="BI13" s="216"/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5" customHeight="1" x14ac:dyDescent="0.2">
      <c r="B14" s="150">
        <v>11</v>
      </c>
      <c r="C14" s="98">
        <v>14</v>
      </c>
      <c r="D14" s="151" t="s">
        <v>0</v>
      </c>
      <c r="E14" s="100" t="s">
        <v>0</v>
      </c>
      <c r="F14" s="152" t="s">
        <v>0</v>
      </c>
      <c r="G14" s="153" t="s">
        <v>0</v>
      </c>
      <c r="H14" s="102" t="s">
        <v>0</v>
      </c>
      <c r="I14" s="152" t="s">
        <v>0</v>
      </c>
      <c r="J14" s="153" t="s">
        <v>0</v>
      </c>
      <c r="K14" s="102" t="s">
        <v>0</v>
      </c>
      <c r="L14" s="152" t="s">
        <v>0</v>
      </c>
      <c r="M14" s="153" t="s">
        <v>0</v>
      </c>
      <c r="N14" s="102" t="s">
        <v>0</v>
      </c>
      <c r="O14" s="152" t="s">
        <v>0</v>
      </c>
      <c r="P14" s="153" t="s">
        <v>0</v>
      </c>
      <c r="Q14" s="102" t="s">
        <v>0</v>
      </c>
      <c r="R14" s="152" t="s">
        <v>0</v>
      </c>
      <c r="S14" s="153" t="s">
        <v>0</v>
      </c>
      <c r="T14" s="102" t="s">
        <v>0</v>
      </c>
      <c r="U14" s="152" t="s">
        <v>0</v>
      </c>
      <c r="V14" s="153" t="s">
        <v>0</v>
      </c>
      <c r="W14" s="102" t="s">
        <v>0</v>
      </c>
      <c r="X14" s="152" t="s">
        <v>0</v>
      </c>
      <c r="Y14" s="153" t="s">
        <v>0</v>
      </c>
      <c r="Z14" s="102" t="s">
        <v>0</v>
      </c>
      <c r="AA14" s="152" t="s">
        <v>0</v>
      </c>
      <c r="AB14" s="153" t="s">
        <v>0</v>
      </c>
      <c r="AC14" s="102" t="s">
        <v>0</v>
      </c>
      <c r="AD14" s="152" t="s">
        <v>0</v>
      </c>
      <c r="AE14" s="153" t="s">
        <v>0</v>
      </c>
      <c r="AF14" s="102" t="s">
        <v>0</v>
      </c>
      <c r="AG14" s="152" t="s">
        <v>0</v>
      </c>
      <c r="AH14" s="153" t="s">
        <v>0</v>
      </c>
      <c r="AI14" s="102" t="s">
        <v>0</v>
      </c>
      <c r="AJ14" s="152" t="s">
        <v>0</v>
      </c>
      <c r="AK14" s="153" t="s">
        <v>0</v>
      </c>
      <c r="AL14" s="102" t="s">
        <v>0</v>
      </c>
      <c r="AM14" s="152" t="s">
        <v>0</v>
      </c>
      <c r="AN14" s="154" t="s">
        <v>0</v>
      </c>
      <c r="AO14" s="57"/>
      <c r="AP14" s="58"/>
      <c r="AQ14" s="57"/>
      <c r="AR14" s="58"/>
      <c r="AS14" s="5">
        <v>14</v>
      </c>
      <c r="AT14" s="208" t="s">
        <v>97</v>
      </c>
      <c r="AU14" s="209">
        <v>-3</v>
      </c>
      <c r="AV14" s="210">
        <v>-3</v>
      </c>
      <c r="AW14" s="211" t="s">
        <v>0</v>
      </c>
      <c r="AX14" s="212" t="s">
        <v>0</v>
      </c>
      <c r="AY14" s="213" t="s">
        <v>0</v>
      </c>
      <c r="AZ14" s="212" t="s">
        <v>0</v>
      </c>
      <c r="BA14" s="214" t="s">
        <v>0</v>
      </c>
      <c r="BB14" s="215" t="s">
        <v>0</v>
      </c>
      <c r="BC14" s="210"/>
      <c r="BD14" s="211"/>
      <c r="BE14" s="212"/>
      <c r="BF14" s="213"/>
      <c r="BG14" s="212"/>
      <c r="BH14" s="214"/>
      <c r="BI14" s="216"/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5" customHeight="1" x14ac:dyDescent="0.2">
      <c r="B15" s="150">
        <v>12</v>
      </c>
      <c r="C15" s="98">
        <v>16</v>
      </c>
      <c r="D15" s="151" t="s">
        <v>0</v>
      </c>
      <c r="E15" s="100" t="s">
        <v>0</v>
      </c>
      <c r="F15" s="152" t="s">
        <v>0</v>
      </c>
      <c r="G15" s="153" t="s">
        <v>0</v>
      </c>
      <c r="H15" s="102" t="s">
        <v>0</v>
      </c>
      <c r="I15" s="152" t="s">
        <v>0</v>
      </c>
      <c r="J15" s="153" t="s">
        <v>0</v>
      </c>
      <c r="K15" s="102" t="s">
        <v>0</v>
      </c>
      <c r="L15" s="152" t="s">
        <v>0</v>
      </c>
      <c r="M15" s="153" t="s">
        <v>0</v>
      </c>
      <c r="N15" s="102" t="s">
        <v>0</v>
      </c>
      <c r="O15" s="152" t="s">
        <v>0</v>
      </c>
      <c r="P15" s="153" t="s">
        <v>0</v>
      </c>
      <c r="Q15" s="102" t="s">
        <v>0</v>
      </c>
      <c r="R15" s="152" t="s">
        <v>0</v>
      </c>
      <c r="S15" s="153" t="s">
        <v>0</v>
      </c>
      <c r="T15" s="102" t="s">
        <v>0</v>
      </c>
      <c r="U15" s="152" t="s">
        <v>0</v>
      </c>
      <c r="V15" s="153" t="s">
        <v>0</v>
      </c>
      <c r="W15" s="102" t="s">
        <v>0</v>
      </c>
      <c r="X15" s="152" t="s">
        <v>0</v>
      </c>
      <c r="Y15" s="153" t="s">
        <v>0</v>
      </c>
      <c r="Z15" s="102" t="s">
        <v>0</v>
      </c>
      <c r="AA15" s="152" t="s">
        <v>0</v>
      </c>
      <c r="AB15" s="153" t="s">
        <v>0</v>
      </c>
      <c r="AC15" s="102" t="s">
        <v>0</v>
      </c>
      <c r="AD15" s="152" t="s">
        <v>0</v>
      </c>
      <c r="AE15" s="153" t="s">
        <v>0</v>
      </c>
      <c r="AF15" s="102" t="s">
        <v>0</v>
      </c>
      <c r="AG15" s="152" t="s">
        <v>0</v>
      </c>
      <c r="AH15" s="153" t="s">
        <v>0</v>
      </c>
      <c r="AI15" s="102" t="s">
        <v>0</v>
      </c>
      <c r="AJ15" s="152" t="s">
        <v>0</v>
      </c>
      <c r="AK15" s="153" t="s">
        <v>0</v>
      </c>
      <c r="AL15" s="102" t="s">
        <v>0</v>
      </c>
      <c r="AM15" s="152" t="s">
        <v>0</v>
      </c>
      <c r="AN15" s="154" t="s">
        <v>0</v>
      </c>
      <c r="AO15" s="57"/>
      <c r="AP15" s="58"/>
      <c r="AQ15" s="57"/>
      <c r="AR15" s="58"/>
      <c r="AS15" s="5">
        <v>16</v>
      </c>
      <c r="AT15" s="208" t="s">
        <v>98</v>
      </c>
      <c r="AU15" s="209">
        <v>-3</v>
      </c>
      <c r="AV15" s="210">
        <v>-3</v>
      </c>
      <c r="AW15" s="211" t="s">
        <v>0</v>
      </c>
      <c r="AX15" s="212" t="s">
        <v>0</v>
      </c>
      <c r="AY15" s="213" t="s">
        <v>0</v>
      </c>
      <c r="AZ15" s="212" t="s">
        <v>0</v>
      </c>
      <c r="BA15" s="214" t="s">
        <v>0</v>
      </c>
      <c r="BB15" s="215" t="s">
        <v>0</v>
      </c>
      <c r="BC15" s="210"/>
      <c r="BD15" s="211"/>
      <c r="BE15" s="212"/>
      <c r="BF15" s="213"/>
      <c r="BG15" s="212"/>
      <c r="BH15" s="214"/>
      <c r="BI15" s="216"/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5" customHeight="1" x14ac:dyDescent="0.2">
      <c r="B16" s="150">
        <v>13</v>
      </c>
      <c r="C16" s="98">
        <v>15</v>
      </c>
      <c r="D16" s="151" t="s">
        <v>0</v>
      </c>
      <c r="E16" s="100" t="s">
        <v>0</v>
      </c>
      <c r="F16" s="152" t="s">
        <v>0</v>
      </c>
      <c r="G16" s="153" t="s">
        <v>0</v>
      </c>
      <c r="H16" s="102" t="s">
        <v>0</v>
      </c>
      <c r="I16" s="152" t="s">
        <v>0</v>
      </c>
      <c r="J16" s="153" t="s">
        <v>0</v>
      </c>
      <c r="K16" s="102" t="s">
        <v>0</v>
      </c>
      <c r="L16" s="152" t="s">
        <v>0</v>
      </c>
      <c r="M16" s="153" t="s">
        <v>0</v>
      </c>
      <c r="N16" s="102" t="s">
        <v>0</v>
      </c>
      <c r="O16" s="152" t="s">
        <v>0</v>
      </c>
      <c r="P16" s="153" t="s">
        <v>0</v>
      </c>
      <c r="Q16" s="102" t="s">
        <v>0</v>
      </c>
      <c r="R16" s="152" t="s">
        <v>0</v>
      </c>
      <c r="S16" s="153" t="s">
        <v>0</v>
      </c>
      <c r="T16" s="102" t="s">
        <v>0</v>
      </c>
      <c r="U16" s="152" t="s">
        <v>0</v>
      </c>
      <c r="V16" s="153" t="s">
        <v>0</v>
      </c>
      <c r="W16" s="102" t="s">
        <v>0</v>
      </c>
      <c r="X16" s="152" t="s">
        <v>0</v>
      </c>
      <c r="Y16" s="153" t="s">
        <v>0</v>
      </c>
      <c r="Z16" s="102" t="s">
        <v>0</v>
      </c>
      <c r="AA16" s="152" t="s">
        <v>0</v>
      </c>
      <c r="AB16" s="153" t="s">
        <v>0</v>
      </c>
      <c r="AC16" s="102" t="s">
        <v>0</v>
      </c>
      <c r="AD16" s="152" t="s">
        <v>0</v>
      </c>
      <c r="AE16" s="153" t="s">
        <v>0</v>
      </c>
      <c r="AF16" s="102" t="s">
        <v>0</v>
      </c>
      <c r="AG16" s="152" t="s">
        <v>0</v>
      </c>
      <c r="AH16" s="153" t="s">
        <v>0</v>
      </c>
      <c r="AI16" s="102" t="s">
        <v>0</v>
      </c>
      <c r="AJ16" s="152" t="s">
        <v>0</v>
      </c>
      <c r="AK16" s="153" t="s">
        <v>0</v>
      </c>
      <c r="AL16" s="102" t="s">
        <v>0</v>
      </c>
      <c r="AM16" s="152" t="s">
        <v>0</v>
      </c>
      <c r="AN16" s="154" t="s">
        <v>0</v>
      </c>
      <c r="AO16" s="57"/>
      <c r="AP16" s="58"/>
      <c r="AQ16" s="57"/>
      <c r="AR16" s="58"/>
      <c r="AS16" s="5">
        <v>15</v>
      </c>
      <c r="AT16" s="208" t="s">
        <v>100</v>
      </c>
      <c r="AU16" s="209">
        <v>-1</v>
      </c>
      <c r="AV16" s="210">
        <v>-3</v>
      </c>
      <c r="AW16" s="211" t="s">
        <v>0</v>
      </c>
      <c r="AX16" s="212" t="s">
        <v>0</v>
      </c>
      <c r="AY16" s="213" t="s">
        <v>0</v>
      </c>
      <c r="AZ16" s="212" t="s">
        <v>0</v>
      </c>
      <c r="BA16" s="214" t="s">
        <v>88</v>
      </c>
      <c r="BB16" s="215">
        <v>2</v>
      </c>
      <c r="BC16" s="210"/>
      <c r="BD16" s="211"/>
      <c r="BE16" s="212"/>
      <c r="BF16" s="213"/>
      <c r="BG16" s="212"/>
      <c r="BH16" s="214"/>
      <c r="BI16" s="216"/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5" customHeight="1" x14ac:dyDescent="0.2">
      <c r="B17" s="150">
        <v>14</v>
      </c>
      <c r="C17" s="98">
        <v>16</v>
      </c>
      <c r="D17" s="151" t="s">
        <v>0</v>
      </c>
      <c r="E17" s="100" t="s">
        <v>0</v>
      </c>
      <c r="F17" s="152" t="s">
        <v>0</v>
      </c>
      <c r="G17" s="153" t="s">
        <v>0</v>
      </c>
      <c r="H17" s="102" t="s">
        <v>0</v>
      </c>
      <c r="I17" s="152" t="s">
        <v>0</v>
      </c>
      <c r="J17" s="153" t="s">
        <v>0</v>
      </c>
      <c r="K17" s="102" t="s">
        <v>0</v>
      </c>
      <c r="L17" s="152" t="s">
        <v>0</v>
      </c>
      <c r="M17" s="153" t="s">
        <v>0</v>
      </c>
      <c r="N17" s="102" t="s">
        <v>0</v>
      </c>
      <c r="O17" s="152" t="s">
        <v>0</v>
      </c>
      <c r="P17" s="153" t="s">
        <v>0</v>
      </c>
      <c r="Q17" s="102" t="s">
        <v>0</v>
      </c>
      <c r="R17" s="152" t="s">
        <v>0</v>
      </c>
      <c r="S17" s="153" t="s">
        <v>0</v>
      </c>
      <c r="T17" s="102" t="s">
        <v>0</v>
      </c>
      <c r="U17" s="152" t="s">
        <v>0</v>
      </c>
      <c r="V17" s="153" t="s">
        <v>0</v>
      </c>
      <c r="W17" s="102" t="s">
        <v>0</v>
      </c>
      <c r="X17" s="152" t="s">
        <v>0</v>
      </c>
      <c r="Y17" s="153" t="s">
        <v>0</v>
      </c>
      <c r="Z17" s="102" t="s">
        <v>0</v>
      </c>
      <c r="AA17" s="152" t="s">
        <v>0</v>
      </c>
      <c r="AB17" s="153" t="s">
        <v>0</v>
      </c>
      <c r="AC17" s="102" t="s">
        <v>0</v>
      </c>
      <c r="AD17" s="152" t="s">
        <v>0</v>
      </c>
      <c r="AE17" s="153" t="s">
        <v>0</v>
      </c>
      <c r="AF17" s="102" t="s">
        <v>0</v>
      </c>
      <c r="AG17" s="152" t="s">
        <v>0</v>
      </c>
      <c r="AH17" s="153" t="s">
        <v>0</v>
      </c>
      <c r="AI17" s="102" t="s">
        <v>0</v>
      </c>
      <c r="AJ17" s="152" t="s">
        <v>0</v>
      </c>
      <c r="AK17" s="153" t="s">
        <v>0</v>
      </c>
      <c r="AL17" s="102" t="s">
        <v>0</v>
      </c>
      <c r="AM17" s="152" t="s">
        <v>0</v>
      </c>
      <c r="AN17" s="154" t="s">
        <v>0</v>
      </c>
      <c r="AO17" s="57"/>
      <c r="AP17" s="58"/>
      <c r="AQ17" s="57"/>
      <c r="AR17" s="58"/>
      <c r="AS17" s="5">
        <v>16</v>
      </c>
      <c r="AT17" s="208" t="s">
        <v>102</v>
      </c>
      <c r="AU17" s="209">
        <v>-3</v>
      </c>
      <c r="AV17" s="210">
        <v>-3</v>
      </c>
      <c r="AW17" s="211" t="s">
        <v>0</v>
      </c>
      <c r="AX17" s="212" t="s">
        <v>0</v>
      </c>
      <c r="AY17" s="213" t="s">
        <v>0</v>
      </c>
      <c r="AZ17" s="212" t="s">
        <v>0</v>
      </c>
      <c r="BA17" s="214" t="s">
        <v>0</v>
      </c>
      <c r="BB17" s="215" t="s">
        <v>0</v>
      </c>
      <c r="BC17" s="210"/>
      <c r="BD17" s="211"/>
      <c r="BE17" s="212"/>
      <c r="BF17" s="213"/>
      <c r="BG17" s="212"/>
      <c r="BH17" s="214"/>
      <c r="BI17" s="216"/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5" customHeight="1" x14ac:dyDescent="0.2">
      <c r="B18" s="150">
        <v>15</v>
      </c>
      <c r="C18" s="98">
        <v>16</v>
      </c>
      <c r="D18" s="151" t="s">
        <v>0</v>
      </c>
      <c r="E18" s="100" t="s">
        <v>0</v>
      </c>
      <c r="F18" s="152" t="s">
        <v>0</v>
      </c>
      <c r="G18" s="153" t="s">
        <v>0</v>
      </c>
      <c r="H18" s="102" t="s">
        <v>0</v>
      </c>
      <c r="I18" s="152" t="s">
        <v>0</v>
      </c>
      <c r="J18" s="153" t="s">
        <v>0</v>
      </c>
      <c r="K18" s="102" t="s">
        <v>0</v>
      </c>
      <c r="L18" s="152" t="s">
        <v>0</v>
      </c>
      <c r="M18" s="153" t="s">
        <v>0</v>
      </c>
      <c r="N18" s="102" t="s">
        <v>0</v>
      </c>
      <c r="O18" s="152" t="s">
        <v>0</v>
      </c>
      <c r="P18" s="153" t="s">
        <v>0</v>
      </c>
      <c r="Q18" s="102" t="s">
        <v>0</v>
      </c>
      <c r="R18" s="152" t="s">
        <v>0</v>
      </c>
      <c r="S18" s="153" t="s">
        <v>0</v>
      </c>
      <c r="T18" s="102" t="s">
        <v>0</v>
      </c>
      <c r="U18" s="152" t="s">
        <v>0</v>
      </c>
      <c r="V18" s="153" t="s">
        <v>0</v>
      </c>
      <c r="W18" s="102" t="s">
        <v>0</v>
      </c>
      <c r="X18" s="152" t="s">
        <v>0</v>
      </c>
      <c r="Y18" s="153" t="s">
        <v>0</v>
      </c>
      <c r="Z18" s="102" t="s">
        <v>0</v>
      </c>
      <c r="AA18" s="152" t="s">
        <v>0</v>
      </c>
      <c r="AB18" s="153" t="s">
        <v>0</v>
      </c>
      <c r="AC18" s="102" t="s">
        <v>0</v>
      </c>
      <c r="AD18" s="152" t="s">
        <v>0</v>
      </c>
      <c r="AE18" s="153" t="s">
        <v>0</v>
      </c>
      <c r="AF18" s="102" t="s">
        <v>0</v>
      </c>
      <c r="AG18" s="152" t="s">
        <v>0</v>
      </c>
      <c r="AH18" s="153" t="s">
        <v>0</v>
      </c>
      <c r="AI18" s="102" t="s">
        <v>0</v>
      </c>
      <c r="AJ18" s="152" t="s">
        <v>0</v>
      </c>
      <c r="AK18" s="153" t="s">
        <v>0</v>
      </c>
      <c r="AL18" s="102" t="s">
        <v>0</v>
      </c>
      <c r="AM18" s="152" t="s">
        <v>0</v>
      </c>
      <c r="AN18" s="154" t="s">
        <v>0</v>
      </c>
      <c r="AO18" s="57"/>
      <c r="AP18" s="58"/>
      <c r="AQ18" s="57"/>
      <c r="AR18" s="58"/>
      <c r="AS18" s="5">
        <v>16</v>
      </c>
      <c r="AT18" s="208" t="s">
        <v>101</v>
      </c>
      <c r="AU18" s="209">
        <v>-3</v>
      </c>
      <c r="AV18" s="210">
        <v>-3</v>
      </c>
      <c r="AW18" s="211" t="s">
        <v>0</v>
      </c>
      <c r="AX18" s="212" t="s">
        <v>0</v>
      </c>
      <c r="AY18" s="213" t="s">
        <v>0</v>
      </c>
      <c r="AZ18" s="212" t="s">
        <v>0</v>
      </c>
      <c r="BA18" s="214" t="s">
        <v>0</v>
      </c>
      <c r="BB18" s="215" t="s">
        <v>0</v>
      </c>
      <c r="BC18" s="210"/>
      <c r="BD18" s="211"/>
      <c r="BE18" s="212"/>
      <c r="BF18" s="213"/>
      <c r="BG18" s="212"/>
      <c r="BH18" s="214"/>
      <c r="BI18" s="216"/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5" customHeight="1" thickBot="1" x14ac:dyDescent="0.25">
      <c r="B19" s="150">
        <v>16</v>
      </c>
      <c r="C19" s="98">
        <v>16</v>
      </c>
      <c r="D19" s="151" t="s">
        <v>0</v>
      </c>
      <c r="E19" s="100" t="s">
        <v>0</v>
      </c>
      <c r="F19" s="152" t="s">
        <v>0</v>
      </c>
      <c r="G19" s="153" t="s">
        <v>0</v>
      </c>
      <c r="H19" s="102" t="s">
        <v>0</v>
      </c>
      <c r="I19" s="152" t="s">
        <v>0</v>
      </c>
      <c r="J19" s="153" t="s">
        <v>0</v>
      </c>
      <c r="K19" s="102" t="s">
        <v>0</v>
      </c>
      <c r="L19" s="152" t="s">
        <v>0</v>
      </c>
      <c r="M19" s="153" t="s">
        <v>0</v>
      </c>
      <c r="N19" s="102" t="s">
        <v>0</v>
      </c>
      <c r="O19" s="152" t="s">
        <v>0</v>
      </c>
      <c r="P19" s="153" t="s">
        <v>0</v>
      </c>
      <c r="Q19" s="102" t="s">
        <v>0</v>
      </c>
      <c r="R19" s="152" t="s">
        <v>0</v>
      </c>
      <c r="S19" s="153" t="s">
        <v>0</v>
      </c>
      <c r="T19" s="102" t="s">
        <v>0</v>
      </c>
      <c r="U19" s="152" t="s">
        <v>0</v>
      </c>
      <c r="V19" s="153" t="s">
        <v>0</v>
      </c>
      <c r="W19" s="102" t="s">
        <v>0</v>
      </c>
      <c r="X19" s="152" t="s">
        <v>0</v>
      </c>
      <c r="Y19" s="153" t="s">
        <v>0</v>
      </c>
      <c r="Z19" s="102" t="s">
        <v>0</v>
      </c>
      <c r="AA19" s="152" t="s">
        <v>0</v>
      </c>
      <c r="AB19" s="153" t="s">
        <v>0</v>
      </c>
      <c r="AC19" s="102" t="s">
        <v>0</v>
      </c>
      <c r="AD19" s="152" t="s">
        <v>0</v>
      </c>
      <c r="AE19" s="153" t="s">
        <v>0</v>
      </c>
      <c r="AF19" s="102" t="s">
        <v>0</v>
      </c>
      <c r="AG19" s="152" t="s">
        <v>0</v>
      </c>
      <c r="AH19" s="153" t="s">
        <v>0</v>
      </c>
      <c r="AI19" s="102" t="s">
        <v>0</v>
      </c>
      <c r="AJ19" s="152" t="s">
        <v>0</v>
      </c>
      <c r="AK19" s="153" t="s">
        <v>0</v>
      </c>
      <c r="AL19" s="102" t="s">
        <v>0</v>
      </c>
      <c r="AM19" s="152" t="s">
        <v>0</v>
      </c>
      <c r="AN19" s="154" t="s">
        <v>0</v>
      </c>
      <c r="AO19" s="57"/>
      <c r="AP19" s="58"/>
      <c r="AQ19" s="57"/>
      <c r="AR19" s="58"/>
      <c r="AS19" s="5">
        <v>16</v>
      </c>
      <c r="AT19" s="217" t="s">
        <v>104</v>
      </c>
      <c r="AU19" s="218">
        <v>-3</v>
      </c>
      <c r="AV19" s="219">
        <v>-3</v>
      </c>
      <c r="AW19" s="220" t="s">
        <v>0</v>
      </c>
      <c r="AX19" s="221" t="s">
        <v>0</v>
      </c>
      <c r="AY19" s="222" t="s">
        <v>0</v>
      </c>
      <c r="AZ19" s="221" t="s">
        <v>0</v>
      </c>
      <c r="BA19" s="223" t="s">
        <v>0</v>
      </c>
      <c r="BB19" s="224" t="s">
        <v>0</v>
      </c>
      <c r="BC19" s="219"/>
      <c r="BD19" s="220"/>
      <c r="BE19" s="221"/>
      <c r="BF19" s="222"/>
      <c r="BG19" s="221"/>
      <c r="BH19" s="223"/>
      <c r="BI19" s="225"/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5" customHeight="1" thickBot="1" x14ac:dyDescent="0.25">
      <c r="B20" s="155">
        <v>17</v>
      </c>
      <c r="C20" s="156">
        <v>16</v>
      </c>
      <c r="D20" s="157" t="s">
        <v>0</v>
      </c>
      <c r="E20" s="158" t="s">
        <v>0</v>
      </c>
      <c r="F20" s="159" t="s">
        <v>0</v>
      </c>
      <c r="G20" s="160" t="s">
        <v>0</v>
      </c>
      <c r="H20" s="161" t="s">
        <v>0</v>
      </c>
      <c r="I20" s="159" t="s">
        <v>0</v>
      </c>
      <c r="J20" s="160" t="s">
        <v>0</v>
      </c>
      <c r="K20" s="161" t="s">
        <v>0</v>
      </c>
      <c r="L20" s="159" t="s">
        <v>0</v>
      </c>
      <c r="M20" s="160" t="s">
        <v>0</v>
      </c>
      <c r="N20" s="161" t="s">
        <v>0</v>
      </c>
      <c r="O20" s="159" t="s">
        <v>0</v>
      </c>
      <c r="P20" s="160" t="s">
        <v>0</v>
      </c>
      <c r="Q20" s="161" t="s">
        <v>0</v>
      </c>
      <c r="R20" s="159" t="s">
        <v>0</v>
      </c>
      <c r="S20" s="160" t="s">
        <v>0</v>
      </c>
      <c r="T20" s="161" t="s">
        <v>0</v>
      </c>
      <c r="U20" s="159" t="s">
        <v>0</v>
      </c>
      <c r="V20" s="160" t="s">
        <v>0</v>
      </c>
      <c r="W20" s="161" t="s">
        <v>0</v>
      </c>
      <c r="X20" s="159" t="s">
        <v>0</v>
      </c>
      <c r="Y20" s="160" t="s">
        <v>0</v>
      </c>
      <c r="Z20" s="161" t="s">
        <v>0</v>
      </c>
      <c r="AA20" s="159" t="s">
        <v>0</v>
      </c>
      <c r="AB20" s="160" t="s">
        <v>0</v>
      </c>
      <c r="AC20" s="161" t="s">
        <v>0</v>
      </c>
      <c r="AD20" s="159" t="s">
        <v>0</v>
      </c>
      <c r="AE20" s="160" t="s">
        <v>0</v>
      </c>
      <c r="AF20" s="161" t="s">
        <v>0</v>
      </c>
      <c r="AG20" s="159" t="s">
        <v>0</v>
      </c>
      <c r="AH20" s="160" t="s">
        <v>0</v>
      </c>
      <c r="AI20" s="161" t="s">
        <v>0</v>
      </c>
      <c r="AJ20" s="159" t="s">
        <v>0</v>
      </c>
      <c r="AK20" s="160" t="s">
        <v>0</v>
      </c>
      <c r="AL20" s="161" t="s">
        <v>0</v>
      </c>
      <c r="AM20" s="159" t="s">
        <v>0</v>
      </c>
      <c r="AN20" s="162" t="s">
        <v>0</v>
      </c>
      <c r="AO20" s="57"/>
      <c r="AP20" s="58"/>
      <c r="AQ20" s="57"/>
      <c r="AR20" s="58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21" customHeight="1" x14ac:dyDescent="0.2">
      <c r="B21" s="61"/>
      <c r="C21" s="163" t="s">
        <v>64</v>
      </c>
      <c r="D21" s="164">
        <v>16</v>
      </c>
      <c r="E21" s="165">
        <v>6</v>
      </c>
      <c r="F21" s="166">
        <v>10</v>
      </c>
      <c r="G21" s="167">
        <v>90</v>
      </c>
      <c r="H21" s="168">
        <v>9</v>
      </c>
      <c r="I21" s="166">
        <v>10</v>
      </c>
      <c r="J21" s="167">
        <v>83</v>
      </c>
      <c r="K21" s="168">
        <v>6</v>
      </c>
      <c r="L21" s="166">
        <v>9</v>
      </c>
      <c r="M21" s="167">
        <v>90</v>
      </c>
      <c r="N21" s="168">
        <v>12</v>
      </c>
      <c r="O21" s="166">
        <v>9</v>
      </c>
      <c r="P21" s="167">
        <v>72</v>
      </c>
      <c r="Q21" s="168">
        <v>3</v>
      </c>
      <c r="R21" s="166">
        <v>11</v>
      </c>
      <c r="S21" s="167">
        <v>102</v>
      </c>
      <c r="T21" s="168">
        <v>11</v>
      </c>
      <c r="U21" s="166">
        <v>8</v>
      </c>
      <c r="V21" s="167">
        <v>74</v>
      </c>
      <c r="W21" s="168">
        <v>2</v>
      </c>
      <c r="X21" s="166">
        <v>12</v>
      </c>
      <c r="Y21" s="167">
        <v>106</v>
      </c>
      <c r="Z21" s="168">
        <v>10</v>
      </c>
      <c r="AA21" s="166">
        <v>9</v>
      </c>
      <c r="AB21" s="167">
        <v>81</v>
      </c>
      <c r="AC21" s="168">
        <v>4</v>
      </c>
      <c r="AD21" s="166">
        <v>11</v>
      </c>
      <c r="AE21" s="167">
        <v>100</v>
      </c>
      <c r="AF21" s="168">
        <v>5</v>
      </c>
      <c r="AG21" s="166">
        <v>10</v>
      </c>
      <c r="AH21" s="167">
        <v>91</v>
      </c>
      <c r="AI21" s="168">
        <v>8</v>
      </c>
      <c r="AJ21" s="166">
        <v>8</v>
      </c>
      <c r="AK21" s="167">
        <v>84</v>
      </c>
      <c r="AL21" s="168">
        <v>1</v>
      </c>
      <c r="AM21" s="166">
        <v>11</v>
      </c>
      <c r="AN21" s="169">
        <v>119</v>
      </c>
      <c r="AO21" s="62"/>
      <c r="AP21" s="63"/>
      <c r="AQ21" s="62"/>
      <c r="AR21" s="63"/>
      <c r="AS21" s="20"/>
      <c r="BJ21" s="5"/>
      <c r="BK21" s="5"/>
      <c r="BL21" s="5"/>
      <c r="BM21" s="5">
        <v>90</v>
      </c>
      <c r="BN21" s="5"/>
      <c r="BO21" s="5"/>
      <c r="BP21" s="5">
        <v>83</v>
      </c>
      <c r="BQ21" s="5"/>
      <c r="BR21" s="5"/>
      <c r="BS21" s="5">
        <v>90</v>
      </c>
      <c r="BT21" s="5"/>
      <c r="BU21" s="5"/>
      <c r="BV21" s="5">
        <v>72</v>
      </c>
      <c r="BW21" s="5"/>
      <c r="BX21" s="5"/>
      <c r="BY21" s="5">
        <v>102</v>
      </c>
      <c r="BZ21" s="5"/>
      <c r="CA21" s="5"/>
      <c r="CB21" s="5">
        <v>74</v>
      </c>
      <c r="CC21" s="5"/>
      <c r="CD21" s="5"/>
      <c r="CE21" s="5">
        <v>106</v>
      </c>
      <c r="CF21" s="5"/>
      <c r="CG21" s="5"/>
      <c r="CH21" s="5">
        <v>81</v>
      </c>
      <c r="CI21" s="5"/>
      <c r="CJ21" s="5"/>
      <c r="CK21" s="5">
        <v>100</v>
      </c>
      <c r="CL21" s="5"/>
      <c r="CM21" s="5"/>
      <c r="CN21" s="5">
        <v>91</v>
      </c>
      <c r="CO21" s="5"/>
      <c r="CP21" s="5"/>
      <c r="CQ21" s="5">
        <v>84</v>
      </c>
      <c r="CR21" s="5"/>
      <c r="CS21" s="5"/>
      <c r="CT21" s="5">
        <v>119</v>
      </c>
      <c r="CU21" s="5"/>
    </row>
    <row r="22" spans="2:99" ht="21" customHeight="1" thickBot="1" x14ac:dyDescent="0.25">
      <c r="B22" s="64"/>
      <c r="C22" s="65"/>
      <c r="D22" s="23" t="s">
        <v>65</v>
      </c>
      <c r="E22" s="170">
        <v>6</v>
      </c>
      <c r="F22" s="171">
        <v>10</v>
      </c>
      <c r="G22" s="172">
        <v>90</v>
      </c>
      <c r="H22" s="173">
        <v>9</v>
      </c>
      <c r="I22" s="171">
        <v>10</v>
      </c>
      <c r="J22" s="172">
        <v>83</v>
      </c>
      <c r="K22" s="173">
        <v>6</v>
      </c>
      <c r="L22" s="171">
        <v>9</v>
      </c>
      <c r="M22" s="172">
        <v>90</v>
      </c>
      <c r="N22" s="173">
        <v>12</v>
      </c>
      <c r="O22" s="171">
        <v>9</v>
      </c>
      <c r="P22" s="172">
        <v>72</v>
      </c>
      <c r="Q22" s="173">
        <v>3</v>
      </c>
      <c r="R22" s="171">
        <v>11</v>
      </c>
      <c r="S22" s="172">
        <v>102</v>
      </c>
      <c r="T22" s="173">
        <v>11</v>
      </c>
      <c r="U22" s="171">
        <v>8</v>
      </c>
      <c r="V22" s="172">
        <v>74</v>
      </c>
      <c r="W22" s="173">
        <v>2</v>
      </c>
      <c r="X22" s="171">
        <v>12</v>
      </c>
      <c r="Y22" s="172">
        <v>106</v>
      </c>
      <c r="Z22" s="173">
        <v>10</v>
      </c>
      <c r="AA22" s="171">
        <v>9</v>
      </c>
      <c r="AB22" s="172">
        <v>81</v>
      </c>
      <c r="AC22" s="173">
        <v>4</v>
      </c>
      <c r="AD22" s="171">
        <v>11</v>
      </c>
      <c r="AE22" s="172">
        <v>100</v>
      </c>
      <c r="AF22" s="173">
        <v>5</v>
      </c>
      <c r="AG22" s="171">
        <v>10</v>
      </c>
      <c r="AH22" s="172">
        <v>91</v>
      </c>
      <c r="AI22" s="173">
        <v>8</v>
      </c>
      <c r="AJ22" s="171">
        <v>8</v>
      </c>
      <c r="AK22" s="172">
        <v>84</v>
      </c>
      <c r="AL22" s="173">
        <v>1</v>
      </c>
      <c r="AM22" s="171">
        <v>11</v>
      </c>
      <c r="AN22" s="174">
        <v>119</v>
      </c>
      <c r="AO22" s="62"/>
      <c r="AP22" s="63"/>
      <c r="AQ22" s="62"/>
      <c r="AR22" s="63"/>
      <c r="AS22" s="20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21" customHeight="1" x14ac:dyDescent="0.2">
      <c r="B23" s="175"/>
      <c r="C23" s="176"/>
      <c r="D23" s="177" t="s">
        <v>66</v>
      </c>
      <c r="E23" s="178" t="s">
        <v>0</v>
      </c>
      <c r="F23" s="179"/>
      <c r="G23" s="180"/>
      <c r="H23" s="181" t="s">
        <v>0</v>
      </c>
      <c r="I23" s="179"/>
      <c r="J23" s="180"/>
      <c r="K23" s="181" t="s">
        <v>0</v>
      </c>
      <c r="L23" s="179"/>
      <c r="M23" s="180"/>
      <c r="N23" s="181" t="s">
        <v>0</v>
      </c>
      <c r="O23" s="179"/>
      <c r="P23" s="180"/>
      <c r="Q23" s="181" t="s">
        <v>0</v>
      </c>
      <c r="R23" s="179"/>
      <c r="S23" s="180"/>
      <c r="T23" s="181" t="s">
        <v>0</v>
      </c>
      <c r="U23" s="179"/>
      <c r="V23" s="180"/>
      <c r="W23" s="181" t="s">
        <v>0</v>
      </c>
      <c r="X23" s="179"/>
      <c r="Y23" s="180"/>
      <c r="Z23" s="181" t="s">
        <v>0</v>
      </c>
      <c r="AA23" s="179"/>
      <c r="AB23" s="180"/>
      <c r="AC23" s="181" t="s">
        <v>0</v>
      </c>
      <c r="AD23" s="179"/>
      <c r="AE23" s="180"/>
      <c r="AF23" s="181" t="s">
        <v>0</v>
      </c>
      <c r="AG23" s="179"/>
      <c r="AH23" s="180"/>
      <c r="AI23" s="181" t="s">
        <v>0</v>
      </c>
      <c r="AJ23" s="179"/>
      <c r="AK23" s="180"/>
      <c r="AL23" s="181">
        <v>1</v>
      </c>
      <c r="AM23" s="179"/>
      <c r="AN23" s="182"/>
      <c r="AO23" s="62"/>
      <c r="AP23" s="63"/>
      <c r="AQ23" s="62"/>
      <c r="AR23" s="63"/>
      <c r="AS23" s="20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21" customHeight="1" x14ac:dyDescent="0.2">
      <c r="B24" s="183"/>
      <c r="C24" s="184"/>
      <c r="D24" s="185" t="s">
        <v>67</v>
      </c>
      <c r="E24" s="186" t="s">
        <v>0</v>
      </c>
      <c r="F24" s="187"/>
      <c r="G24" s="188"/>
      <c r="H24" s="189" t="s">
        <v>0</v>
      </c>
      <c r="I24" s="187"/>
      <c r="J24" s="188"/>
      <c r="K24" s="189" t="s">
        <v>0</v>
      </c>
      <c r="L24" s="187"/>
      <c r="M24" s="188"/>
      <c r="N24" s="189" t="s">
        <v>0</v>
      </c>
      <c r="O24" s="187"/>
      <c r="P24" s="188"/>
      <c r="Q24" s="189" t="s">
        <v>0</v>
      </c>
      <c r="R24" s="187"/>
      <c r="S24" s="188"/>
      <c r="T24" s="189" t="s">
        <v>0</v>
      </c>
      <c r="U24" s="187"/>
      <c r="V24" s="188"/>
      <c r="W24" s="189">
        <v>1</v>
      </c>
      <c r="X24" s="187"/>
      <c r="Y24" s="188"/>
      <c r="Z24" s="189" t="s">
        <v>0</v>
      </c>
      <c r="AA24" s="187"/>
      <c r="AB24" s="188"/>
      <c r="AC24" s="189" t="s">
        <v>0</v>
      </c>
      <c r="AD24" s="187"/>
      <c r="AE24" s="188"/>
      <c r="AF24" s="189" t="s">
        <v>0</v>
      </c>
      <c r="AG24" s="187"/>
      <c r="AH24" s="188"/>
      <c r="AI24" s="189" t="s">
        <v>0</v>
      </c>
      <c r="AJ24" s="187"/>
      <c r="AK24" s="188"/>
      <c r="AL24" s="189" t="s">
        <v>0</v>
      </c>
      <c r="AM24" s="187"/>
      <c r="AN24" s="190"/>
      <c r="AO24" s="62"/>
      <c r="AP24" s="63"/>
      <c r="AQ24" s="62"/>
      <c r="AR24" s="63"/>
      <c r="AS24" s="20"/>
      <c r="BJ24" s="5"/>
      <c r="BK24" s="5"/>
      <c r="BL24" s="5">
        <v>10</v>
      </c>
      <c r="BM24" s="5"/>
      <c r="BN24" s="5"/>
      <c r="BO24" s="5">
        <v>10</v>
      </c>
      <c r="BP24" s="5"/>
      <c r="BQ24" s="5"/>
      <c r="BR24" s="5">
        <v>9</v>
      </c>
      <c r="BS24" s="5"/>
      <c r="BT24" s="5"/>
      <c r="BU24" s="5">
        <v>9</v>
      </c>
      <c r="BV24" s="5"/>
      <c r="BW24" s="5"/>
      <c r="BX24" s="5">
        <v>11</v>
      </c>
      <c r="BY24" s="5"/>
      <c r="BZ24" s="5"/>
      <c r="CA24" s="5">
        <v>8</v>
      </c>
      <c r="CB24" s="5"/>
      <c r="CC24" s="5"/>
      <c r="CD24" s="5">
        <v>12</v>
      </c>
      <c r="CE24" s="5"/>
      <c r="CF24" s="5"/>
      <c r="CG24" s="5">
        <v>9</v>
      </c>
      <c r="CH24" s="5"/>
      <c r="CI24" s="5"/>
      <c r="CJ24" s="5">
        <v>11</v>
      </c>
      <c r="CK24" s="5"/>
      <c r="CL24" s="5"/>
      <c r="CM24" s="5">
        <v>10</v>
      </c>
      <c r="CN24" s="5"/>
      <c r="CO24" s="5"/>
      <c r="CP24" s="5">
        <v>8</v>
      </c>
      <c r="CQ24" s="5"/>
      <c r="CR24" s="5"/>
      <c r="CS24" s="5">
        <v>11</v>
      </c>
      <c r="CT24" s="5"/>
      <c r="CU24" s="5"/>
    </row>
    <row r="25" spans="2:99" ht="21" customHeight="1" x14ac:dyDescent="0.2">
      <c r="B25" s="183"/>
      <c r="C25" s="184"/>
      <c r="D25" s="185" t="s">
        <v>68</v>
      </c>
      <c r="E25" s="186" t="s">
        <v>0</v>
      </c>
      <c r="F25" s="187"/>
      <c r="G25" s="188"/>
      <c r="H25" s="189" t="s">
        <v>0</v>
      </c>
      <c r="I25" s="187"/>
      <c r="J25" s="188"/>
      <c r="K25" s="189" t="s">
        <v>0</v>
      </c>
      <c r="L25" s="187"/>
      <c r="M25" s="188"/>
      <c r="N25" s="189" t="s">
        <v>0</v>
      </c>
      <c r="O25" s="187"/>
      <c r="P25" s="188"/>
      <c r="Q25" s="189">
        <v>1</v>
      </c>
      <c r="R25" s="187"/>
      <c r="S25" s="188"/>
      <c r="T25" s="189" t="s">
        <v>0</v>
      </c>
      <c r="U25" s="187"/>
      <c r="V25" s="188"/>
      <c r="W25" s="189" t="s">
        <v>0</v>
      </c>
      <c r="X25" s="187"/>
      <c r="Y25" s="188"/>
      <c r="Z25" s="189" t="s">
        <v>0</v>
      </c>
      <c r="AA25" s="187"/>
      <c r="AB25" s="188"/>
      <c r="AC25" s="189" t="s">
        <v>0</v>
      </c>
      <c r="AD25" s="187"/>
      <c r="AE25" s="188"/>
      <c r="AF25" s="189" t="s">
        <v>0</v>
      </c>
      <c r="AG25" s="187"/>
      <c r="AH25" s="188"/>
      <c r="AI25" s="189" t="s">
        <v>0</v>
      </c>
      <c r="AJ25" s="187"/>
      <c r="AK25" s="188"/>
      <c r="AL25" s="189" t="s">
        <v>0</v>
      </c>
      <c r="AM25" s="187"/>
      <c r="AN25" s="190"/>
      <c r="AO25" s="62"/>
      <c r="AP25" s="63"/>
      <c r="AQ25" s="62"/>
      <c r="AR25" s="63"/>
      <c r="AS25" s="20"/>
      <c r="BJ25" s="5"/>
      <c r="BK25" s="5"/>
      <c r="BL25" s="5" t="s">
        <v>0</v>
      </c>
      <c r="BM25" s="5"/>
      <c r="BN25" s="5"/>
      <c r="BO25" s="5" t="s">
        <v>0</v>
      </c>
      <c r="BP25" s="5"/>
      <c r="BQ25" s="5"/>
      <c r="BR25" s="5" t="s">
        <v>0</v>
      </c>
      <c r="BS25" s="5"/>
      <c r="BT25" s="5"/>
      <c r="BU25" s="5" t="s">
        <v>0</v>
      </c>
      <c r="BV25" s="5"/>
      <c r="BW25" s="5"/>
      <c r="BX25" s="5" t="s">
        <v>0</v>
      </c>
      <c r="BY25" s="5"/>
      <c r="BZ25" s="5"/>
      <c r="CA25" s="5" t="s">
        <v>0</v>
      </c>
      <c r="CB25" s="5"/>
      <c r="CC25" s="5"/>
      <c r="CD25" s="5" t="s">
        <v>0</v>
      </c>
      <c r="CE25" s="5"/>
      <c r="CF25" s="5"/>
      <c r="CG25" s="5" t="s">
        <v>0</v>
      </c>
      <c r="CH25" s="5"/>
      <c r="CI25" s="5"/>
      <c r="CJ25" s="5" t="s">
        <v>0</v>
      </c>
      <c r="CK25" s="5"/>
      <c r="CL25" s="5"/>
      <c r="CM25" s="5" t="s">
        <v>0</v>
      </c>
      <c r="CN25" s="5"/>
      <c r="CO25" s="5"/>
      <c r="CP25" s="5" t="s">
        <v>0</v>
      </c>
      <c r="CQ25" s="5"/>
      <c r="CR25" s="5"/>
      <c r="CS25" s="5" t="s">
        <v>0</v>
      </c>
      <c r="CT25" s="5"/>
      <c r="CU25" s="5"/>
    </row>
    <row r="26" spans="2:99" ht="21" customHeight="1" x14ac:dyDescent="0.2">
      <c r="B26" s="183"/>
      <c r="C26" s="184"/>
      <c r="D26" s="185" t="s">
        <v>69</v>
      </c>
      <c r="E26" s="186" t="s">
        <v>0</v>
      </c>
      <c r="F26" s="187"/>
      <c r="G26" s="188"/>
      <c r="H26" s="189" t="s">
        <v>0</v>
      </c>
      <c r="I26" s="187"/>
      <c r="J26" s="188"/>
      <c r="K26" s="189" t="s">
        <v>0</v>
      </c>
      <c r="L26" s="187"/>
      <c r="M26" s="188"/>
      <c r="N26" s="189">
        <v>1</v>
      </c>
      <c r="O26" s="187"/>
      <c r="P26" s="188"/>
      <c r="Q26" s="189" t="s">
        <v>0</v>
      </c>
      <c r="R26" s="187"/>
      <c r="S26" s="188"/>
      <c r="T26" s="189" t="s">
        <v>0</v>
      </c>
      <c r="U26" s="187"/>
      <c r="V26" s="188"/>
      <c r="W26" s="189" t="s">
        <v>0</v>
      </c>
      <c r="X26" s="187"/>
      <c r="Y26" s="188"/>
      <c r="Z26" s="189" t="s">
        <v>0</v>
      </c>
      <c r="AA26" s="187"/>
      <c r="AB26" s="188"/>
      <c r="AC26" s="189" t="s">
        <v>0</v>
      </c>
      <c r="AD26" s="187"/>
      <c r="AE26" s="188"/>
      <c r="AF26" s="189" t="s">
        <v>0</v>
      </c>
      <c r="AG26" s="187"/>
      <c r="AH26" s="188"/>
      <c r="AI26" s="189" t="s">
        <v>0</v>
      </c>
      <c r="AJ26" s="187"/>
      <c r="AK26" s="188"/>
      <c r="AL26" s="189" t="s">
        <v>0</v>
      </c>
      <c r="AM26" s="187"/>
      <c r="AN26" s="190"/>
      <c r="AO26" s="62"/>
      <c r="AP26" s="63"/>
      <c r="AQ26" s="62"/>
      <c r="AR26" s="63"/>
      <c r="AS26" s="20"/>
      <c r="BJ26" s="5"/>
      <c r="BK26" s="5"/>
      <c r="BL26" s="5" t="s">
        <v>0</v>
      </c>
      <c r="BM26" s="5"/>
      <c r="BN26" s="5"/>
      <c r="BO26" s="5" t="s">
        <v>0</v>
      </c>
      <c r="BP26" s="5"/>
      <c r="BQ26" s="5"/>
      <c r="BR26" s="5" t="s">
        <v>0</v>
      </c>
      <c r="BS26" s="5"/>
      <c r="BT26" s="5"/>
      <c r="BU26" s="5" t="s">
        <v>0</v>
      </c>
      <c r="BV26" s="5"/>
      <c r="BW26" s="5"/>
      <c r="BX26" s="5" t="s">
        <v>0</v>
      </c>
      <c r="BY26" s="5"/>
      <c r="BZ26" s="5"/>
      <c r="CA26" s="5" t="s">
        <v>0</v>
      </c>
      <c r="CB26" s="5"/>
      <c r="CC26" s="5"/>
      <c r="CD26" s="5" t="s">
        <v>0</v>
      </c>
      <c r="CE26" s="5"/>
      <c r="CF26" s="5"/>
      <c r="CG26" s="5" t="s">
        <v>0</v>
      </c>
      <c r="CH26" s="5"/>
      <c r="CI26" s="5"/>
      <c r="CJ26" s="5" t="s">
        <v>0</v>
      </c>
      <c r="CK26" s="5"/>
      <c r="CL26" s="5"/>
      <c r="CM26" s="5" t="s">
        <v>0</v>
      </c>
      <c r="CN26" s="5"/>
      <c r="CO26" s="5"/>
      <c r="CP26" s="5" t="s">
        <v>0</v>
      </c>
      <c r="CQ26" s="5"/>
      <c r="CR26" s="5"/>
      <c r="CS26" s="5" t="s">
        <v>0</v>
      </c>
      <c r="CT26" s="5"/>
      <c r="CU26" s="5"/>
    </row>
    <row r="27" spans="2:99" ht="21" customHeight="1" thickBot="1" x14ac:dyDescent="0.25">
      <c r="B27" s="191"/>
      <c r="C27" s="192"/>
      <c r="D27" s="193" t="s">
        <v>70</v>
      </c>
      <c r="E27" s="194" t="s">
        <v>0</v>
      </c>
      <c r="F27" s="195"/>
      <c r="G27" s="196"/>
      <c r="H27" s="197" t="s">
        <v>0</v>
      </c>
      <c r="I27" s="195"/>
      <c r="J27" s="196"/>
      <c r="K27" s="197" t="s">
        <v>0</v>
      </c>
      <c r="L27" s="195"/>
      <c r="M27" s="196"/>
      <c r="N27" s="197" t="s">
        <v>0</v>
      </c>
      <c r="O27" s="195"/>
      <c r="P27" s="196"/>
      <c r="Q27" s="197" t="s">
        <v>0</v>
      </c>
      <c r="R27" s="195"/>
      <c r="S27" s="196"/>
      <c r="T27" s="197" t="s">
        <v>0</v>
      </c>
      <c r="U27" s="195"/>
      <c r="V27" s="196"/>
      <c r="W27" s="197" t="s">
        <v>0</v>
      </c>
      <c r="X27" s="195"/>
      <c r="Y27" s="196"/>
      <c r="Z27" s="197" t="s">
        <v>0</v>
      </c>
      <c r="AA27" s="195"/>
      <c r="AB27" s="196"/>
      <c r="AC27" s="197" t="s">
        <v>0</v>
      </c>
      <c r="AD27" s="195"/>
      <c r="AE27" s="196"/>
      <c r="AF27" s="197" t="s">
        <v>0</v>
      </c>
      <c r="AG27" s="195"/>
      <c r="AH27" s="196"/>
      <c r="AI27" s="197" t="s">
        <v>0</v>
      </c>
      <c r="AJ27" s="195"/>
      <c r="AK27" s="196"/>
      <c r="AL27" s="197" t="s">
        <v>0</v>
      </c>
      <c r="AM27" s="195"/>
      <c r="AN27" s="198"/>
      <c r="AO27" s="62"/>
      <c r="AP27" s="63"/>
      <c r="AQ27" s="62"/>
      <c r="AR27" s="63"/>
      <c r="AS27" s="20"/>
      <c r="BJ27" s="5"/>
      <c r="BK27" s="5"/>
      <c r="BL27" s="5" t="s">
        <v>0</v>
      </c>
      <c r="BM27" s="5"/>
      <c r="BN27" s="5"/>
      <c r="BO27" s="5" t="s">
        <v>0</v>
      </c>
      <c r="BP27" s="5"/>
      <c r="BQ27" s="5"/>
      <c r="BR27" s="5" t="s">
        <v>0</v>
      </c>
      <c r="BS27" s="5"/>
      <c r="BT27" s="5"/>
      <c r="BU27" s="5" t="s">
        <v>0</v>
      </c>
      <c r="BV27" s="5"/>
      <c r="BW27" s="5"/>
      <c r="BX27" s="5" t="s">
        <v>0</v>
      </c>
      <c r="BY27" s="5"/>
      <c r="BZ27" s="5"/>
      <c r="CA27" s="5" t="s">
        <v>0</v>
      </c>
      <c r="CB27" s="5"/>
      <c r="CC27" s="5"/>
      <c r="CD27" s="5" t="s">
        <v>0</v>
      </c>
      <c r="CE27" s="5"/>
      <c r="CF27" s="5"/>
      <c r="CG27" s="5" t="s">
        <v>0</v>
      </c>
      <c r="CH27" s="5"/>
      <c r="CI27" s="5"/>
      <c r="CJ27" s="5" t="s">
        <v>0</v>
      </c>
      <c r="CK27" s="5"/>
      <c r="CL27" s="5"/>
      <c r="CM27" s="5" t="s">
        <v>0</v>
      </c>
      <c r="CN27" s="5"/>
      <c r="CO27" s="5"/>
      <c r="CP27" s="5" t="s">
        <v>0</v>
      </c>
      <c r="CQ27" s="5"/>
      <c r="CR27" s="5"/>
      <c r="CS27" s="5" t="s">
        <v>0</v>
      </c>
      <c r="CT27" s="5"/>
      <c r="CU27" s="5"/>
    </row>
    <row r="28" spans="2:99" ht="13.5" thickTop="1" x14ac:dyDescent="0.2">
      <c r="BJ28" s="5"/>
      <c r="BK28" s="5"/>
      <c r="BL28" s="5" t="s">
        <v>0</v>
      </c>
      <c r="BM28" s="5"/>
      <c r="BN28" s="5"/>
      <c r="BO28" s="5" t="s">
        <v>0</v>
      </c>
      <c r="BP28" s="5"/>
      <c r="BQ28" s="5"/>
      <c r="BR28" s="5" t="s">
        <v>0</v>
      </c>
      <c r="BS28" s="5"/>
      <c r="BT28" s="5"/>
      <c r="BU28" s="5" t="s">
        <v>0</v>
      </c>
      <c r="BV28" s="5"/>
      <c r="BW28" s="5"/>
      <c r="BX28" s="5" t="s">
        <v>0</v>
      </c>
      <c r="BY28" s="5"/>
      <c r="BZ28" s="5"/>
      <c r="CA28" s="5" t="s">
        <v>0</v>
      </c>
      <c r="CB28" s="5"/>
      <c r="CC28" s="5"/>
      <c r="CD28" s="5" t="s">
        <v>0</v>
      </c>
      <c r="CE28" s="5"/>
      <c r="CF28" s="5"/>
      <c r="CG28" s="5" t="s">
        <v>0</v>
      </c>
      <c r="CH28" s="5"/>
      <c r="CI28" s="5"/>
      <c r="CJ28" s="5" t="s">
        <v>0</v>
      </c>
      <c r="CK28" s="5"/>
      <c r="CL28" s="5"/>
      <c r="CM28" s="5" t="s">
        <v>0</v>
      </c>
      <c r="CN28" s="5"/>
      <c r="CO28" s="5"/>
      <c r="CP28" s="5" t="s">
        <v>0</v>
      </c>
      <c r="CQ28" s="5"/>
      <c r="CR28" s="5"/>
      <c r="CS28" s="5" t="s">
        <v>0</v>
      </c>
      <c r="CT28" s="5"/>
      <c r="CU28" s="5"/>
    </row>
    <row r="29" spans="2:99" x14ac:dyDescent="0.2">
      <c r="BJ29" s="5"/>
      <c r="BK29" s="5"/>
      <c r="BL29" s="5" t="s">
        <v>0</v>
      </c>
      <c r="BM29" s="5"/>
      <c r="BN29" s="5"/>
      <c r="BO29" s="5" t="s">
        <v>0</v>
      </c>
      <c r="BP29" s="5"/>
      <c r="BQ29" s="5"/>
      <c r="BR29" s="5" t="s">
        <v>0</v>
      </c>
      <c r="BS29" s="5"/>
      <c r="BT29" s="5"/>
      <c r="BU29" s="5" t="s">
        <v>0</v>
      </c>
      <c r="BV29" s="5"/>
      <c r="BW29" s="5"/>
      <c r="BX29" s="5" t="s">
        <v>0</v>
      </c>
      <c r="BY29" s="5"/>
      <c r="BZ29" s="5"/>
      <c r="CA29" s="5" t="s">
        <v>0</v>
      </c>
      <c r="CB29" s="5"/>
      <c r="CC29" s="5"/>
      <c r="CD29" s="5" t="s">
        <v>0</v>
      </c>
      <c r="CE29" s="5"/>
      <c r="CF29" s="5"/>
      <c r="CG29" s="5" t="s">
        <v>0</v>
      </c>
      <c r="CH29" s="5"/>
      <c r="CI29" s="5"/>
      <c r="CJ29" s="5" t="s">
        <v>0</v>
      </c>
      <c r="CK29" s="5"/>
      <c r="CL29" s="5"/>
      <c r="CM29" s="5" t="s">
        <v>0</v>
      </c>
      <c r="CN29" s="5"/>
      <c r="CO29" s="5"/>
      <c r="CP29" s="5" t="s">
        <v>0</v>
      </c>
      <c r="CQ29" s="5"/>
      <c r="CR29" s="5"/>
      <c r="CS29" s="5" t="s">
        <v>0</v>
      </c>
      <c r="CT29" s="5"/>
      <c r="CU29" s="5"/>
    </row>
    <row r="30" spans="2:99" x14ac:dyDescent="0.2">
      <c r="BJ30" s="5"/>
      <c r="BK30" s="5"/>
      <c r="BL30" s="5" t="s">
        <v>0</v>
      </c>
      <c r="BM30" s="5"/>
      <c r="BN30" s="5"/>
      <c r="BO30" s="5" t="s">
        <v>0</v>
      </c>
      <c r="BP30" s="5"/>
      <c r="BQ30" s="5"/>
      <c r="BR30" s="5" t="s">
        <v>0</v>
      </c>
      <c r="BS30" s="5"/>
      <c r="BT30" s="5"/>
      <c r="BU30" s="5" t="s">
        <v>0</v>
      </c>
      <c r="BV30" s="5"/>
      <c r="BW30" s="5"/>
      <c r="BX30" s="5" t="s">
        <v>0</v>
      </c>
      <c r="BY30" s="5"/>
      <c r="BZ30" s="5"/>
      <c r="CA30" s="5" t="s">
        <v>0</v>
      </c>
      <c r="CB30" s="5"/>
      <c r="CC30" s="5"/>
      <c r="CD30" s="5" t="s">
        <v>0</v>
      </c>
      <c r="CE30" s="5"/>
      <c r="CF30" s="5"/>
      <c r="CG30" s="5" t="s">
        <v>0</v>
      </c>
      <c r="CH30" s="5"/>
      <c r="CI30" s="5"/>
      <c r="CJ30" s="5" t="s">
        <v>0</v>
      </c>
      <c r="CK30" s="5"/>
      <c r="CL30" s="5"/>
      <c r="CM30" s="5" t="s">
        <v>0</v>
      </c>
      <c r="CN30" s="5"/>
      <c r="CO30" s="5"/>
      <c r="CP30" s="5" t="s">
        <v>0</v>
      </c>
      <c r="CQ30" s="5"/>
      <c r="CR30" s="5"/>
      <c r="CS30" s="5" t="s">
        <v>0</v>
      </c>
      <c r="CT30" s="5"/>
      <c r="CU30" s="5"/>
    </row>
    <row r="31" spans="2:99" x14ac:dyDescent="0.2">
      <c r="BJ31" s="5"/>
      <c r="BK31" s="5"/>
      <c r="BL31" s="5" t="s">
        <v>0</v>
      </c>
      <c r="BM31" s="5"/>
      <c r="BN31" s="5"/>
      <c r="BO31" s="5" t="s">
        <v>0</v>
      </c>
      <c r="BP31" s="5"/>
      <c r="BQ31" s="5"/>
      <c r="BR31" s="5" t="s">
        <v>0</v>
      </c>
      <c r="BS31" s="5"/>
      <c r="BT31" s="5"/>
      <c r="BU31" s="5" t="s">
        <v>0</v>
      </c>
      <c r="BV31" s="5"/>
      <c r="BW31" s="5"/>
      <c r="BX31" s="5" t="s">
        <v>0</v>
      </c>
      <c r="BY31" s="5"/>
      <c r="BZ31" s="5"/>
      <c r="CA31" s="5" t="s">
        <v>0</v>
      </c>
      <c r="CB31" s="5"/>
      <c r="CC31" s="5"/>
      <c r="CD31" s="5" t="s">
        <v>0</v>
      </c>
      <c r="CE31" s="5"/>
      <c r="CF31" s="5"/>
      <c r="CG31" s="5" t="s">
        <v>0</v>
      </c>
      <c r="CH31" s="5"/>
      <c r="CI31" s="5"/>
      <c r="CJ31" s="5" t="s">
        <v>0</v>
      </c>
      <c r="CK31" s="5"/>
      <c r="CL31" s="5"/>
      <c r="CM31" s="5" t="s">
        <v>0</v>
      </c>
      <c r="CN31" s="5"/>
      <c r="CO31" s="5"/>
      <c r="CP31" s="5" t="s">
        <v>0</v>
      </c>
      <c r="CQ31" s="5"/>
      <c r="CR31" s="5"/>
      <c r="CS31" s="5" t="s">
        <v>0</v>
      </c>
      <c r="CT31" s="5"/>
      <c r="CU31" s="5"/>
    </row>
    <row r="32" spans="2:99" x14ac:dyDescent="0.2"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62:99" x14ac:dyDescent="0.2"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62:99" x14ac:dyDescent="0.2"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62:99" x14ac:dyDescent="0.2"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62:99" x14ac:dyDescent="0.2"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62:99" x14ac:dyDescent="0.2"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62:99" x14ac:dyDescent="0.2"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62:99" x14ac:dyDescent="0.2"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62:99" x14ac:dyDescent="0.2"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62:99" x14ac:dyDescent="0.2">
      <c r="BJ41" s="5"/>
      <c r="BK41" s="5"/>
      <c r="BL41" s="5">
        <v>10</v>
      </c>
      <c r="BM41" s="5"/>
      <c r="BN41" s="5"/>
      <c r="BO41" s="5">
        <v>10</v>
      </c>
      <c r="BP41" s="5"/>
      <c r="BQ41" s="5"/>
      <c r="BR41" s="5">
        <v>9</v>
      </c>
      <c r="BS41" s="5"/>
      <c r="BT41" s="5"/>
      <c r="BU41" s="5">
        <v>9</v>
      </c>
      <c r="BV41" s="5"/>
      <c r="BW41" s="5"/>
      <c r="BX41" s="5">
        <v>11</v>
      </c>
      <c r="BY41" s="5"/>
      <c r="BZ41" s="5"/>
      <c r="CA41" s="5">
        <v>8</v>
      </c>
      <c r="CB41" s="5"/>
      <c r="CC41" s="5"/>
      <c r="CD41" s="5">
        <v>12</v>
      </c>
      <c r="CE41" s="5"/>
      <c r="CF41" s="5"/>
      <c r="CG41" s="5">
        <v>9</v>
      </c>
      <c r="CH41" s="5"/>
      <c r="CI41" s="5"/>
      <c r="CJ41" s="5">
        <v>11</v>
      </c>
      <c r="CK41" s="5"/>
      <c r="CL41" s="5"/>
      <c r="CM41" s="5">
        <v>10</v>
      </c>
      <c r="CN41" s="5"/>
      <c r="CO41" s="5"/>
      <c r="CP41" s="5">
        <v>8</v>
      </c>
      <c r="CQ41" s="5"/>
      <c r="CR41" s="5"/>
      <c r="CS41" s="5">
        <v>11</v>
      </c>
      <c r="CT41" s="5"/>
      <c r="CU41" s="5"/>
    </row>
    <row r="42" spans="62:99" x14ac:dyDescent="0.2">
      <c r="BJ42" s="66"/>
      <c r="BK42" s="66">
        <v>6</v>
      </c>
      <c r="BL42" s="66"/>
      <c r="BM42" s="66"/>
      <c r="BN42" s="66">
        <v>9</v>
      </c>
      <c r="BO42" s="66"/>
      <c r="BP42" s="66"/>
      <c r="BQ42" s="66">
        <v>6</v>
      </c>
      <c r="BR42" s="66"/>
      <c r="BS42" s="66"/>
      <c r="BT42" s="66">
        <v>12</v>
      </c>
      <c r="BU42" s="66"/>
      <c r="BV42" s="66"/>
      <c r="BW42" s="66">
        <v>3</v>
      </c>
      <c r="BX42" s="66"/>
      <c r="BY42" s="66"/>
      <c r="BZ42" s="66">
        <v>11</v>
      </c>
      <c r="CA42" s="66"/>
      <c r="CB42" s="66"/>
      <c r="CC42" s="66">
        <v>2</v>
      </c>
      <c r="CD42" s="66"/>
      <c r="CE42" s="66"/>
      <c r="CF42" s="66">
        <v>10</v>
      </c>
      <c r="CG42" s="66"/>
      <c r="CH42" s="66"/>
      <c r="CI42" s="66">
        <v>4</v>
      </c>
      <c r="CJ42" s="66"/>
      <c r="CK42" s="66"/>
      <c r="CL42" s="66">
        <v>5</v>
      </c>
      <c r="CM42" s="66"/>
      <c r="CN42" s="66"/>
      <c r="CO42" s="66">
        <v>8</v>
      </c>
      <c r="CP42" s="66"/>
      <c r="CQ42" s="66"/>
      <c r="CR42" s="66">
        <v>1</v>
      </c>
      <c r="CS42" s="66"/>
      <c r="CT42" s="66"/>
      <c r="CU42" s="66"/>
    </row>
    <row r="67" spans="41:45" x14ac:dyDescent="0.2">
      <c r="AO67" s="67"/>
      <c r="AP67" s="68"/>
      <c r="AQ67" s="67"/>
      <c r="AR67" s="68"/>
      <c r="AS67" s="66"/>
    </row>
  </sheetData>
  <sheetProtection sheet="1" objects="1" scenarios="1"/>
  <mergeCells count="13">
    <mergeCell ref="AT4:BI4"/>
    <mergeCell ref="AT5:AT7"/>
    <mergeCell ref="BC6:BC7"/>
    <mergeCell ref="BD6:BE7"/>
    <mergeCell ref="BF6:BG7"/>
    <mergeCell ref="BH6:BI7"/>
    <mergeCell ref="AU5:AU7"/>
    <mergeCell ref="AV5:BB5"/>
    <mergeCell ref="BC5:BI5"/>
    <mergeCell ref="AV6:AV7"/>
    <mergeCell ref="AW6:AX7"/>
    <mergeCell ref="AY6:AZ7"/>
    <mergeCell ref="BA6:BB7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AX8:AX19 AZ8:AZ19 BB8:BC19 BE8:BE19 BG8:BG19 BI8:BI19 AU8:AV19">
    <cfRule type="expression" dxfId="2" priority="1" stopIfTrue="1">
      <formula>MOD(AU8,1)&gt;0</formula>
    </cfRule>
  </conditionalFormatting>
  <conditionalFormatting sqref="F4:F20 I4:I20 L4:L20 O4:O20 R4:R20 U4:U20 X4:X20 AA4:AA20 AD4:AD20 AG4:AG20 AJ4:AJ20 AM4:AM20">
    <cfRule type="expression" dxfId="1" priority="15" stopIfTrue="1">
      <formula>F4=$AS4</formula>
    </cfRule>
    <cfRule type="expression" dxfId="0" priority="16" stopIfTrue="1">
      <formula>AND(F4=MAX($BL24:$CS24),F4&gt;0)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2016-09-15T05:15:37Z</dcterms:modified>
</cp:coreProperties>
</file>