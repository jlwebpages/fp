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E90237B6-9D07-47CA-B0C5-9E0E22A6A7D1}" xr6:coauthVersionLast="45" xr6:coauthVersionMax="45" xr10:uidLastSave="{00000000-0000-0000-0000-000000000000}"/>
  <bookViews>
    <workbookView xWindow="-120" yWindow="-120" windowWidth="20730" windowHeight="11310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5" i="16" l="1"/>
  <c r="AT44" i="16"/>
  <c r="AT43" i="16"/>
  <c r="AT36" i="16"/>
  <c r="AT42" i="16"/>
  <c r="AT34" i="16"/>
  <c r="AT33" i="16"/>
  <c r="AT39" i="16"/>
  <c r="AT41" i="16"/>
  <c r="AT40" i="16"/>
  <c r="AT38" i="16"/>
  <c r="AT37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AT5" i="36" s="1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AT5" i="32" s="1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G47" i="31"/>
  <c r="AJ2" i="31"/>
  <c r="AG2" i="31"/>
  <c r="BF13" i="31" s="1"/>
  <c r="AD2" i="31"/>
  <c r="AA2" i="31"/>
  <c r="BJ10" i="31" s="1"/>
  <c r="X2" i="31"/>
  <c r="U2" i="31"/>
  <c r="BO4" i="31" s="1"/>
  <c r="R2" i="31"/>
  <c r="BO10" i="31" s="1"/>
  <c r="O2" i="31"/>
  <c r="L2" i="31"/>
  <c r="BF6" i="31" s="1"/>
  <c r="I2" i="31"/>
  <c r="BF5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Z25" i="31"/>
  <c r="Z38" i="31" s="1"/>
  <c r="AR2" i="30"/>
  <c r="AI25" i="30"/>
  <c r="AI38" i="30" s="1"/>
  <c r="K25" i="30"/>
  <c r="K38" i="30" s="1"/>
  <c r="AR2" i="29"/>
  <c r="AR2" i="28"/>
  <c r="AR2" i="27"/>
  <c r="AR2" i="26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K25" i="31" s="1"/>
  <c r="K38" i="31" s="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Q4" i="31"/>
  <c r="Q25" i="31" s="1"/>
  <c r="Q38" i="31" s="1"/>
  <c r="N4" i="31"/>
  <c r="N25" i="31" s="1"/>
  <c r="N38" i="31" s="1"/>
  <c r="K4" i="31"/>
  <c r="H4" i="31"/>
  <c r="U1" i="31"/>
  <c r="AI21" i="30"/>
  <c r="BG15" i="30" s="1"/>
  <c r="K21" i="30"/>
  <c r="BG14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I34" i="30"/>
  <c r="BG8" i="34"/>
  <c r="T34" i="34"/>
  <c r="BF7" i="30"/>
  <c r="AC34" i="36"/>
  <c r="Z34" i="32"/>
  <c r="AL34" i="34"/>
  <c r="BJ10" i="26"/>
  <c r="BO6" i="26"/>
  <c r="BG8" i="33"/>
  <c r="T34" i="33"/>
  <c r="BO4" i="33"/>
  <c r="BG14" i="36"/>
  <c r="N34" i="32"/>
  <c r="Q34" i="32"/>
  <c r="BG5" i="35"/>
  <c r="BF5" i="23"/>
  <c r="BG5" i="36"/>
  <c r="BG9" i="36"/>
  <c r="Q34" i="33"/>
  <c r="P56" i="33"/>
  <c r="P55" i="33" s="1"/>
  <c r="P52" i="33" s="1"/>
  <c r="BG15" i="33"/>
  <c r="AO34" i="33"/>
  <c r="BO4" i="21"/>
  <c r="BJ11" i="28"/>
  <c r="BF4" i="35"/>
  <c r="H34" i="34"/>
  <c r="BG4" i="34"/>
  <c r="H34" i="36"/>
  <c r="BG4" i="36"/>
  <c r="K34" i="34"/>
  <c r="AT9" i="35"/>
  <c r="AT9" i="34"/>
  <c r="AT17" i="35"/>
  <c r="AT9" i="36"/>
  <c r="H25" i="31" l="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H38" i="30" s="1"/>
  <c r="AL25" i="30"/>
  <c r="AL38" i="30" s="1"/>
  <c r="AT12" i="30"/>
  <c r="AT16" i="30"/>
  <c r="AT11" i="30"/>
  <c r="AT6" i="30"/>
  <c r="AT14" i="30"/>
  <c r="AH56" i="30"/>
  <c r="AH53" i="30" s="1"/>
  <c r="H25" i="29"/>
  <c r="H38" i="29" s="1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AG12" i="16"/>
  <c r="CM32" i="16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AG10" i="16"/>
  <c r="CM30" i="1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BJ4" i="36"/>
  <c r="BF4" i="34"/>
  <c r="N34" i="34"/>
  <c r="AC34" i="35"/>
  <c r="BJ4" i="20"/>
  <c r="BO8" i="30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AV35" i="16"/>
  <c r="AV43" i="16"/>
  <c r="AV42" i="16"/>
  <c r="AV33" i="16"/>
  <c r="AV41" i="16"/>
  <c r="AV38" i="16"/>
  <c r="AV44" i="16"/>
  <c r="AV36" i="16"/>
  <c r="AV34" i="16"/>
  <c r="AV39" i="16"/>
  <c r="AV40" i="16"/>
  <c r="AV37" i="16"/>
  <c r="AA5" i="16"/>
  <c r="CG25" i="16" s="1"/>
  <c r="AY7" i="36"/>
  <c r="AY14" i="1"/>
  <c r="AY10" i="1"/>
  <c r="AY18" i="36"/>
  <c r="BO9" i="26"/>
  <c r="BJ7" i="29"/>
  <c r="BO6" i="32"/>
  <c r="BF11" i="26"/>
  <c r="BF15" i="33"/>
  <c r="BJ14" i="26"/>
  <c r="BO8" i="34"/>
  <c r="BO13" i="31"/>
  <c r="BJ15" i="25"/>
  <c r="BJ14" i="32"/>
  <c r="BF11" i="30"/>
  <c r="BO10" i="30"/>
  <c r="BF11" i="20"/>
  <c r="BO10" i="23"/>
  <c r="BJ7" i="28"/>
  <c r="BO9" i="33"/>
  <c r="BF5" i="33"/>
  <c r="BO9" i="29"/>
  <c r="BF15" i="25"/>
  <c r="BO15" i="24"/>
  <c r="BJ15" i="33"/>
  <c r="BJ5" i="30"/>
  <c r="BF13" i="20"/>
  <c r="BJ5" i="33"/>
  <c r="BO12" i="34"/>
  <c r="BO15" i="28"/>
  <c r="BF14" i="36"/>
  <c r="BO14" i="29"/>
  <c r="BO10" i="32"/>
  <c r="BF10" i="28"/>
  <c r="BO11" i="27"/>
  <c r="BO10" i="25"/>
  <c r="BO5" i="20"/>
  <c r="BF11" i="31"/>
  <c r="BJ14" i="36"/>
  <c r="BF14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4" i="30"/>
  <c r="BJ10" i="32"/>
  <c r="BO13" i="23"/>
  <c r="BJ6" i="32"/>
  <c r="BO10" i="24"/>
  <c r="BJ15" i="29"/>
  <c r="BO15" i="21"/>
  <c r="BF8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7" i="30"/>
  <c r="BO4" i="34"/>
  <c r="AL20" i="16"/>
  <c r="CT20" i="16" s="1"/>
  <c r="BF4" i="29"/>
  <c r="BO9" i="25"/>
  <c r="BO10" i="27"/>
  <c r="BO12" i="29"/>
  <c r="BJ8" i="26"/>
  <c r="BJ6" i="28"/>
  <c r="BJ4" i="29"/>
  <c r="C18" i="16"/>
  <c r="F31" i="34" s="1"/>
  <c r="BO14" i="35"/>
  <c r="BO14" i="28"/>
  <c r="BJ11" i="26"/>
  <c r="BJ14" i="29"/>
  <c r="BF13" i="36"/>
  <c r="BJ9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H5" i="16"/>
  <c r="BP5" i="16" s="1"/>
  <c r="R16" i="16"/>
  <c r="BX36" i="16" s="1"/>
  <c r="BJ12" i="20"/>
  <c r="BJ9" i="1"/>
  <c r="AK56" i="32"/>
  <c r="AK53" i="32" s="1"/>
  <c r="AE56" i="33"/>
  <c r="AE54" i="33" s="1"/>
  <c r="AT7" i="21"/>
  <c r="BO14" i="31"/>
  <c r="AY15" i="1"/>
  <c r="AY11" i="35"/>
  <c r="AT19" i="36"/>
  <c r="AY15" i="36"/>
  <c r="AY19" i="36"/>
  <c r="AY11" i="36"/>
  <c r="BF6" i="30"/>
  <c r="BO13" i="29"/>
  <c r="BJ4" i="23"/>
  <c r="BO11" i="33"/>
  <c r="AB25" i="32"/>
  <c r="AB41" i="32" s="1"/>
  <c r="AY11" i="1"/>
  <c r="AT11" i="24"/>
  <c r="AT19" i="25"/>
  <c r="AY11" i="32"/>
  <c r="BF15" i="35"/>
  <c r="BF15" i="23"/>
  <c r="BJ8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J56" i="30"/>
  <c r="J55" i="30" s="1"/>
  <c r="J52" i="30" s="1"/>
  <c r="AT11" i="31"/>
  <c r="AT19" i="24"/>
  <c r="AT15" i="25"/>
  <c r="BF10" i="34"/>
  <c r="BO6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1" i="31"/>
  <c r="BO11" i="30"/>
  <c r="BF6" i="29"/>
  <c r="BO12" i="23"/>
  <c r="BF5" i="35"/>
  <c r="BJ9" i="29"/>
  <c r="N16" i="16"/>
  <c r="BV16" i="16" s="1"/>
  <c r="BJ1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BJ4" i="32"/>
  <c r="BO5" i="24"/>
  <c r="BF6" i="27"/>
  <c r="BO4" i="20"/>
  <c r="BJ9" i="31"/>
  <c r="BO5" i="25"/>
  <c r="BF5" i="1"/>
  <c r="BO7" i="28"/>
  <c r="BJ11" i="27"/>
  <c r="BJ8" i="25"/>
  <c r="BJ10" i="24"/>
  <c r="BO12" i="27"/>
  <c r="AK15" i="16"/>
  <c r="BF12" i="26"/>
  <c r="BF14" i="20"/>
  <c r="AC15" i="16"/>
  <c r="CK15" i="16" s="1"/>
  <c r="BO8" i="23"/>
  <c r="BJ12" i="26"/>
  <c r="BJ13" i="23"/>
  <c r="AT8" i="29"/>
  <c r="BF10" i="25"/>
  <c r="BO11" i="23"/>
  <c r="BO8" i="35"/>
  <c r="AY7" i="26"/>
  <c r="AE15" i="16"/>
  <c r="E15" i="16"/>
  <c r="BM15" i="16" s="1"/>
  <c r="M25" i="31"/>
  <c r="M41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12" i="28"/>
  <c r="BF14" i="28"/>
  <c r="BF12" i="31"/>
  <c r="BO7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14" i="31"/>
  <c r="BJ12" i="36"/>
  <c r="BO7" i="33"/>
  <c r="BO5" i="34"/>
  <c r="AA14" i="16"/>
  <c r="CG34" i="16" s="1"/>
  <c r="BF15" i="21"/>
  <c r="BF9" i="21"/>
  <c r="R5" i="16"/>
  <c r="BX25" i="16" s="1"/>
  <c r="BO9" i="31"/>
  <c r="BJ11" i="21"/>
  <c r="BF6" i="34"/>
  <c r="AT15" i="20"/>
  <c r="AT7" i="23"/>
  <c r="AT19" i="23"/>
  <c r="AY7" i="23"/>
  <c r="AY11" i="23"/>
  <c r="AY15" i="23"/>
  <c r="AY19" i="23"/>
  <c r="AY15" i="34"/>
  <c r="I13" i="16"/>
  <c r="BO33" i="16" s="1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3" i="30"/>
  <c r="BJ8" i="28"/>
  <c r="BF15" i="28"/>
  <c r="BF4" i="23"/>
  <c r="BO6" i="23"/>
  <c r="AT8" i="33"/>
  <c r="BO14" i="34"/>
  <c r="BF9" i="31"/>
  <c r="BO12" i="36"/>
  <c r="BF10" i="29"/>
  <c r="BF7" i="33"/>
  <c r="BJ9" i="28"/>
  <c r="BO9" i="1"/>
  <c r="BF7" i="27"/>
  <c r="BO15" i="30"/>
  <c r="V15" i="16"/>
  <c r="BF5" i="25"/>
  <c r="BF11" i="25"/>
  <c r="BO11" i="20"/>
  <c r="BO6" i="34"/>
  <c r="BF10" i="35"/>
  <c r="BO7" i="21"/>
  <c r="BF13" i="24"/>
  <c r="BO14" i="20"/>
  <c r="BF8" i="27"/>
  <c r="BJ4" i="24"/>
  <c r="AH25" i="31"/>
  <c r="AH41" i="31" s="1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A11" i="16"/>
  <c r="CG31" i="16" s="1"/>
  <c r="AJ11" i="16"/>
  <c r="CP31" i="16" s="1"/>
  <c r="AY12" i="30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7" i="29"/>
  <c r="BJ11" i="29"/>
  <c r="BJ4" i="1"/>
  <c r="BJ8" i="1"/>
  <c r="BO8" i="31"/>
  <c r="BO4" i="1"/>
  <c r="AB25" i="33"/>
  <c r="AB41" i="33" s="1"/>
  <c r="V17" i="16"/>
  <c r="BO15" i="34"/>
  <c r="BF10" i="33"/>
  <c r="BJ12" i="31"/>
  <c r="BO14" i="24"/>
  <c r="AY16" i="28"/>
  <c r="AT12" i="31"/>
  <c r="BO11" i="32"/>
  <c r="BO7" i="26"/>
  <c r="BO15" i="25"/>
  <c r="BJ5" i="34"/>
  <c r="BO9" i="27"/>
  <c r="BF13" i="27"/>
  <c r="BJ5" i="21"/>
  <c r="BJ15" i="21"/>
  <c r="AH14" i="16"/>
  <c r="BF7" i="32"/>
  <c r="BO9" i="21"/>
  <c r="AM5" i="16"/>
  <c r="CS25" i="16" s="1"/>
  <c r="J5" i="16"/>
  <c r="I5" i="16"/>
  <c r="BO25" i="16" s="1"/>
  <c r="BO13" i="28"/>
  <c r="BF4" i="26"/>
  <c r="BJ7" i="25"/>
  <c r="BO14" i="26"/>
  <c r="BO7" i="20"/>
  <c r="BO9" i="34"/>
  <c r="BJ5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BF11" i="32"/>
  <c r="BO11" i="28"/>
  <c r="BJ15" i="26"/>
  <c r="BJ5" i="27"/>
  <c r="BF6" i="21"/>
  <c r="BF12" i="21"/>
  <c r="U5" i="16"/>
  <c r="CA25" i="16" s="1"/>
  <c r="X5" i="16"/>
  <c r="CD25" i="16" s="1"/>
  <c r="AG5" i="16"/>
  <c r="CM25" i="16" s="1"/>
  <c r="BF14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BF8" i="1"/>
  <c r="BO11" i="1"/>
  <c r="BJ9" i="26"/>
  <c r="BF14" i="33"/>
  <c r="BF8" i="35"/>
  <c r="BF11" i="24"/>
  <c r="V19" i="16"/>
  <c r="F11" i="16"/>
  <c r="BL3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AY17" i="31"/>
  <c r="BY10" i="33"/>
  <c r="CV378" i="16" s="1"/>
  <c r="L11" i="16"/>
  <c r="BR31" i="16" s="1"/>
  <c r="AG11" i="16"/>
  <c r="CM31" i="16" s="1"/>
  <c r="BY5" i="31"/>
  <c r="CV317" i="16" s="1"/>
  <c r="X11" i="16"/>
  <c r="CD31" i="16" s="1"/>
  <c r="AM11" i="16"/>
  <c r="CS31" i="16" s="1"/>
  <c r="R11" i="16"/>
  <c r="BX31" i="16" s="1"/>
  <c r="U11" i="16"/>
  <c r="CA31" i="16" s="1"/>
  <c r="I11" i="16"/>
  <c r="BO31" i="16" s="1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11" i="31"/>
  <c r="BJ4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BO8" i="1"/>
  <c r="BJ7" i="1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0" i="31"/>
  <c r="BO5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T4" i="24"/>
  <c r="AY12" i="23"/>
  <c r="C7" i="16"/>
  <c r="G17" i="16"/>
  <c r="J25" i="33"/>
  <c r="J41" i="33" s="1"/>
  <c r="AE25" i="33"/>
  <c r="AE41" i="33" s="1"/>
  <c r="J17" i="16"/>
  <c r="AT9" i="31"/>
  <c r="C12" i="16"/>
  <c r="AB17" i="16"/>
  <c r="AH25" i="33"/>
  <c r="AH41" i="33" s="1"/>
  <c r="AM17" i="16"/>
  <c r="CS37" i="16" s="1"/>
  <c r="AE20" i="16"/>
  <c r="AT16" i="26"/>
  <c r="AB18" i="16"/>
  <c r="AI17" i="16"/>
  <c r="CQ17" i="16" s="1"/>
  <c r="BF5" i="29"/>
  <c r="AK20" i="16"/>
  <c r="AY6" i="34"/>
  <c r="AY14" i="34"/>
  <c r="L12" i="16"/>
  <c r="BR32" i="16" s="1"/>
  <c r="U12" i="16"/>
  <c r="CA32" i="16" s="1"/>
  <c r="I12" i="16"/>
  <c r="BO32" i="16" s="1"/>
  <c r="X12" i="16"/>
  <c r="CD32" i="16" s="1"/>
  <c r="AD12" i="16"/>
  <c r="CJ32" i="16" s="1"/>
  <c r="AJ12" i="16"/>
  <c r="CP32" i="16" s="1"/>
  <c r="AM12" i="16"/>
  <c r="CS32" i="16" s="1"/>
  <c r="AA12" i="16"/>
  <c r="CG32" i="16" s="1"/>
  <c r="R12" i="16"/>
  <c r="BX3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C58" i="27"/>
  <c r="AY12" i="27"/>
  <c r="AT12" i="27"/>
  <c r="AT17" i="27"/>
  <c r="AU17" i="27"/>
  <c r="AV17" i="27" s="1"/>
  <c r="C58" i="29"/>
  <c r="C13" i="16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2" i="27"/>
  <c r="AT8" i="27"/>
  <c r="Q17" i="16"/>
  <c r="BY17" i="16" s="1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I10" i="16"/>
  <c r="BO30" i="16" s="1"/>
  <c r="AD10" i="16"/>
  <c r="CJ30" i="16" s="1"/>
  <c r="X10" i="16"/>
  <c r="CD30" i="16" s="1"/>
  <c r="L10" i="16"/>
  <c r="BR30" i="16" s="1"/>
  <c r="AJ10" i="16"/>
  <c r="CP30" i="16" s="1"/>
  <c r="U10" i="16"/>
  <c r="CA30" i="1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4" i="27"/>
  <c r="AT16" i="21"/>
  <c r="AY8" i="27"/>
  <c r="BF15" i="32"/>
  <c r="BO14" i="25"/>
  <c r="P18" i="16"/>
  <c r="O10" i="16"/>
  <c r="BU30" i="16" s="1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F15" i="16"/>
  <c r="BL35" i="16" s="1"/>
  <c r="V25" i="31"/>
  <c r="V41" i="31" s="1"/>
  <c r="J15" i="16"/>
  <c r="J25" i="31"/>
  <c r="J41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BY7" i="30"/>
  <c r="CV291" i="16" s="1"/>
  <c r="U14" i="16"/>
  <c r="CA34" i="16" s="1"/>
  <c r="AF14" i="16"/>
  <c r="CN14" i="16" s="1"/>
  <c r="BY16" i="30"/>
  <c r="CV300" i="16" s="1"/>
  <c r="AG14" i="16"/>
  <c r="CM34" i="16" s="1"/>
  <c r="AD13" i="16"/>
  <c r="CJ33" i="16" s="1"/>
  <c r="O13" i="16"/>
  <c r="BU33" i="16" s="1"/>
  <c r="X13" i="16"/>
  <c r="CD33" i="16" s="1"/>
  <c r="L13" i="16"/>
  <c r="BR33" i="16" s="1"/>
  <c r="U13" i="16"/>
  <c r="CA33" i="16" s="1"/>
  <c r="AM13" i="16"/>
  <c r="CS33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5" i="36"/>
  <c r="J52" i="36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H14" i="16"/>
  <c r="BP14" i="16" s="1"/>
  <c r="I14" i="16"/>
  <c r="J14" i="16"/>
  <c r="AD14" i="16"/>
  <c r="CJ34" i="16" s="1"/>
  <c r="X14" i="16"/>
  <c r="O14" i="16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R14" i="16" l="1"/>
  <c r="BX34" i="16" s="1"/>
  <c r="L14" i="16"/>
  <c r="BR34" i="16" s="1"/>
  <c r="F14" i="16"/>
  <c r="BL34" i="16" s="1"/>
  <c r="AJ14" i="16"/>
  <c r="CP34" i="16" s="1"/>
  <c r="F31" i="30"/>
  <c r="AF21" i="30" s="1"/>
  <c r="AE14" i="16" s="1"/>
  <c r="D14" i="16"/>
  <c r="AN25" i="30" s="1"/>
  <c r="AN41" i="30" s="1"/>
  <c r="AM14" i="16"/>
  <c r="CS34" i="16" s="1"/>
  <c r="F12" i="16"/>
  <c r="BL32" i="16" s="1"/>
  <c r="F13" i="16"/>
  <c r="BL33" i="16" s="1"/>
  <c r="AH55" i="30"/>
  <c r="AH52" i="30" s="1"/>
  <c r="J53" i="30"/>
  <c r="AH54" i="30"/>
  <c r="AA13" i="16"/>
  <c r="CG33" i="16" s="1"/>
  <c r="R13" i="16"/>
  <c r="BX33" i="16" s="1"/>
  <c r="AJ13" i="16"/>
  <c r="CP33" i="16" s="1"/>
  <c r="AS13" i="16"/>
  <c r="D13" i="16"/>
  <c r="AH25" i="29" s="1"/>
  <c r="AH41" i="29" s="1"/>
  <c r="AG13" i="16"/>
  <c r="CM33" i="16" s="1"/>
  <c r="O12" i="16"/>
  <c r="BU32" i="16" s="1"/>
  <c r="AS12" i="16"/>
  <c r="D12" i="16"/>
  <c r="AD11" i="16"/>
  <c r="CJ31" i="16" s="1"/>
  <c r="AS11" i="16"/>
  <c r="D11" i="16"/>
  <c r="O11" i="16"/>
  <c r="BU31" i="16" s="1"/>
  <c r="F9" i="16"/>
  <c r="BL29" i="16" s="1"/>
  <c r="AA10" i="16"/>
  <c r="CG30" i="16" s="1"/>
  <c r="AM10" i="16"/>
  <c r="CS30" i="16" s="1"/>
  <c r="R10" i="16"/>
  <c r="BX30" i="16" s="1"/>
  <c r="AS10" i="16"/>
  <c r="D10" i="16"/>
  <c r="G25" i="26" s="1"/>
  <c r="G41" i="26" s="1"/>
  <c r="F10" i="16"/>
  <c r="BL30" i="16" s="1"/>
  <c r="AJ9" i="16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G54" i="35"/>
  <c r="P53" i="36"/>
  <c r="AB53" i="33"/>
  <c r="AB54" i="33"/>
  <c r="AN55" i="34"/>
  <c r="AN52" i="34" s="1"/>
  <c r="AB52" i="33"/>
  <c r="S54" i="36"/>
  <c r="AK55" i="33"/>
  <c r="AK52" i="33" s="1"/>
  <c r="AE53" i="33"/>
  <c r="AK53" i="33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J54" i="30"/>
  <c r="AZ18" i="30"/>
  <c r="BA18" i="30" s="1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CL17" i="16"/>
  <c r="AZ4" i="20"/>
  <c r="BA4" i="20" s="1"/>
  <c r="CO20" i="16"/>
  <c r="BT20" i="16"/>
  <c r="BC18" i="20"/>
  <c r="AZ18" i="20" s="1"/>
  <c r="BA18" i="20" s="1"/>
  <c r="BZ15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CR15" i="16"/>
  <c r="CL15" i="16"/>
  <c r="BK15" i="16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C16" i="27"/>
  <c r="AZ16" i="27" s="1"/>
  <c r="BA16" i="27" s="1"/>
  <c r="BC18" i="24"/>
  <c r="BC9" i="20"/>
  <c r="AZ9" i="20" s="1"/>
  <c r="BA9" i="20" s="1"/>
  <c r="AK21" i="36"/>
  <c r="BE14" i="36" s="1"/>
  <c r="AB21" i="33"/>
  <c r="BE11" i="33" s="1"/>
  <c r="AK21" i="35"/>
  <c r="BE14" i="35" s="1"/>
  <c r="J21" i="35"/>
  <c r="BE5" i="35" s="1"/>
  <c r="S21" i="36"/>
  <c r="BE8" i="36" s="1"/>
  <c r="BC10" i="26"/>
  <c r="AZ10" i="26" s="1"/>
  <c r="BA10" i="26" s="1"/>
  <c r="V21" i="33"/>
  <c r="BE9" i="33" s="1"/>
  <c r="BC9" i="27"/>
  <c r="AZ9" i="27" s="1"/>
  <c r="BA9" i="27" s="1"/>
  <c r="AK21" i="34"/>
  <c r="BE14" i="34" s="1"/>
  <c r="G21" i="36"/>
  <c r="BE4" i="36" s="1"/>
  <c r="AN21" i="35"/>
  <c r="BE15" i="35" s="1"/>
  <c r="Y21" i="35"/>
  <c r="BE10" i="35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CD34" i="16"/>
  <c r="BC16" i="30"/>
  <c r="AZ16" i="30" s="1"/>
  <c r="BA16" i="30" s="1"/>
  <c r="BO34" i="16"/>
  <c r="BC11" i="30"/>
  <c r="AZ11" i="30" s="1"/>
  <c r="BA11" i="30" s="1"/>
  <c r="BC17" i="30"/>
  <c r="BU34" i="16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W21" i="31" l="1"/>
  <c r="V56" i="31" s="1"/>
  <c r="H21" i="31"/>
  <c r="T21" i="31"/>
  <c r="BG8" i="31" s="1"/>
  <c r="AO21" i="31"/>
  <c r="Q21" i="31"/>
  <c r="BG7" i="31" s="1"/>
  <c r="AI21" i="31"/>
  <c r="AF21" i="31"/>
  <c r="BG12" i="31" s="1"/>
  <c r="N21" i="31"/>
  <c r="AC21" i="31"/>
  <c r="AC34" i="31" s="1"/>
  <c r="Z21" i="31"/>
  <c r="K21" i="31"/>
  <c r="BG5" i="31" s="1"/>
  <c r="AL21" i="31"/>
  <c r="AC21" i="30"/>
  <c r="AB56" i="30" s="1"/>
  <c r="AB53" i="30" s="1"/>
  <c r="H21" i="30"/>
  <c r="G14" i="16" s="1"/>
  <c r="Q21" i="30"/>
  <c r="P14" i="16" s="1"/>
  <c r="W21" i="30"/>
  <c r="V14" i="16" s="1"/>
  <c r="AL21" i="30"/>
  <c r="AK14" i="16" s="1"/>
  <c r="Z21" i="30"/>
  <c r="Y14" i="16" s="1"/>
  <c r="T21" i="30"/>
  <c r="S14" i="16" s="1"/>
  <c r="N21" i="30"/>
  <c r="M14" i="16" s="1"/>
  <c r="AO21" i="30"/>
  <c r="AN14" i="16" s="1"/>
  <c r="S25" i="30"/>
  <c r="S41" i="30" s="1"/>
  <c r="P25" i="30"/>
  <c r="P41" i="30" s="1"/>
  <c r="AH25" i="30"/>
  <c r="AH41" i="30" s="1"/>
  <c r="AB25" i="30"/>
  <c r="AB41" i="30" s="1"/>
  <c r="AE25" i="30"/>
  <c r="AE41" i="30" s="1"/>
  <c r="Y25" i="30"/>
  <c r="Y41" i="30" s="1"/>
  <c r="M25" i="30"/>
  <c r="M41" i="30" s="1"/>
  <c r="AK25" i="30"/>
  <c r="AK41" i="30" s="1"/>
  <c r="V25" i="30"/>
  <c r="V41" i="30" s="1"/>
  <c r="G25" i="30"/>
  <c r="G41" i="30" s="1"/>
  <c r="J25" i="30"/>
  <c r="J41" i="30" s="1"/>
  <c r="AF34" i="30"/>
  <c r="AE56" i="30"/>
  <c r="BG11" i="30"/>
  <c r="M25" i="29"/>
  <c r="M41" i="29" s="1"/>
  <c r="P25" i="29"/>
  <c r="P41" i="29" s="1"/>
  <c r="AN25" i="29"/>
  <c r="AN41" i="29" s="1"/>
  <c r="G25" i="29"/>
  <c r="G41" i="29" s="1"/>
  <c r="S25" i="29"/>
  <c r="S41" i="29" s="1"/>
  <c r="V25" i="29"/>
  <c r="V41" i="29" s="1"/>
  <c r="AE25" i="29"/>
  <c r="AE41" i="29" s="1"/>
  <c r="Y25" i="29"/>
  <c r="Y41" i="29" s="1"/>
  <c r="AB25" i="29"/>
  <c r="AB41" i="29" s="1"/>
  <c r="J25" i="29"/>
  <c r="J41" i="29" s="1"/>
  <c r="AK25" i="29"/>
  <c r="AK41" i="29" s="1"/>
  <c r="AO21" i="29"/>
  <c r="K21" i="29"/>
  <c r="J13" i="16" s="1"/>
  <c r="AF21" i="29"/>
  <c r="W21" i="29"/>
  <c r="V13" i="16" s="1"/>
  <c r="N21" i="29"/>
  <c r="AC21" i="29"/>
  <c r="AB13" i="16" s="1"/>
  <c r="T21" i="29"/>
  <c r="H21" i="29"/>
  <c r="G13" i="16" s="1"/>
  <c r="Z21" i="29"/>
  <c r="Q21" i="29"/>
  <c r="P13" i="16" s="1"/>
  <c r="AI21" i="29"/>
  <c r="AL21" i="29"/>
  <c r="AK13" i="16" s="1"/>
  <c r="AN25" i="28"/>
  <c r="AN41" i="28" s="1"/>
  <c r="J25" i="28"/>
  <c r="J41" i="28" s="1"/>
  <c r="AH25" i="28"/>
  <c r="AH41" i="28" s="1"/>
  <c r="P25" i="28"/>
  <c r="P41" i="28" s="1"/>
  <c r="M25" i="28"/>
  <c r="M41" i="28" s="1"/>
  <c r="S25" i="28"/>
  <c r="S41" i="28" s="1"/>
  <c r="AK25" i="28"/>
  <c r="AK41" i="28" s="1"/>
  <c r="AE25" i="28"/>
  <c r="AE41" i="28" s="1"/>
  <c r="AB25" i="28"/>
  <c r="AB41" i="28" s="1"/>
  <c r="V25" i="28"/>
  <c r="V41" i="28" s="1"/>
  <c r="G25" i="28"/>
  <c r="G41" i="28" s="1"/>
  <c r="Y25" i="28"/>
  <c r="Y41" i="28" s="1"/>
  <c r="Q21" i="28"/>
  <c r="W21" i="28"/>
  <c r="V12" i="16" s="1"/>
  <c r="AO21" i="28"/>
  <c r="AF21" i="28"/>
  <c r="AE12" i="16" s="1"/>
  <c r="T21" i="28"/>
  <c r="AC21" i="28"/>
  <c r="AB12" i="16" s="1"/>
  <c r="K21" i="28"/>
  <c r="N21" i="28"/>
  <c r="M12" i="16" s="1"/>
  <c r="AI21" i="28"/>
  <c r="H21" i="28"/>
  <c r="G12" i="16" s="1"/>
  <c r="Z21" i="28"/>
  <c r="AL21" i="28"/>
  <c r="AK12" i="16" s="1"/>
  <c r="M25" i="27"/>
  <c r="M41" i="27" s="1"/>
  <c r="AK25" i="27"/>
  <c r="AK41" i="27" s="1"/>
  <c r="S25" i="27"/>
  <c r="S41" i="27" s="1"/>
  <c r="G25" i="27"/>
  <c r="G41" i="27" s="1"/>
  <c r="J25" i="27"/>
  <c r="J41" i="27" s="1"/>
  <c r="Y25" i="27"/>
  <c r="Y41" i="27" s="1"/>
  <c r="P25" i="27"/>
  <c r="P41" i="27" s="1"/>
  <c r="AE25" i="27"/>
  <c r="AE41" i="27" s="1"/>
  <c r="V25" i="27"/>
  <c r="V41" i="27" s="1"/>
  <c r="AN25" i="27"/>
  <c r="AN41" i="27" s="1"/>
  <c r="AH25" i="27"/>
  <c r="AH41" i="27" s="1"/>
  <c r="AB25" i="27"/>
  <c r="AB41" i="27" s="1"/>
  <c r="W21" i="27"/>
  <c r="AF21" i="27"/>
  <c r="AE11" i="16" s="1"/>
  <c r="N21" i="27"/>
  <c r="AO21" i="27"/>
  <c r="AN11" i="16" s="1"/>
  <c r="AL21" i="27"/>
  <c r="H21" i="27"/>
  <c r="G11" i="16" s="1"/>
  <c r="Q21" i="27"/>
  <c r="T21" i="27"/>
  <c r="S11" i="16" s="1"/>
  <c r="K21" i="27"/>
  <c r="AI21" i="27"/>
  <c r="AH11" i="16" s="1"/>
  <c r="AC21" i="27"/>
  <c r="Z21" i="27"/>
  <c r="Y11" i="16" s="1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AE10" i="16" s="1"/>
  <c r="T21" i="26"/>
  <c r="W21" i="26"/>
  <c r="V10" i="16" s="1"/>
  <c r="K21" i="26"/>
  <c r="AI21" i="26"/>
  <c r="AH10" i="16" s="1"/>
  <c r="AL21" i="26"/>
  <c r="H21" i="26"/>
  <c r="G10" i="16" s="1"/>
  <c r="N21" i="26"/>
  <c r="AC21" i="26"/>
  <c r="AB10" i="16" s="1"/>
  <c r="J25" i="25"/>
  <c r="J41" i="25" s="1"/>
  <c r="Q21" i="26"/>
  <c r="Z21" i="26"/>
  <c r="Y10" i="16" s="1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K58" i="32"/>
  <c r="AN58" i="33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Y58" i="35"/>
  <c r="AH58" i="32"/>
  <c r="AE58" i="32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BG9" i="31" l="1"/>
  <c r="W34" i="31"/>
  <c r="BG4" i="31"/>
  <c r="H34" i="31"/>
  <c r="G56" i="31"/>
  <c r="T34" i="31"/>
  <c r="V54" i="31"/>
  <c r="V55" i="31"/>
  <c r="V52" i="31" s="1"/>
  <c r="V53" i="31"/>
  <c r="S56" i="31"/>
  <c r="S54" i="31" s="1"/>
  <c r="BG15" i="31"/>
  <c r="AN56" i="31"/>
  <c r="AO34" i="31"/>
  <c r="S53" i="31"/>
  <c r="P56" i="31"/>
  <c r="P55" i="31" s="1"/>
  <c r="P52" i="31" s="1"/>
  <c r="Q34" i="31"/>
  <c r="AH56" i="31"/>
  <c r="AI34" i="31"/>
  <c r="BG13" i="31"/>
  <c r="AE56" i="31"/>
  <c r="AE54" i="31" s="1"/>
  <c r="AF34" i="31"/>
  <c r="BG6" i="31"/>
  <c r="M56" i="31"/>
  <c r="N34" i="31"/>
  <c r="AB56" i="31"/>
  <c r="AB53" i="31" s="1"/>
  <c r="BG11" i="31"/>
  <c r="Y56" i="31"/>
  <c r="BG10" i="31"/>
  <c r="Z34" i="31"/>
  <c r="J56" i="31"/>
  <c r="J55" i="31" s="1"/>
  <c r="J52" i="31" s="1"/>
  <c r="BG8" i="30"/>
  <c r="K34" i="31"/>
  <c r="AL34" i="31"/>
  <c r="AK56" i="31"/>
  <c r="BG14" i="31"/>
  <c r="AC34" i="30"/>
  <c r="AB14" i="16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B55" i="30"/>
  <c r="AB52" i="30" s="1"/>
  <c r="AB54" i="30"/>
  <c r="AE53" i="30"/>
  <c r="AE55" i="30"/>
  <c r="AE52" i="30" s="1"/>
  <c r="AE54" i="30"/>
  <c r="AI34" i="29"/>
  <c r="AH13" i="16"/>
  <c r="BG12" i="29"/>
  <c r="S13" i="16"/>
  <c r="BG4" i="29"/>
  <c r="AE13" i="16"/>
  <c r="BG11" i="29"/>
  <c r="Y13" i="16"/>
  <c r="BG5" i="29"/>
  <c r="M13" i="16"/>
  <c r="BG8" i="29"/>
  <c r="AN13" i="16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Y12" i="16"/>
  <c r="BG13" i="28"/>
  <c r="J12" i="16"/>
  <c r="BG4" i="28"/>
  <c r="AN12" i="16"/>
  <c r="BG8" i="28"/>
  <c r="AH12" i="16"/>
  <c r="T34" i="28"/>
  <c r="S12" i="16"/>
  <c r="P56" i="28"/>
  <c r="P53" i="28" s="1"/>
  <c r="P12" i="16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AB11" i="16"/>
  <c r="Q34" i="27"/>
  <c r="P11" i="16"/>
  <c r="BG7" i="27"/>
  <c r="M11" i="16"/>
  <c r="BG11" i="27"/>
  <c r="J11" i="16"/>
  <c r="BG8" i="27"/>
  <c r="AK11" i="16"/>
  <c r="W34" i="27"/>
  <c r="V11" i="16"/>
  <c r="W24" i="27" s="1"/>
  <c r="W37" i="27" s="1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AK10" i="16"/>
  <c r="T34" i="26"/>
  <c r="S10" i="16"/>
  <c r="P56" i="26"/>
  <c r="P55" i="26" s="1"/>
  <c r="P52" i="26" s="1"/>
  <c r="P10" i="16"/>
  <c r="M56" i="26"/>
  <c r="M53" i="26" s="1"/>
  <c r="M10" i="16"/>
  <c r="J56" i="26"/>
  <c r="J54" i="26" s="1"/>
  <c r="J10" i="16"/>
  <c r="BG12" i="26"/>
  <c r="AN10" i="1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BQ8" i="34"/>
  <c r="BQ13" i="35"/>
  <c r="BQ7" i="35"/>
  <c r="BQ10" i="35"/>
  <c r="BQ9" i="35"/>
  <c r="BQ15" i="35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BQ12" i="36"/>
  <c r="BQ7" i="36"/>
  <c r="BQ13" i="36"/>
  <c r="BQ5" i="31"/>
  <c r="BQ13" i="31"/>
  <c r="BQ8" i="31"/>
  <c r="BQ7" i="31"/>
  <c r="BQ14" i="31"/>
  <c r="AH27" i="31"/>
  <c r="BQ10" i="31"/>
  <c r="BQ6" i="31"/>
  <c r="BQ11" i="31"/>
  <c r="BQ4" i="31"/>
  <c r="Y27" i="31"/>
  <c r="BQ9" i="31"/>
  <c r="BQ12" i="31"/>
  <c r="BQ15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W23" i="20"/>
  <c r="W23" i="1"/>
  <c r="AI34" i="1"/>
  <c r="AH4" i="16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21" i="35" s="1"/>
  <c r="AU32" i="35"/>
  <c r="AV4" i="31"/>
  <c r="AV21" i="31" s="1"/>
  <c r="AV34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G54" i="31" l="1"/>
  <c r="G53" i="31"/>
  <c r="G55" i="31"/>
  <c r="G52" i="31" s="1"/>
  <c r="G21" i="31" s="1"/>
  <c r="BE4" i="31" s="1"/>
  <c r="S55" i="31"/>
  <c r="S52" i="31" s="1"/>
  <c r="AN53" i="31"/>
  <c r="AN55" i="31"/>
  <c r="AN52" i="31" s="1"/>
  <c r="AN21" i="31" s="1"/>
  <c r="BE15" i="31" s="1"/>
  <c r="AN54" i="31"/>
  <c r="P53" i="31"/>
  <c r="P54" i="31"/>
  <c r="AH53" i="31"/>
  <c r="AH54" i="31"/>
  <c r="AH55" i="31"/>
  <c r="AH52" i="31" s="1"/>
  <c r="AH21" i="31" s="1"/>
  <c r="BE13" i="31" s="1"/>
  <c r="AE55" i="31"/>
  <c r="AE52" i="31" s="1"/>
  <c r="AE21" i="31" s="1"/>
  <c r="BE12" i="31" s="1"/>
  <c r="AE53" i="31"/>
  <c r="M55" i="31"/>
  <c r="M52" i="31" s="1"/>
  <c r="M21" i="31" s="1"/>
  <c r="BE6" i="31" s="1"/>
  <c r="M53" i="31"/>
  <c r="M54" i="31"/>
  <c r="AB54" i="31"/>
  <c r="AB55" i="31"/>
  <c r="AB52" i="31" s="1"/>
  <c r="AB21" i="31" s="1"/>
  <c r="BE11" i="31" s="1"/>
  <c r="Y53" i="31"/>
  <c r="Y55" i="31"/>
  <c r="Y52" i="31" s="1"/>
  <c r="Y21" i="31" s="1"/>
  <c r="BE10" i="31" s="1"/>
  <c r="Y54" i="31"/>
  <c r="J53" i="31"/>
  <c r="S21" i="31"/>
  <c r="BE8" i="31" s="1"/>
  <c r="J54" i="31"/>
  <c r="G45" i="31"/>
  <c r="B1" i="31" s="1"/>
  <c r="AU21" i="31"/>
  <c r="J21" i="31"/>
  <c r="BE5" i="31" s="1"/>
  <c r="V21" i="31"/>
  <c r="BE9" i="31" s="1"/>
  <c r="P21" i="31"/>
  <c r="BE7" i="31" s="1"/>
  <c r="AK55" i="31"/>
  <c r="AK52" i="31" s="1"/>
  <c r="AK21" i="31" s="1"/>
  <c r="BE14" i="31" s="1"/>
  <c r="AK53" i="31"/>
  <c r="AK54" i="31"/>
  <c r="G54" i="30"/>
  <c r="G55" i="30"/>
  <c r="G52" i="30" s="1"/>
  <c r="G21" i="30" s="1"/>
  <c r="BE7" i="30" s="1"/>
  <c r="P55" i="30"/>
  <c r="P52" i="30" s="1"/>
  <c r="P21" i="30" s="1"/>
  <c r="BE5" i="30" s="1"/>
  <c r="P53" i="30"/>
  <c r="AK54" i="30"/>
  <c r="Y53" i="30"/>
  <c r="AK53" i="30"/>
  <c r="Y55" i="30"/>
  <c r="Y52" i="30" s="1"/>
  <c r="Y21" i="30" s="1"/>
  <c r="W14" i="16" s="1"/>
  <c r="CE14" i="16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B21" i="30"/>
  <c r="Z14" i="16" s="1"/>
  <c r="CH14" i="16" s="1"/>
  <c r="AE21" i="30"/>
  <c r="BE11" i="30" s="1"/>
  <c r="S21" i="30"/>
  <c r="Q14" i="16" s="1"/>
  <c r="BY14" i="16" s="1"/>
  <c r="AH21" i="30"/>
  <c r="BE15" i="30" s="1"/>
  <c r="AK21" i="30"/>
  <c r="BE9" i="30" s="1"/>
  <c r="AN21" i="30"/>
  <c r="AL14" i="16" s="1"/>
  <c r="CT14" i="16" s="1"/>
  <c r="V21" i="30"/>
  <c r="T14" i="16" s="1"/>
  <c r="CB14" i="16" s="1"/>
  <c r="S54" i="30"/>
  <c r="G47" i="29"/>
  <c r="AU21" i="29"/>
  <c r="G45" i="29"/>
  <c r="S55" i="28"/>
  <c r="S52" i="28" s="1"/>
  <c r="S21" i="28" s="1"/>
  <c r="P54" i="28"/>
  <c r="P55" i="28"/>
  <c r="P52" i="28" s="1"/>
  <c r="P21" i="28" s="1"/>
  <c r="AI24" i="31"/>
  <c r="AI37" i="31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V21" i="16"/>
  <c r="V22" i="16" s="1"/>
  <c r="W24" i="32"/>
  <c r="W37" i="32" s="1"/>
  <c r="W24" i="33"/>
  <c r="W37" i="33" s="1"/>
  <c r="H24" i="26"/>
  <c r="H37" i="26" s="1"/>
  <c r="W24" i="36"/>
  <c r="W37" i="36" s="1"/>
  <c r="W24" i="28"/>
  <c r="W37" i="28" s="1"/>
  <c r="W24" i="35"/>
  <c r="W37" i="35" s="1"/>
  <c r="W24" i="34"/>
  <c r="W37" i="34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4"/>
  <c r="BL15" i="24" s="1"/>
  <c r="Q23" i="21"/>
  <c r="Q22" i="21" s="1"/>
  <c r="H23" i="28"/>
  <c r="H22" i="28" s="1"/>
  <c r="W23" i="25"/>
  <c r="W22" i="25" s="1"/>
  <c r="W23" i="27"/>
  <c r="W22" i="27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W36" i="20"/>
  <c r="BL13" i="20"/>
  <c r="W22" i="20"/>
  <c r="M21" i="16"/>
  <c r="N23" i="1"/>
  <c r="N23" i="20"/>
  <c r="AL22" i="1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AH58" i="31" l="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E14" i="16"/>
  <c r="BM14" i="16" s="1"/>
  <c r="BE6" i="30"/>
  <c r="K14" i="16"/>
  <c r="BS14" i="16" s="1"/>
  <c r="M58" i="30"/>
  <c r="AK58" i="30"/>
  <c r="Y58" i="30"/>
  <c r="G58" i="30"/>
  <c r="V58" i="30"/>
  <c r="S58" i="30"/>
  <c r="BE13" i="30"/>
  <c r="AE58" i="30"/>
  <c r="P58" i="30"/>
  <c r="BE4" i="30"/>
  <c r="BE12" i="30"/>
  <c r="AC14" i="16"/>
  <c r="CK14" i="16" s="1"/>
  <c r="N14" i="16"/>
  <c r="BV14" i="16" s="1"/>
  <c r="AI14" i="16"/>
  <c r="CQ14" i="16" s="1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AI23" i="31"/>
  <c r="AI36" i="31" s="1"/>
  <c r="BE13" i="28"/>
  <c r="H12" i="16"/>
  <c r="BP12" i="16" s="1"/>
  <c r="BE7" i="28"/>
  <c r="W12" i="16"/>
  <c r="CE12" i="16" s="1"/>
  <c r="BE6" i="28"/>
  <c r="N12" i="16"/>
  <c r="BV12" i="16" s="1"/>
  <c r="BE8" i="28"/>
  <c r="AF12" i="16"/>
  <c r="CN12" i="16" s="1"/>
  <c r="BE14" i="28"/>
  <c r="Z12" i="16"/>
  <c r="CH12" i="16" s="1"/>
  <c r="BE12" i="28"/>
  <c r="E12" i="16"/>
  <c r="BM12" i="16" s="1"/>
  <c r="BE9" i="28"/>
  <c r="K12" i="16"/>
  <c r="BS12" i="16" s="1"/>
  <c r="BE15" i="28"/>
  <c r="T12" i="16"/>
  <c r="CB12" i="16" s="1"/>
  <c r="BE11" i="28"/>
  <c r="AC12" i="16"/>
  <c r="CK12" i="16" s="1"/>
  <c r="BE10" i="28"/>
  <c r="AI12" i="16"/>
  <c r="CQ12" i="16" s="1"/>
  <c r="BE5" i="28"/>
  <c r="Q12" i="16"/>
  <c r="BY12" i="16" s="1"/>
  <c r="BE4" i="28"/>
  <c r="AL12" i="16"/>
  <c r="CT12" i="16" s="1"/>
  <c r="CB21" i="16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9" i="32" s="1"/>
  <c r="W23" i="36"/>
  <c r="W36" i="36" s="1"/>
  <c r="W23" i="28"/>
  <c r="BL13" i="28" s="1"/>
  <c r="W23" i="31"/>
  <c r="W36" i="31" s="1"/>
  <c r="W23" i="35"/>
  <c r="W36" i="35" s="1"/>
  <c r="W23" i="30"/>
  <c r="BL14" i="30" s="1"/>
  <c r="W23" i="33"/>
  <c r="W36" i="33" s="1"/>
  <c r="H23" i="26"/>
  <c r="H36" i="26" s="1"/>
  <c r="W23" i="34"/>
  <c r="W36" i="34" s="1"/>
  <c r="BE9" i="27"/>
  <c r="W11" i="16"/>
  <c r="CE11" i="16" s="1"/>
  <c r="BE15" i="27"/>
  <c r="Z11" i="16"/>
  <c r="CH11" i="16" s="1"/>
  <c r="BE7" i="27"/>
  <c r="K11" i="16"/>
  <c r="BS11" i="16" s="1"/>
  <c r="BE12" i="27"/>
  <c r="AC11" i="16"/>
  <c r="CK11" i="16" s="1"/>
  <c r="BE11" i="27"/>
  <c r="H11" i="16"/>
  <c r="BP11" i="16" s="1"/>
  <c r="BE14" i="27"/>
  <c r="AF11" i="16"/>
  <c r="CN11" i="16" s="1"/>
  <c r="BE8" i="27"/>
  <c r="AI11" i="16"/>
  <c r="CQ11" i="16" s="1"/>
  <c r="BE10" i="27"/>
  <c r="AL11" i="16"/>
  <c r="CT11" i="16" s="1"/>
  <c r="BE5" i="27"/>
  <c r="N11" i="16"/>
  <c r="BV11" i="16" s="1"/>
  <c r="BE13" i="27"/>
  <c r="Q11" i="16"/>
  <c r="BY11" i="16" s="1"/>
  <c r="BE6" i="27"/>
  <c r="E11" i="16"/>
  <c r="BM11" i="16" s="1"/>
  <c r="BE4" i="27"/>
  <c r="T11" i="16"/>
  <c r="CB11" i="16" s="1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Z10" i="16"/>
  <c r="CH10" i="16" s="1"/>
  <c r="BE8" i="26"/>
  <c r="W10" i="16"/>
  <c r="CE10" i="16" s="1"/>
  <c r="BE15" i="26"/>
  <c r="H10" i="16"/>
  <c r="BP10" i="16" s="1"/>
  <c r="BE12" i="26"/>
  <c r="AL10" i="16"/>
  <c r="CT10" i="16" s="1"/>
  <c r="BE10" i="26"/>
  <c r="N10" i="16"/>
  <c r="BV10" i="16" s="1"/>
  <c r="BE9" i="26"/>
  <c r="Q10" i="16"/>
  <c r="BY10" i="16" s="1"/>
  <c r="BE13" i="26"/>
  <c r="E10" i="16"/>
  <c r="BM10" i="16" s="1"/>
  <c r="BE11" i="26"/>
  <c r="AC10" i="16"/>
  <c r="CK10" i="16" s="1"/>
  <c r="BE7" i="26"/>
  <c r="K10" i="16"/>
  <c r="BS10" i="16" s="1"/>
  <c r="BE6" i="26"/>
  <c r="AI10" i="16"/>
  <c r="CQ10" i="16" s="1"/>
  <c r="BE4" i="26"/>
  <c r="T10" i="16"/>
  <c r="CB10" i="16" s="1"/>
  <c r="BE14" i="26"/>
  <c r="AF10" i="16"/>
  <c r="CN10" i="16" s="1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3" i="30" s="1"/>
  <c r="Q23" i="23"/>
  <c r="Q22" i="23" s="1"/>
  <c r="BK10" i="23" s="1"/>
  <c r="AC23" i="30"/>
  <c r="AC22" i="30" s="1"/>
  <c r="AC35" i="30" s="1"/>
  <c r="H23" i="30"/>
  <c r="BL9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9" i="31" s="1"/>
  <c r="Q23" i="28"/>
  <c r="BL9" i="28" s="1"/>
  <c r="H23" i="27"/>
  <c r="BL11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36" i="24"/>
  <c r="W22" i="24"/>
  <c r="W35" i="24" s="1"/>
  <c r="BL13" i="25"/>
  <c r="W22" i="23"/>
  <c r="BK14" i="23" s="1"/>
  <c r="BL10" i="21"/>
  <c r="W36" i="25"/>
  <c r="Q36" i="21"/>
  <c r="W36" i="27"/>
  <c r="BL14" i="23"/>
  <c r="W22" i="29"/>
  <c r="W35" i="29" s="1"/>
  <c r="BL9" i="27"/>
  <c r="AF23" i="30"/>
  <c r="AF36" i="30" s="1"/>
  <c r="H36" i="28"/>
  <c r="Z23" i="30"/>
  <c r="BL6" i="30" s="1"/>
  <c r="BL11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T23" i="36"/>
  <c r="T22" i="36" s="1"/>
  <c r="AI23" i="21"/>
  <c r="BL5" i="21" s="1"/>
  <c r="Z23" i="29"/>
  <c r="BL5" i="29" s="1"/>
  <c r="Z23" i="27"/>
  <c r="Z22" i="27" s="1"/>
  <c r="AF23" i="34"/>
  <c r="AF36" i="34" s="1"/>
  <c r="T23" i="21"/>
  <c r="T22" i="21" s="1"/>
  <c r="Z23" i="34"/>
  <c r="BL10" i="34" s="1"/>
  <c r="AF23" i="35"/>
  <c r="AF36" i="35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4" i="30" s="1"/>
  <c r="T23" i="35"/>
  <c r="T22" i="35" s="1"/>
  <c r="K23" i="27"/>
  <c r="BL1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4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0" i="31" s="1"/>
  <c r="AL23" i="31"/>
  <c r="BL13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7" i="29" s="1"/>
  <c r="AI23" i="23"/>
  <c r="AI36" i="23" s="1"/>
  <c r="AI23" i="24"/>
  <c r="AI36" i="24" s="1"/>
  <c r="T23" i="26"/>
  <c r="T36" i="26" s="1"/>
  <c r="T23" i="29"/>
  <c r="BL14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1" i="31" s="1"/>
  <c r="AO23" i="28"/>
  <c r="BL8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W14" i="16" l="1"/>
  <c r="BN14" i="16"/>
  <c r="BZ14" i="16"/>
  <c r="CO14" i="16"/>
  <c r="CL14" i="16"/>
  <c r="BT14" i="16"/>
  <c r="BK14" i="16"/>
  <c r="CC14" i="16"/>
  <c r="CI14" i="16"/>
  <c r="CR14" i="16"/>
  <c r="CF14" i="16"/>
  <c r="BQ14" i="16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BL8" i="31"/>
  <c r="CR12" i="16"/>
  <c r="CO12" i="16"/>
  <c r="BK12" i="16"/>
  <c r="CL12" i="16"/>
  <c r="BW12" i="16"/>
  <c r="CI12" i="16"/>
  <c r="BQ12" i="16"/>
  <c r="CF12" i="16"/>
  <c r="BT12" i="16"/>
  <c r="BN12" i="16"/>
  <c r="BZ12" i="16"/>
  <c r="CC12" i="16"/>
  <c r="W36" i="30"/>
  <c r="BL13" i="29"/>
  <c r="W22" i="28"/>
  <c r="BK13" i="28" s="1"/>
  <c r="BL9" i="35"/>
  <c r="W22" i="32"/>
  <c r="W35" i="32" s="1"/>
  <c r="W22" i="34"/>
  <c r="BK9" i="34" s="1"/>
  <c r="W22" i="35"/>
  <c r="W35" i="35" s="1"/>
  <c r="BL9" i="36"/>
  <c r="W22" i="30"/>
  <c r="W35" i="30" s="1"/>
  <c r="W22" i="36"/>
  <c r="W35" i="36" s="1"/>
  <c r="W36" i="32"/>
  <c r="BL14" i="31"/>
  <c r="W36" i="28"/>
  <c r="W22" i="31"/>
  <c r="BK14" i="31" s="1"/>
  <c r="BL9" i="33"/>
  <c r="W22" i="33"/>
  <c r="BK9" i="33" s="1"/>
  <c r="H22" i="26"/>
  <c r="H35" i="26" s="1"/>
  <c r="BL10" i="26"/>
  <c r="BL9" i="34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0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9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9" i="29" s="1"/>
  <c r="AC22" i="25"/>
  <c r="BK11" i="25" s="1"/>
  <c r="BL9" i="24"/>
  <c r="BL11" i="25"/>
  <c r="H35" i="24"/>
  <c r="Q36" i="25"/>
  <c r="Q22" i="25"/>
  <c r="Q35" i="25" s="1"/>
  <c r="H22" i="23"/>
  <c r="BK9" i="23" s="1"/>
  <c r="BK11" i="29"/>
  <c r="H36" i="29"/>
  <c r="Q35" i="32"/>
  <c r="BL11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0" i="30"/>
  <c r="AC36" i="30"/>
  <c r="Q36" i="26"/>
  <c r="BL4" i="32"/>
  <c r="BL10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5" i="30" s="1"/>
  <c r="Z36" i="29"/>
  <c r="Z22" i="29"/>
  <c r="BK5" i="29" s="1"/>
  <c r="T36" i="36"/>
  <c r="BL5" i="30"/>
  <c r="Z22" i="33"/>
  <c r="Z35" i="33" s="1"/>
  <c r="AF36" i="21"/>
  <c r="BL10" i="33"/>
  <c r="T36" i="33"/>
  <c r="T22" i="31"/>
  <c r="T35" i="31" s="1"/>
  <c r="BL8" i="33"/>
  <c r="K36" i="35"/>
  <c r="BL10" i="29"/>
  <c r="BL12" i="36"/>
  <c r="BL5" i="31"/>
  <c r="AF36" i="36"/>
  <c r="K36" i="31"/>
  <c r="AF36" i="32"/>
  <c r="BK13" i="29"/>
  <c r="Z36" i="32"/>
  <c r="AC22" i="26"/>
  <c r="AC35" i="26" s="1"/>
  <c r="N36" i="36"/>
  <c r="Z22" i="30"/>
  <c r="BK6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12" i="30"/>
  <c r="N36" i="32"/>
  <c r="T22" i="30"/>
  <c r="BK12" i="30" s="1"/>
  <c r="BL7" i="25"/>
  <c r="AF22" i="31"/>
  <c r="BK5" i="31" s="1"/>
  <c r="K36" i="27"/>
  <c r="N22" i="32"/>
  <c r="BK6" i="32" s="1"/>
  <c r="BL5" i="34"/>
  <c r="AF22" i="34"/>
  <c r="BK12" i="34" s="1"/>
  <c r="AI36" i="36"/>
  <c r="AO35" i="31"/>
  <c r="N36" i="29"/>
  <c r="BL15" i="23"/>
  <c r="BL7" i="28"/>
  <c r="AF36" i="26"/>
  <c r="BL11" i="21"/>
  <c r="AO36" i="25"/>
  <c r="AF22" i="27"/>
  <c r="BK5" i="27" s="1"/>
  <c r="BL5" i="33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2" i="29"/>
  <c r="BL4" i="27"/>
  <c r="BL8" i="35"/>
  <c r="BL13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6" i="28"/>
  <c r="BL11" i="35"/>
  <c r="K36" i="29"/>
  <c r="AF22" i="24"/>
  <c r="BK5" i="24" s="1"/>
  <c r="K22" i="30"/>
  <c r="K35" i="30" s="1"/>
  <c r="AO22" i="21"/>
  <c r="BK6" i="21" s="1"/>
  <c r="BL10" i="24"/>
  <c r="K36" i="24"/>
  <c r="BL12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2" i="28"/>
  <c r="AF36" i="29"/>
  <c r="BL14" i="24"/>
  <c r="AF22" i="33"/>
  <c r="BK12" i="33" s="1"/>
  <c r="Z36" i="34"/>
  <c r="BL5" i="32"/>
  <c r="BL15" i="21"/>
  <c r="AC22" i="29"/>
  <c r="AC35" i="29" s="1"/>
  <c r="BL15" i="31"/>
  <c r="BL12" i="33"/>
  <c r="BL4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15" i="30"/>
  <c r="AI22" i="36"/>
  <c r="AI35" i="36" s="1"/>
  <c r="AO22" i="32"/>
  <c r="AO35" i="32" s="1"/>
  <c r="AC36" i="21"/>
  <c r="BL14" i="27"/>
  <c r="AO36" i="35"/>
  <c r="AC36" i="36"/>
  <c r="BL14" i="36"/>
  <c r="T36" i="32"/>
  <c r="N22" i="26"/>
  <c r="BK6" i="26" s="1"/>
  <c r="T36" i="23"/>
  <c r="BL6" i="23"/>
  <c r="AL35" i="33"/>
  <c r="BL4" i="29"/>
  <c r="AC35" i="32"/>
  <c r="K22" i="34"/>
  <c r="K35" i="34" s="1"/>
  <c r="BL14" i="28"/>
  <c r="N36" i="31"/>
  <c r="Z22" i="32"/>
  <c r="BK10" i="32" s="1"/>
  <c r="BL4" i="24"/>
  <c r="BL8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1" i="31"/>
  <c r="BL15" i="34"/>
  <c r="BL6" i="21"/>
  <c r="AO36" i="28"/>
  <c r="AO36" i="24"/>
  <c r="AC22" i="34"/>
  <c r="AC35" i="34" s="1"/>
  <c r="AC22" i="28"/>
  <c r="BK12" i="28" s="1"/>
  <c r="AL22" i="27"/>
  <c r="AL35" i="27" s="1"/>
  <c r="T22" i="32"/>
  <c r="T35" i="32" s="1"/>
  <c r="BL1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2" i="29"/>
  <c r="AI22" i="29"/>
  <c r="AI35" i="29" s="1"/>
  <c r="N22" i="35"/>
  <c r="N35" i="35" s="1"/>
  <c r="K36" i="25"/>
  <c r="T22" i="29"/>
  <c r="BK14" i="29" s="1"/>
  <c r="T22" i="26"/>
  <c r="BK14" i="26" s="1"/>
  <c r="BL6" i="24"/>
  <c r="BK11" i="30"/>
  <c r="BL8" i="29"/>
  <c r="AO36" i="33"/>
  <c r="AC36" i="23"/>
  <c r="AC36" i="31"/>
  <c r="BL10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8" i="28" s="1"/>
  <c r="AC22" i="23"/>
  <c r="AC35" i="23" s="1"/>
  <c r="AL22" i="34"/>
  <c r="BK14" i="34" s="1"/>
  <c r="AL22" i="31"/>
  <c r="AL35" i="31" s="1"/>
  <c r="BK6" i="16"/>
  <c r="CO6" i="16"/>
  <c r="BL6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1" i="30"/>
  <c r="BN6" i="16"/>
  <c r="AO22" i="29"/>
  <c r="BK8" i="29" s="1"/>
  <c r="AL36" i="32"/>
  <c r="AL22" i="21"/>
  <c r="AL35" i="21" s="1"/>
  <c r="BL14" i="32"/>
  <c r="AL22" i="36"/>
  <c r="AL35" i="36" s="1"/>
  <c r="BW6" i="16"/>
  <c r="AL22" i="28"/>
  <c r="AL36" i="28"/>
  <c r="BL10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6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4" i="29"/>
  <c r="BK9" i="20"/>
  <c r="AI35" i="20"/>
  <c r="BK6" i="33"/>
  <c r="N35" i="33"/>
  <c r="CQ4" i="16"/>
  <c r="BR5" i="1"/>
  <c r="BS5" i="1" s="1"/>
  <c r="CT4" i="16"/>
  <c r="BR6" i="1"/>
  <c r="BS6" i="1" s="1"/>
  <c r="Z35" i="31"/>
  <c r="BK6" i="31"/>
  <c r="E21" i="16"/>
  <c r="AI21" i="16"/>
  <c r="N21" i="16"/>
  <c r="AL21" i="16"/>
  <c r="K21" i="16"/>
  <c r="Q21" i="16"/>
  <c r="BK15" i="29"/>
  <c r="K35" i="29"/>
  <c r="BK4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13" i="32"/>
  <c r="AI35" i="32"/>
  <c r="BP4" i="16"/>
  <c r="BR4" i="1"/>
  <c r="BS4" i="1" s="1"/>
  <c r="BR8" i="28"/>
  <c r="BS8" i="28" s="1"/>
  <c r="BR5" i="20"/>
  <c r="BS5" i="20" s="1"/>
  <c r="BR6" i="23"/>
  <c r="BS6" i="23" s="1"/>
  <c r="BR6" i="24"/>
  <c r="BS6" i="24" s="1"/>
  <c r="BR5" i="21"/>
  <c r="BS5" i="21" s="1"/>
  <c r="BR7" i="26"/>
  <c r="BS7" i="26" s="1"/>
  <c r="BR7" i="27"/>
  <c r="BS7" i="27" s="1"/>
  <c r="BR6" i="25"/>
  <c r="BS6" i="25" s="1"/>
  <c r="AF35" i="36"/>
  <c r="BK12" i="36"/>
  <c r="AF35" i="23"/>
  <c r="BK5" i="23"/>
  <c r="K35" i="28"/>
  <c r="BK15" i="28"/>
  <c r="AI35" i="30"/>
  <c r="BK8" i="30"/>
  <c r="CN4" i="16"/>
  <c r="BR15" i="1"/>
  <c r="BS15" i="1" s="1"/>
  <c r="BK7" i="1"/>
  <c r="Z35" i="1"/>
  <c r="AI35" i="28"/>
  <c r="BK6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1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8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AB55" i="29" l="1"/>
  <c r="AB52" i="29" s="1"/>
  <c r="AB21" i="29" s="1"/>
  <c r="AE55" i="29"/>
  <c r="AE52" i="29" s="1"/>
  <c r="AE21" i="29" s="1"/>
  <c r="Y58" i="29"/>
  <c r="N13" i="16"/>
  <c r="BV13" i="16" s="1"/>
  <c r="BE10" i="29"/>
  <c r="AI13" i="16"/>
  <c r="CQ13" i="16" s="1"/>
  <c r="BE15" i="29"/>
  <c r="P58" i="29"/>
  <c r="G58" i="29"/>
  <c r="BE13" i="29"/>
  <c r="T13" i="16"/>
  <c r="CB13" i="16" s="1"/>
  <c r="M55" i="29"/>
  <c r="M52" i="29" s="1"/>
  <c r="M21" i="29" s="1"/>
  <c r="J58" i="29"/>
  <c r="BE8" i="29"/>
  <c r="AL13" i="16"/>
  <c r="CT13" i="16" s="1"/>
  <c r="BE11" i="29"/>
  <c r="W13" i="16"/>
  <c r="CE13" i="16" s="1"/>
  <c r="S58" i="29"/>
  <c r="BE14" i="29"/>
  <c r="H13" i="16"/>
  <c r="AF13" i="16"/>
  <c r="CN13" i="16" s="1"/>
  <c r="BE9" i="29"/>
  <c r="V58" i="29"/>
  <c r="AK58" i="29"/>
  <c r="Q13" i="16"/>
  <c r="BY13" i="16" s="1"/>
  <c r="BE12" i="29"/>
  <c r="E13" i="16"/>
  <c r="BM13" i="16" s="1"/>
  <c r="BE7" i="29"/>
  <c r="AH58" i="29"/>
  <c r="AN58" i="29"/>
  <c r="W35" i="28"/>
  <c r="BK9" i="35"/>
  <c r="W35" i="31"/>
  <c r="W35" i="33"/>
  <c r="BK9" i="32"/>
  <c r="W35" i="34"/>
  <c r="BK9" i="36"/>
  <c r="BK14" i="30"/>
  <c r="BK10" i="26"/>
  <c r="Q35" i="31"/>
  <c r="BK10" i="27"/>
  <c r="H35" i="34"/>
  <c r="BK7" i="34"/>
  <c r="BK11" i="33"/>
  <c r="H35" i="33"/>
  <c r="Q35" i="30"/>
  <c r="H35" i="23"/>
  <c r="Q35" i="29"/>
  <c r="AC35" i="25"/>
  <c r="BK13" i="30"/>
  <c r="BK8" i="25"/>
  <c r="BK9" i="28"/>
  <c r="BK10" i="25"/>
  <c r="BK11" i="27"/>
  <c r="AO35" i="23"/>
  <c r="Q35" i="35"/>
  <c r="BK4" i="35"/>
  <c r="BK9" i="30"/>
  <c r="Q35" i="33"/>
  <c r="H35" i="36"/>
  <c r="BK9" i="31"/>
  <c r="AF35" i="32"/>
  <c r="Z35" i="30"/>
  <c r="AL35" i="24"/>
  <c r="BK12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7" i="28"/>
  <c r="BK4" i="30"/>
  <c r="K35" i="27"/>
  <c r="T35" i="25"/>
  <c r="N35" i="25"/>
  <c r="BK5" i="25"/>
  <c r="AF35" i="31"/>
  <c r="BK4" i="28"/>
  <c r="AO35" i="29"/>
  <c r="N35" i="32"/>
  <c r="BK1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0" i="29"/>
  <c r="BK13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2" i="27"/>
  <c r="T35" i="26"/>
  <c r="BK7" i="29"/>
  <c r="BK15" i="25"/>
  <c r="BK10" i="36"/>
  <c r="BK6" i="35"/>
  <c r="T35" i="27"/>
  <c r="BK14" i="28"/>
  <c r="AO35" i="34"/>
  <c r="BK13" i="31"/>
  <c r="AL35" i="34"/>
  <c r="AC35" i="21"/>
  <c r="BK4" i="21"/>
  <c r="BK10" i="24"/>
  <c r="AO35" i="28"/>
  <c r="BK14" i="36"/>
  <c r="AL35" i="28"/>
  <c r="BK10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6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4" i="16"/>
  <c r="AY34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39" i="16"/>
  <c r="BB39" i="16" s="1"/>
  <c r="AY39" i="16"/>
  <c r="BA44" i="16"/>
  <c r="AY44" i="16"/>
  <c r="BI9" i="20"/>
  <c r="BQ4" i="16"/>
  <c r="CI4" i="16"/>
  <c r="AY41" i="16"/>
  <c r="BA41" i="16"/>
  <c r="BB41" i="16" s="1"/>
  <c r="CF4" i="16"/>
  <c r="BZ4" i="16"/>
  <c r="BI10" i="1"/>
  <c r="BI9" i="1"/>
  <c r="BI4" i="1"/>
  <c r="Y22" i="1"/>
  <c r="BI7" i="20"/>
  <c r="AY43" i="16"/>
  <c r="BA43" i="16"/>
  <c r="BA38" i="16"/>
  <c r="AY38" i="16"/>
  <c r="AY40" i="16"/>
  <c r="BA40" i="16"/>
  <c r="BA37" i="16"/>
  <c r="AY37" i="16"/>
  <c r="CO4" i="16"/>
  <c r="BI11" i="20"/>
  <c r="BI6" i="1"/>
  <c r="Y22" i="20"/>
  <c r="BA35" i="16"/>
  <c r="AY35" i="16"/>
  <c r="CR4" i="16"/>
  <c r="BI12" i="20"/>
  <c r="BI10" i="20"/>
  <c r="AE58" i="29" l="1"/>
  <c r="BP13" i="16"/>
  <c r="BR5" i="35"/>
  <c r="BS5" i="35" s="1"/>
  <c r="BR9" i="29"/>
  <c r="BS9" i="29" s="1"/>
  <c r="H27" i="16"/>
  <c r="BR9" i="30"/>
  <c r="BS9" i="30" s="1"/>
  <c r="H22" i="16"/>
  <c r="BN42" i="16" s="1"/>
  <c r="H25" i="16"/>
  <c r="BR5" i="33"/>
  <c r="BS5" i="33" s="1"/>
  <c r="H24" i="16"/>
  <c r="BR9" i="31"/>
  <c r="BS9" i="31" s="1"/>
  <c r="H23" i="16"/>
  <c r="AW38" i="16" s="1"/>
  <c r="AX38" i="16" s="1"/>
  <c r="BR5" i="36"/>
  <c r="BS5" i="36" s="1"/>
  <c r="BR5" i="32"/>
  <c r="BS5" i="32" s="1"/>
  <c r="BR5" i="34"/>
  <c r="BS5" i="34" s="1"/>
  <c r="M58" i="29"/>
  <c r="BE5" i="29"/>
  <c r="K13" i="16"/>
  <c r="BS13" i="16" s="1"/>
  <c r="Z13" i="16"/>
  <c r="CH13" i="16" s="1"/>
  <c r="BE6" i="29"/>
  <c r="BE4" i="29"/>
  <c r="AC13" i="16"/>
  <c r="CK13" i="16" s="1"/>
  <c r="AB58" i="29"/>
  <c r="BB40" i="16"/>
  <c r="V22" i="31"/>
  <c r="BV4" i="31" s="1"/>
  <c r="BW4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5" i="30" s="1"/>
  <c r="AK22" i="30"/>
  <c r="BT15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4" i="30" s="1"/>
  <c r="AB22" i="30"/>
  <c r="BV13" i="30" s="1"/>
  <c r="BI9" i="21"/>
  <c r="AH22" i="30"/>
  <c r="BV14" i="30" s="1"/>
  <c r="S22" i="30"/>
  <c r="BT10" i="30" s="1"/>
  <c r="P22" i="30"/>
  <c r="P40" i="30" s="1"/>
  <c r="J22" i="30"/>
  <c r="BT9" i="30" s="1"/>
  <c r="G22" i="30"/>
  <c r="BV8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4" i="30"/>
  <c r="M22" i="31"/>
  <c r="BV11" i="31" s="1"/>
  <c r="Y22" i="31"/>
  <c r="Y40" i="31" s="1"/>
  <c r="AB22" i="31"/>
  <c r="AB40" i="31" s="1"/>
  <c r="AN22" i="31"/>
  <c r="BT6" i="31" s="1"/>
  <c r="BI13" i="30"/>
  <c r="AK22" i="32"/>
  <c r="AK40" i="32" s="1"/>
  <c r="BI7" i="26"/>
  <c r="BI10" i="26"/>
  <c r="AH22" i="31"/>
  <c r="AH40" i="31" s="1"/>
  <c r="BI15" i="26"/>
  <c r="J22" i="31"/>
  <c r="J40" i="31" s="1"/>
  <c r="AB22" i="32"/>
  <c r="BT11" i="32" s="1"/>
  <c r="BI12" i="26"/>
  <c r="BI5" i="26"/>
  <c r="Y22" i="32"/>
  <c r="BV10" i="32" s="1"/>
  <c r="BI11" i="26"/>
  <c r="G22" i="31"/>
  <c r="G40" i="31" s="1"/>
  <c r="AK22" i="31"/>
  <c r="AK40" i="31" s="1"/>
  <c r="BI7" i="34"/>
  <c r="G22" i="32"/>
  <c r="G40" i="32" s="1"/>
  <c r="BI10" i="30"/>
  <c r="S22" i="32"/>
  <c r="BT8" i="32" s="1"/>
  <c r="S22" i="31"/>
  <c r="BV10" i="31" s="1"/>
  <c r="BW10" i="31" s="1"/>
  <c r="BI4" i="26"/>
  <c r="AE22" i="31"/>
  <c r="AE40" i="31" s="1"/>
  <c r="P22" i="31"/>
  <c r="BV12" i="31" s="1"/>
  <c r="BW12" i="31" s="1"/>
  <c r="AH22" i="25"/>
  <c r="AH40" i="25" s="1"/>
  <c r="V22" i="32"/>
  <c r="BV9" i="32" s="1"/>
  <c r="BW9" i="32" s="1"/>
  <c r="BI6" i="30"/>
  <c r="BI13" i="31"/>
  <c r="BI5" i="31"/>
  <c r="BI15" i="31"/>
  <c r="AN22" i="33"/>
  <c r="AN40" i="33" s="1"/>
  <c r="BI15" i="25"/>
  <c r="J22" i="29"/>
  <c r="BT9" i="29" s="1"/>
  <c r="AK22" i="24"/>
  <c r="BT15" i="24" s="1"/>
  <c r="BI10" i="35"/>
  <c r="J22" i="25"/>
  <c r="J40" i="25" s="1"/>
  <c r="BI14" i="34"/>
  <c r="BI7" i="30"/>
  <c r="AH22" i="33"/>
  <c r="BV13" i="33" s="1"/>
  <c r="BI5" i="30"/>
  <c r="BI5" i="34"/>
  <c r="BI12" i="30"/>
  <c r="BI8" i="30"/>
  <c r="AH22" i="32"/>
  <c r="AH40" i="32" s="1"/>
  <c r="BI9" i="30"/>
  <c r="BI11" i="30"/>
  <c r="S22" i="29"/>
  <c r="BT12" i="29" s="1"/>
  <c r="V22" i="25"/>
  <c r="BV7" i="25" s="1"/>
  <c r="BW7" i="25" s="1"/>
  <c r="M22" i="36"/>
  <c r="BT6" i="36" s="1"/>
  <c r="BI14" i="30"/>
  <c r="BI15" i="30"/>
  <c r="G22" i="29"/>
  <c r="BV8" i="29" s="1"/>
  <c r="P22" i="29"/>
  <c r="BT11" i="29" s="1"/>
  <c r="AN22" i="36"/>
  <c r="BV15" i="36" s="1"/>
  <c r="BI4" i="35"/>
  <c r="AK22" i="25"/>
  <c r="BT15" i="25" s="1"/>
  <c r="M22" i="29"/>
  <c r="BT10" i="29" s="1"/>
  <c r="BI9" i="31"/>
  <c r="AB22" i="33"/>
  <c r="BT11" i="33" s="1"/>
  <c r="BI14" i="31"/>
  <c r="BI12" i="31"/>
  <c r="BI13" i="35"/>
  <c r="BI11" i="35"/>
  <c r="BI6" i="28"/>
  <c r="BI9" i="23"/>
  <c r="M22" i="24"/>
  <c r="M40" i="24" s="1"/>
  <c r="BI5" i="35"/>
  <c r="V22" i="33"/>
  <c r="BV9" i="33" s="1"/>
  <c r="BW9" i="33" s="1"/>
  <c r="BI11" i="36"/>
  <c r="AB22" i="23"/>
  <c r="AB40" i="23" s="1"/>
  <c r="BI6" i="31"/>
  <c r="M22" i="33"/>
  <c r="M40" i="33" s="1"/>
  <c r="BI12" i="35"/>
  <c r="M22" i="32"/>
  <c r="BV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1" i="31"/>
  <c r="BI8" i="34"/>
  <c r="S22" i="33"/>
  <c r="BT8" i="33" s="1"/>
  <c r="BI10" i="31"/>
  <c r="BI6" i="35"/>
  <c r="BI11" i="34"/>
  <c r="G22" i="33"/>
  <c r="BT4" i="33" s="1"/>
  <c r="J22" i="33"/>
  <c r="BV5" i="33" s="1"/>
  <c r="BI12" i="28"/>
  <c r="J22" i="26"/>
  <c r="BT7" i="26" s="1"/>
  <c r="BI14" i="35"/>
  <c r="BI4" i="31"/>
  <c r="BI10" i="34"/>
  <c r="BI6" i="34"/>
  <c r="BI9" i="35"/>
  <c r="BI8" i="31"/>
  <c r="AE22" i="32"/>
  <c r="BV12" i="32" s="1"/>
  <c r="J22" i="32"/>
  <c r="J40" i="32" s="1"/>
  <c r="BI15" i="34"/>
  <c r="AN22" i="32"/>
  <c r="BV15" i="32" s="1"/>
  <c r="BI9" i="34"/>
  <c r="BI14" i="23"/>
  <c r="BI10" i="29"/>
  <c r="V22" i="21"/>
  <c r="BV13" i="21" s="1"/>
  <c r="BW13" i="21" s="1"/>
  <c r="AH22" i="29"/>
  <c r="BT14" i="29" s="1"/>
  <c r="AB22" i="29"/>
  <c r="AB40" i="29" s="1"/>
  <c r="BI15" i="35"/>
  <c r="AE22" i="29"/>
  <c r="BT7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8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4" i="27"/>
  <c r="AN22" i="29"/>
  <c r="BV6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13" i="28"/>
  <c r="S22" i="24"/>
  <c r="S40" i="24" s="1"/>
  <c r="BI9" i="27"/>
  <c r="BI12" i="25"/>
  <c r="AN22" i="27"/>
  <c r="BV8" i="27" s="1"/>
  <c r="BI9" i="32"/>
  <c r="BI10" i="24"/>
  <c r="BI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5" i="32"/>
  <c r="BI11" i="29"/>
  <c r="BI12" i="29"/>
  <c r="BI11" i="23"/>
  <c r="BI7" i="32"/>
  <c r="BI11" i="24"/>
  <c r="AH22" i="27"/>
  <c r="AH40" i="27" s="1"/>
  <c r="AE22" i="26"/>
  <c r="BV9" i="26" s="1"/>
  <c r="BI14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6" i="32"/>
  <c r="BI14" i="24"/>
  <c r="BI10" i="32"/>
  <c r="BI12" i="32"/>
  <c r="BI13" i="32"/>
  <c r="J22" i="27"/>
  <c r="BT7" i="27" s="1"/>
  <c r="BI4" i="32"/>
  <c r="BI8" i="24"/>
  <c r="AN22" i="26"/>
  <c r="BT8" i="26" s="1"/>
  <c r="BI6" i="29"/>
  <c r="Y22" i="28"/>
  <c r="BT5" i="28" s="1"/>
  <c r="AE22" i="34"/>
  <c r="AE40" i="34" s="1"/>
  <c r="BI12" i="36"/>
  <c r="AH22" i="28"/>
  <c r="AH40" i="28" s="1"/>
  <c r="BI4" i="29"/>
  <c r="BI7" i="29"/>
  <c r="BI15" i="29"/>
  <c r="BI7" i="23"/>
  <c r="S22" i="27"/>
  <c r="BT12" i="27" s="1"/>
  <c r="BI4" i="23"/>
  <c r="BI5" i="29"/>
  <c r="M22" i="26"/>
  <c r="BV10" i="26" s="1"/>
  <c r="BW10" i="26" s="1"/>
  <c r="BI14" i="32"/>
  <c r="BI7" i="24"/>
  <c r="P22" i="27"/>
  <c r="BT11" i="27" s="1"/>
  <c r="BI13" i="29"/>
  <c r="AK22" i="26"/>
  <c r="BV15" i="26" s="1"/>
  <c r="BI12" i="24"/>
  <c r="BI8" i="32"/>
  <c r="V22" i="26"/>
  <c r="BT5" i="26" s="1"/>
  <c r="BI5" i="28"/>
  <c r="BI7" i="27"/>
  <c r="BI6" i="21"/>
  <c r="BI15" i="27"/>
  <c r="BI8" i="23"/>
  <c r="BI8" i="36"/>
  <c r="BI9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8" i="28"/>
  <c r="BI10" i="25"/>
  <c r="BI9" i="25"/>
  <c r="BI7" i="25"/>
  <c r="BI6" i="25"/>
  <c r="AK22" i="21"/>
  <c r="BV7" i="21" s="1"/>
  <c r="J22" i="21"/>
  <c r="BV5" i="21" s="1"/>
  <c r="BI9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0" i="28"/>
  <c r="BI5" i="36"/>
  <c r="BI4" i="25"/>
  <c r="BI14" i="28"/>
  <c r="BI4" i="36"/>
  <c r="BI15" i="36"/>
  <c r="BI13" i="36"/>
  <c r="BI7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6" i="28" s="1"/>
  <c r="V22" i="34"/>
  <c r="BT9" i="34" s="1"/>
  <c r="AE22" i="28"/>
  <c r="BT9" i="28" s="1"/>
  <c r="G22" i="34"/>
  <c r="G40" i="34" s="1"/>
  <c r="BI11" i="28"/>
  <c r="BB37" i="16"/>
  <c r="AK22" i="28"/>
  <c r="AK40" i="28" s="1"/>
  <c r="G22" i="28"/>
  <c r="BV7" i="28" s="1"/>
  <c r="M22" i="28"/>
  <c r="M40" i="28" s="1"/>
  <c r="P22" i="28"/>
  <c r="BV11" i="28" s="1"/>
  <c r="BW11" i="28" s="1"/>
  <c r="S22" i="28"/>
  <c r="BT12" i="28" s="1"/>
  <c r="J22" i="28"/>
  <c r="BV8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3" i="32"/>
  <c r="BS13" i="32" s="1"/>
  <c r="BR14" i="31"/>
  <c r="BS14" i="31" s="1"/>
  <c r="BR8" i="21"/>
  <c r="BS8" i="21" s="1"/>
  <c r="BR14" i="30"/>
  <c r="BS14" i="30" s="1"/>
  <c r="BR14" i="23"/>
  <c r="BS14" i="23" s="1"/>
  <c r="BR13" i="36"/>
  <c r="BS13" i="36" s="1"/>
  <c r="AF27" i="16"/>
  <c r="BR13" i="33"/>
  <c r="BS13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10" i="32"/>
  <c r="BS10" i="32" s="1"/>
  <c r="BR6" i="21"/>
  <c r="BS6" i="21" s="1"/>
  <c r="W23" i="16"/>
  <c r="AW34" i="16" s="1"/>
  <c r="AX34" i="16" s="1"/>
  <c r="BR10" i="34"/>
  <c r="BS10" i="34" s="1"/>
  <c r="BR7" i="23"/>
  <c r="BS7" i="23" s="1"/>
  <c r="BR5" i="30"/>
  <c r="BS5" i="30" s="1"/>
  <c r="BR10" i="33"/>
  <c r="BS10" i="33" s="1"/>
  <c r="W25" i="16"/>
  <c r="BR11" i="20"/>
  <c r="BS11" i="20" s="1"/>
  <c r="W22" i="16"/>
  <c r="CC42" i="16" s="1"/>
  <c r="W27" i="16"/>
  <c r="BR5" i="29"/>
  <c r="BS5" i="29" s="1"/>
  <c r="BR10" i="35"/>
  <c r="BS10" i="35" s="1"/>
  <c r="BR5" i="31"/>
  <c r="BS5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4" i="29"/>
  <c r="BS4" i="29" s="1"/>
  <c r="BR4" i="30"/>
  <c r="BS4" i="30" s="1"/>
  <c r="T24" i="16"/>
  <c r="BR4" i="31"/>
  <c r="BS4" i="31" s="1"/>
  <c r="BR5" i="26"/>
  <c r="BS5" i="26" s="1"/>
  <c r="BR13" i="21"/>
  <c r="BS13" i="21" s="1"/>
  <c r="CT5" i="16"/>
  <c r="BR8" i="27"/>
  <c r="BS8" i="27" s="1"/>
  <c r="AL23" i="16"/>
  <c r="AW35" i="16" s="1"/>
  <c r="AX35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6" i="30"/>
  <c r="BS6" i="30" s="1"/>
  <c r="BR15" i="36"/>
  <c r="BS15" i="36" s="1"/>
  <c r="BR15" i="33"/>
  <c r="BS15" i="33" s="1"/>
  <c r="BR6" i="29"/>
  <c r="BS6" i="29" s="1"/>
  <c r="BR15" i="34"/>
  <c r="BS15" i="34" s="1"/>
  <c r="BR6" i="31"/>
  <c r="BS6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39" i="16" s="1"/>
  <c r="AX39" i="16" s="1"/>
  <c r="BR12" i="29"/>
  <c r="BS12" i="29" s="1"/>
  <c r="BR10" i="31"/>
  <c r="BS10" i="31" s="1"/>
  <c r="BR12" i="21"/>
  <c r="BS12" i="21" s="1"/>
  <c r="BR12" i="27"/>
  <c r="BS12" i="27" s="1"/>
  <c r="BR12" i="24"/>
  <c r="BS12" i="24" s="1"/>
  <c r="BR10" i="30"/>
  <c r="BS10" i="30" s="1"/>
  <c r="BR8" i="32"/>
  <c r="BS8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5" i="31"/>
  <c r="BS15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5" i="28"/>
  <c r="BS15" i="28" s="1"/>
  <c r="BR15" i="30"/>
  <c r="BS15" i="30" s="1"/>
  <c r="AI22" i="16"/>
  <c r="CO42" i="16" s="1"/>
  <c r="BR14" i="33"/>
  <c r="BS14" i="33" s="1"/>
  <c r="AI24" i="16"/>
  <c r="BR15" i="25"/>
  <c r="BS15" i="25" s="1"/>
  <c r="BS5" i="16"/>
  <c r="K27" i="16"/>
  <c r="BR11" i="30"/>
  <c r="BS11" i="30" s="1"/>
  <c r="BR10" i="26"/>
  <c r="BS10" i="26" s="1"/>
  <c r="BR6" i="32"/>
  <c r="BS6" i="32" s="1"/>
  <c r="K22" i="16"/>
  <c r="BQ42" i="16" s="1"/>
  <c r="BR6" i="35"/>
  <c r="BS6" i="35" s="1"/>
  <c r="BR10" i="28"/>
  <c r="BS10" i="28" s="1"/>
  <c r="K24" i="16"/>
  <c r="BR6" i="33"/>
  <c r="BS6" i="33" s="1"/>
  <c r="BR7" i="20"/>
  <c r="BS7" i="20" s="1"/>
  <c r="BR10" i="27"/>
  <c r="BS10" i="27" s="1"/>
  <c r="BR10" i="29"/>
  <c r="BS10" i="29" s="1"/>
  <c r="K23" i="16"/>
  <c r="AW40" i="16" s="1"/>
  <c r="AX40" i="16" s="1"/>
  <c r="BR10" i="21"/>
  <c r="BS10" i="21" s="1"/>
  <c r="BR10" i="24"/>
  <c r="BS10" i="24" s="1"/>
  <c r="BR11" i="31"/>
  <c r="BS11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1" i="16" s="1"/>
  <c r="AX41" i="16" s="1"/>
  <c r="BR7" i="32"/>
  <c r="BS7" i="32" s="1"/>
  <c r="N27" i="16"/>
  <c r="BR12" i="31"/>
  <c r="BS12" i="31" s="1"/>
  <c r="BR11" i="24"/>
  <c r="BS11" i="24" s="1"/>
  <c r="BR12" i="30"/>
  <c r="BS12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3" i="23"/>
  <c r="BS13" i="23" s="1"/>
  <c r="BR13" i="27"/>
  <c r="BS13" i="27" s="1"/>
  <c r="BR12" i="20"/>
  <c r="BS12" i="20" s="1"/>
  <c r="BR13" i="28"/>
  <c r="BS13" i="28" s="1"/>
  <c r="BR14" i="21"/>
  <c r="BS14" i="21" s="1"/>
  <c r="BR13" i="26"/>
  <c r="BS13" i="26" s="1"/>
  <c r="G58" i="20"/>
  <c r="AE58" i="20"/>
  <c r="BB44" i="16"/>
  <c r="BB35" i="16"/>
  <c r="BV6" i="1"/>
  <c r="BB38" i="16"/>
  <c r="BT6" i="1"/>
  <c r="BB34" i="16"/>
  <c r="BB36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5" i="16"/>
  <c r="AZ40" i="16"/>
  <c r="AZ38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39" i="16"/>
  <c r="BT4" i="1"/>
  <c r="BV4" i="1"/>
  <c r="BW4" i="1" s="1"/>
  <c r="J40" i="1"/>
  <c r="AZ34" i="16"/>
  <c r="AK40" i="20"/>
  <c r="BV14" i="20"/>
  <c r="BT14" i="20"/>
  <c r="BT12" i="20"/>
  <c r="BV12" i="20"/>
  <c r="AB40" i="20"/>
  <c r="BT8" i="1"/>
  <c r="BV8" i="1"/>
  <c r="BW8" i="1" s="1"/>
  <c r="M40" i="1"/>
  <c r="AZ37" i="16"/>
  <c r="BV12" i="1"/>
  <c r="Y40" i="1"/>
  <c r="BT12" i="1"/>
  <c r="AZ36" i="16"/>
  <c r="AZ41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K25" i="16" l="1"/>
  <c r="BR13" i="30"/>
  <c r="BS13" i="30" s="1"/>
  <c r="BT13" i="27"/>
  <c r="BU13" i="27" s="1"/>
  <c r="BR6" i="36"/>
  <c r="BS6" i="36" s="1"/>
  <c r="Z23" i="16"/>
  <c r="AW42" i="16" s="1"/>
  <c r="AX42" i="16" s="1"/>
  <c r="AU42" i="16" s="1"/>
  <c r="Z27" i="16"/>
  <c r="Z25" i="16"/>
  <c r="BR11" i="35"/>
  <c r="BS11" i="35" s="1"/>
  <c r="Z24" i="16"/>
  <c r="BR13" i="31"/>
  <c r="BS13" i="31" s="1"/>
  <c r="BV5" i="26"/>
  <c r="BW5" i="26" s="1"/>
  <c r="CO13" i="16"/>
  <c r="BK13" i="16"/>
  <c r="Z22" i="16"/>
  <c r="CF42" i="16" s="1"/>
  <c r="BR11" i="32"/>
  <c r="BS11" i="32" s="1"/>
  <c r="BR11" i="33"/>
  <c r="BS11" i="33" s="1"/>
  <c r="BR13" i="29"/>
  <c r="BS13" i="29" s="1"/>
  <c r="BR11" i="34"/>
  <c r="BS11" i="34" s="1"/>
  <c r="BR11" i="36"/>
  <c r="BS11" i="36" s="1"/>
  <c r="CF13" i="16"/>
  <c r="G49" i="29"/>
  <c r="B1" i="29" s="1"/>
  <c r="BT13" i="16"/>
  <c r="BQ13" i="16"/>
  <c r="CI13" i="16"/>
  <c r="CC13" i="16"/>
  <c r="BZ13" i="16"/>
  <c r="BN13" i="16"/>
  <c r="BW13" i="16"/>
  <c r="CR13" i="16"/>
  <c r="CL13" i="16"/>
  <c r="BT4" i="31"/>
  <c r="BU4" i="31" s="1"/>
  <c r="BP4" i="31" s="1"/>
  <c r="V40" i="31"/>
  <c r="BV14" i="23"/>
  <c r="AH40" i="23"/>
  <c r="BV9" i="35"/>
  <c r="BW9" i="35" s="1"/>
  <c r="BT9" i="35"/>
  <c r="BU9" i="35" s="1"/>
  <c r="BT14" i="33"/>
  <c r="BV14" i="33"/>
  <c r="BV7" i="30"/>
  <c r="V40" i="30"/>
  <c r="Y40" i="35"/>
  <c r="BV10" i="30"/>
  <c r="BW10" i="30" s="1"/>
  <c r="BV14" i="35"/>
  <c r="BV15" i="30"/>
  <c r="S40" i="35"/>
  <c r="S40" i="30"/>
  <c r="BT14" i="35"/>
  <c r="BT7" i="30"/>
  <c r="BT8" i="35"/>
  <c r="BU8" i="35" s="1"/>
  <c r="BP8" i="35" s="1"/>
  <c r="BV4" i="30"/>
  <c r="BW4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V15" i="35"/>
  <c r="Y40" i="30"/>
  <c r="BT5" i="30"/>
  <c r="AN40" i="35"/>
  <c r="AB40" i="35"/>
  <c r="BV13" i="35"/>
  <c r="BT13" i="30"/>
  <c r="BU13" i="30" s="1"/>
  <c r="BT12" i="35"/>
  <c r="BT9" i="31"/>
  <c r="BU9" i="31" s="1"/>
  <c r="BT5" i="35"/>
  <c r="BT6" i="30"/>
  <c r="BV9" i="30"/>
  <c r="BW9" i="30" s="1"/>
  <c r="BV11" i="30"/>
  <c r="AH40" i="30"/>
  <c r="BV6" i="30"/>
  <c r="BT8" i="30"/>
  <c r="BU8" i="30" s="1"/>
  <c r="BT14" i="30"/>
  <c r="BV9" i="21"/>
  <c r="BT11" i="30"/>
  <c r="J40" i="35"/>
  <c r="BV7" i="31"/>
  <c r="G40" i="30"/>
  <c r="Y40" i="32"/>
  <c r="BT10" i="25"/>
  <c r="BT12" i="30"/>
  <c r="BU12" i="30" s="1"/>
  <c r="BV9" i="31"/>
  <c r="BW9" i="31" s="1"/>
  <c r="BT13" i="31"/>
  <c r="BU13" i="31" s="1"/>
  <c r="BT10" i="31"/>
  <c r="BU10" i="31" s="1"/>
  <c r="BP10" i="31" s="1"/>
  <c r="BV12" i="30"/>
  <c r="BW12" i="30" s="1"/>
  <c r="BV13" i="31"/>
  <c r="BW13" i="31" s="1"/>
  <c r="J40" i="30"/>
  <c r="BT8" i="27"/>
  <c r="BT8" i="29"/>
  <c r="BU8" i="29" s="1"/>
  <c r="BT9" i="27"/>
  <c r="BV14" i="32"/>
  <c r="BT12" i="25"/>
  <c r="BU12" i="25" s="1"/>
  <c r="BT5" i="31"/>
  <c r="BV4" i="36"/>
  <c r="BW4" i="36" s="1"/>
  <c r="BT14" i="31"/>
  <c r="BT10" i="33"/>
  <c r="BV12" i="29"/>
  <c r="BW12" i="29" s="1"/>
  <c r="BV14" i="31"/>
  <c r="BT7" i="24"/>
  <c r="BV11" i="33"/>
  <c r="BW11" i="33" s="1"/>
  <c r="BT7" i="32"/>
  <c r="BU7" i="32" s="1"/>
  <c r="BT15" i="32"/>
  <c r="J40" i="33"/>
  <c r="BT15" i="33"/>
  <c r="BT8" i="31"/>
  <c r="BU8" i="31" s="1"/>
  <c r="M40" i="31"/>
  <c r="AH40" i="33"/>
  <c r="AB40" i="33"/>
  <c r="V40" i="23"/>
  <c r="BT5" i="33"/>
  <c r="BU5" i="33" s="1"/>
  <c r="BV7" i="27"/>
  <c r="BW7" i="27" s="1"/>
  <c r="AN40" i="24"/>
  <c r="BT14" i="28"/>
  <c r="AH40" i="34"/>
  <c r="BV14" i="27"/>
  <c r="BT9" i="21"/>
  <c r="BU9" i="21" s="1"/>
  <c r="AN40" i="32"/>
  <c r="BV8" i="31"/>
  <c r="BW8" i="31" s="1"/>
  <c r="BT15" i="34"/>
  <c r="S40" i="29"/>
  <c r="Y40" i="33"/>
  <c r="BT7" i="31"/>
  <c r="BT11" i="3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5" i="29"/>
  <c r="BV8" i="23"/>
  <c r="V40" i="27"/>
  <c r="BT10" i="26"/>
  <c r="BU10" i="26" s="1"/>
  <c r="BP10" i="26" s="1"/>
  <c r="BT6" i="23"/>
  <c r="BU6" i="23" s="1"/>
  <c r="BV7" i="29"/>
  <c r="BV5" i="31"/>
  <c r="BT13" i="32"/>
  <c r="AH40" i="29"/>
  <c r="BV11" i="32"/>
  <c r="BW11" i="32" s="1"/>
  <c r="BV6" i="31"/>
  <c r="AB40" i="25"/>
  <c r="V40" i="32"/>
  <c r="AN40" i="31"/>
  <c r="S40" i="33"/>
  <c r="BT7" i="28"/>
  <c r="BV4" i="28"/>
  <c r="BW4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4" i="29"/>
  <c r="BU4" i="29" s="1"/>
  <c r="AE40" i="32"/>
  <c r="BT10" i="36"/>
  <c r="BV12" i="33"/>
  <c r="AE40" i="33"/>
  <c r="BV12" i="25"/>
  <c r="BW12" i="25" s="1"/>
  <c r="BT6" i="33"/>
  <c r="V40" i="33"/>
  <c r="BV15" i="25"/>
  <c r="BT15" i="31"/>
  <c r="BV8" i="32"/>
  <c r="BW8" i="32" s="1"/>
  <c r="BV4" i="29"/>
  <c r="BW4" i="29" s="1"/>
  <c r="BV9" i="23"/>
  <c r="BW9" i="23" s="1"/>
  <c r="BV6" i="25"/>
  <c r="BW6" i="25" s="1"/>
  <c r="BV15" i="31"/>
  <c r="BT6" i="25"/>
  <c r="BT12" i="31"/>
  <c r="BU12" i="31" s="1"/>
  <c r="BP12" i="31" s="1"/>
  <c r="BT7" i="25"/>
  <c r="BU7" i="25" s="1"/>
  <c r="BP7" i="25" s="1"/>
  <c r="BV6" i="33"/>
  <c r="BV10" i="25"/>
  <c r="BT15" i="27"/>
  <c r="BT11" i="28"/>
  <c r="BU11" i="28" s="1"/>
  <c r="BP11" i="28" s="1"/>
  <c r="S40" i="31"/>
  <c r="BV9" i="36"/>
  <c r="BW9" i="36" s="1"/>
  <c r="BV9" i="24"/>
  <c r="BT10" i="32"/>
  <c r="BT9" i="23"/>
  <c r="BU9" i="23" s="1"/>
  <c r="BT12" i="32"/>
  <c r="BT4" i="21"/>
  <c r="BU4" i="21" s="1"/>
  <c r="BT13" i="28"/>
  <c r="BU13" i="28" s="1"/>
  <c r="G40" i="29"/>
  <c r="S40" i="32"/>
  <c r="BT13" i="24"/>
  <c r="BU13" i="24" s="1"/>
  <c r="BP13" i="24" s="1"/>
  <c r="BT9" i="33"/>
  <c r="BU9" i="33" s="1"/>
  <c r="BP9" i="33" s="1"/>
  <c r="AH40" i="36"/>
  <c r="J40" i="29"/>
  <c r="BT6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4" i="29"/>
  <c r="BT13" i="29"/>
  <c r="BU13" i="29" s="1"/>
  <c r="BV6" i="24"/>
  <c r="BW6" i="24" s="1"/>
  <c r="BV12" i="34"/>
  <c r="S40" i="21"/>
  <c r="AB40" i="34"/>
  <c r="BT8" i="21"/>
  <c r="BU8" i="21" s="1"/>
  <c r="BV10" i="27"/>
  <c r="AK40" i="25"/>
  <c r="AK40" i="21"/>
  <c r="BV5" i="27"/>
  <c r="BV13" i="29"/>
  <c r="BW13" i="29" s="1"/>
  <c r="Y40" i="25"/>
  <c r="BV15" i="27"/>
  <c r="BT12" i="34"/>
  <c r="G40" i="21"/>
  <c r="BV8" i="21"/>
  <c r="BV10" i="29"/>
  <c r="AN40" i="27"/>
  <c r="BV9" i="34"/>
  <c r="BW9" i="34" s="1"/>
  <c r="P40" i="28"/>
  <c r="BV6" i="36"/>
  <c r="BT13" i="36"/>
  <c r="BV7" i="26"/>
  <c r="BW7" i="26" s="1"/>
  <c r="BV9" i="29"/>
  <c r="BW9" i="29" s="1"/>
  <c r="BT5" i="32"/>
  <c r="BU5" i="32" s="1"/>
  <c r="M40" i="27"/>
  <c r="BV14" i="34"/>
  <c r="BT7" i="21"/>
  <c r="BV4" i="25"/>
  <c r="BW4" i="25" s="1"/>
  <c r="BV11" i="29"/>
  <c r="BW11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6" i="28"/>
  <c r="AN40" i="25"/>
  <c r="BV15" i="23"/>
  <c r="BT10" i="28"/>
  <c r="BU10" i="28" s="1"/>
  <c r="AU43" i="16"/>
  <c r="BT9" i="25"/>
  <c r="AB40" i="28"/>
  <c r="Y40" i="23"/>
  <c r="BV12" i="24"/>
  <c r="BW12" i="24" s="1"/>
  <c r="BT6" i="32"/>
  <c r="BV14" i="25"/>
  <c r="BW14" i="25" s="1"/>
  <c r="BV12" i="28"/>
  <c r="BW12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5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5" i="29"/>
  <c r="BT13" i="34"/>
  <c r="BT8" i="23"/>
  <c r="BV4" i="27"/>
  <c r="BW4" i="27" s="1"/>
  <c r="BT11" i="24"/>
  <c r="BU11" i="24" s="1"/>
  <c r="BP11" i="24" s="1"/>
  <c r="BT5" i="25"/>
  <c r="BV14" i="28"/>
  <c r="BV5" i="29"/>
  <c r="BW8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T5" i="34"/>
  <c r="BU5" i="34" s="1"/>
  <c r="BV6" i="21"/>
  <c r="BW6" i="21" s="1"/>
  <c r="S40" i="28"/>
  <c r="BT7" i="34"/>
  <c r="BU7" i="34" s="1"/>
  <c r="BP7" i="34" s="1"/>
  <c r="M40" i="34"/>
  <c r="BV10" i="28"/>
  <c r="AE40" i="21"/>
  <c r="BT15" i="21"/>
  <c r="AU38" i="16"/>
  <c r="BV4" i="34"/>
  <c r="G40" i="28"/>
  <c r="AU33" i="16"/>
  <c r="BT8" i="28"/>
  <c r="BU8" i="28" s="1"/>
  <c r="Y40" i="34"/>
  <c r="BV15" i="34"/>
  <c r="BT4" i="28"/>
  <c r="BU4" i="28" s="1"/>
  <c r="S40" i="34"/>
  <c r="BT10" i="34"/>
  <c r="BT8" i="34"/>
  <c r="BU8" i="34" s="1"/>
  <c r="BP8" i="34" s="1"/>
  <c r="BW8" i="30"/>
  <c r="BT15" i="28"/>
  <c r="AE40" i="28"/>
  <c r="BW6" i="27"/>
  <c r="BW4" i="35"/>
  <c r="BW4" i="21"/>
  <c r="BW5" i="25"/>
  <c r="AU39" i="16"/>
  <c r="AU40" i="16"/>
  <c r="AU41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7" i="31"/>
  <c r="BS7" i="31" s="1"/>
  <c r="BR9" i="25"/>
  <c r="BS9" i="25" s="1"/>
  <c r="AC23" i="16"/>
  <c r="AW36" i="16" s="1"/>
  <c r="AX36" i="16" s="1"/>
  <c r="AU36" i="16" s="1"/>
  <c r="BR9" i="26"/>
  <c r="BS9" i="26" s="1"/>
  <c r="AC25" i="16"/>
  <c r="BR12" i="34"/>
  <c r="BS12" i="34" s="1"/>
  <c r="BR7" i="30"/>
  <c r="BS7" i="30" s="1"/>
  <c r="BR12" i="33"/>
  <c r="BS12" i="33" s="1"/>
  <c r="BR6" i="20"/>
  <c r="BS6" i="20" s="1"/>
  <c r="BR12" i="32"/>
  <c r="BS12" i="32" s="1"/>
  <c r="BR7" i="29"/>
  <c r="BS7" i="29" s="1"/>
  <c r="AC24" i="16"/>
  <c r="BR9" i="28"/>
  <c r="BS9" i="28" s="1"/>
  <c r="BR8" i="23"/>
  <c r="BS8" i="23" s="1"/>
  <c r="BM5" i="16"/>
  <c r="E22" i="16"/>
  <c r="BK42" i="16" s="1"/>
  <c r="BR8" i="30"/>
  <c r="BS8" i="30" s="1"/>
  <c r="BR5" i="23"/>
  <c r="BS5" i="23" s="1"/>
  <c r="BR4" i="35"/>
  <c r="BS4" i="35" s="1"/>
  <c r="BR4" i="34"/>
  <c r="BS4" i="34" s="1"/>
  <c r="BR8" i="29"/>
  <c r="BS8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4" i="32"/>
  <c r="BS4" i="32" s="1"/>
  <c r="BR7" i="28"/>
  <c r="BS7" i="28" s="1"/>
  <c r="BR4" i="21"/>
  <c r="BS4" i="21" s="1"/>
  <c r="E23" i="16"/>
  <c r="AW37" i="16" s="1"/>
  <c r="AX37" i="16" s="1"/>
  <c r="AU37" i="16" s="1"/>
  <c r="BR8" i="31"/>
  <c r="BS8" i="31" s="1"/>
  <c r="BR5" i="25"/>
  <c r="BS5" i="25" s="1"/>
  <c r="BU5" i="26"/>
  <c r="AU44" i="16"/>
  <c r="AU35" i="16"/>
  <c r="BW7" i="21"/>
  <c r="BW6" i="1"/>
  <c r="BW14" i="20"/>
  <c r="BW15" i="20"/>
  <c r="BW5" i="1"/>
  <c r="BW5" i="35"/>
  <c r="BW8" i="28"/>
  <c r="BW5" i="33"/>
  <c r="BW5" i="21"/>
  <c r="BW5" i="20"/>
  <c r="BU4" i="25"/>
  <c r="AU34" i="16"/>
  <c r="BW12" i="1"/>
  <c r="BW4" i="24"/>
  <c r="BW11" i="20"/>
  <c r="BW14" i="1"/>
  <c r="BU11" i="36"/>
  <c r="BW6" i="20"/>
  <c r="BW12" i="20"/>
  <c r="BW13" i="28"/>
  <c r="BW13" i="1"/>
  <c r="BW13" i="30"/>
  <c r="BW13" i="27"/>
  <c r="BU8" i="1"/>
  <c r="BP8" i="1" s="1"/>
  <c r="BU8" i="20"/>
  <c r="BP8" i="20" s="1"/>
  <c r="BU12" i="20"/>
  <c r="BU11" i="1"/>
  <c r="BP11" i="1" s="1"/>
  <c r="BU12" i="28"/>
  <c r="BU11" i="35"/>
  <c r="BU9" i="30"/>
  <c r="BU7" i="1"/>
  <c r="BP7" i="1" s="1"/>
  <c r="BU4" i="20"/>
  <c r="BU13" i="26"/>
  <c r="BU9" i="29"/>
  <c r="BU11" i="20"/>
  <c r="BU4" i="33"/>
  <c r="BU5" i="1"/>
  <c r="BU10" i="29"/>
  <c r="BU9" i="1"/>
  <c r="BP9" i="1" s="1"/>
  <c r="BU14" i="1"/>
  <c r="BU12" i="27"/>
  <c r="BU11" i="33"/>
  <c r="BU14" i="25"/>
  <c r="BU12" i="1"/>
  <c r="BU12" i="21"/>
  <c r="BU10" i="30"/>
  <c r="BU6" i="20"/>
  <c r="BU11" i="34"/>
  <c r="BU12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11" i="29"/>
  <c r="BU4" i="27"/>
  <c r="BU14" i="20"/>
  <c r="BU7" i="20"/>
  <c r="BP7" i="20" s="1"/>
  <c r="BU8" i="33"/>
  <c r="BU7" i="27"/>
  <c r="BU11" i="21"/>
  <c r="BU11" i="32"/>
  <c r="BU4" i="30"/>
  <c r="BU9" i="20"/>
  <c r="BP9" i="20" s="1"/>
  <c r="AR41" i="20"/>
  <c r="AR40" i="20"/>
  <c r="BU13" i="1"/>
  <c r="BP11" i="36" l="1"/>
  <c r="BU6" i="34"/>
  <c r="BU6" i="36"/>
  <c r="BU6" i="35"/>
  <c r="BU11" i="31"/>
  <c r="BU11" i="30"/>
  <c r="BU6" i="32"/>
  <c r="BP5" i="26"/>
  <c r="BU5" i="27"/>
  <c r="BU10" i="35"/>
  <c r="BU10" i="34"/>
  <c r="BU10" i="32"/>
  <c r="BU5" i="29"/>
  <c r="BU5" i="28"/>
  <c r="BU5" i="30"/>
  <c r="BU5" i="31"/>
  <c r="BU10" i="36"/>
  <c r="BU10" i="33"/>
  <c r="BW6" i="33"/>
  <c r="BW10" i="28"/>
  <c r="BP10" i="28" s="1"/>
  <c r="BW10" i="27"/>
  <c r="BP10" i="27" s="1"/>
  <c r="BW6" i="35"/>
  <c r="BW6" i="34"/>
  <c r="BW6" i="32"/>
  <c r="BW6" i="36"/>
  <c r="BW10" i="29"/>
  <c r="BP10" i="29" s="1"/>
  <c r="BW11" i="30"/>
  <c r="BW11" i="31"/>
  <c r="BW10" i="36"/>
  <c r="BW10" i="32"/>
  <c r="BW10" i="34"/>
  <c r="BW4" i="26"/>
  <c r="BP4" i="26" s="1"/>
  <c r="BW5" i="27"/>
  <c r="BW5" i="31"/>
  <c r="BW5" i="30"/>
  <c r="BW5" i="28"/>
  <c r="BW10" i="33"/>
  <c r="BW10" i="35"/>
  <c r="BP10" i="35" s="1"/>
  <c r="BU8" i="24"/>
  <c r="BU14" i="29"/>
  <c r="BW15" i="28"/>
  <c r="BP9" i="35"/>
  <c r="BU12" i="33"/>
  <c r="BU7" i="31"/>
  <c r="BU9" i="27"/>
  <c r="BU7" i="30"/>
  <c r="BU12" i="35"/>
  <c r="BU12" i="32"/>
  <c r="BU15" i="36"/>
  <c r="BU8" i="27"/>
  <c r="BW12" i="35"/>
  <c r="BU8" i="26"/>
  <c r="BU8" i="25"/>
  <c r="BU4" i="23"/>
  <c r="BU15" i="34"/>
  <c r="BU7" i="24"/>
  <c r="BU6" i="30"/>
  <c r="BU15" i="33"/>
  <c r="BW7" i="30"/>
  <c r="BU6" i="29"/>
  <c r="BU15" i="32"/>
  <c r="BU6" i="28"/>
  <c r="BU6" i="31"/>
  <c r="BU15" i="35"/>
  <c r="BU10" i="25"/>
  <c r="BW14" i="35"/>
  <c r="BU14" i="23"/>
  <c r="BW15" i="29"/>
  <c r="BW15" i="23"/>
  <c r="BW14" i="34"/>
  <c r="BU13" i="32"/>
  <c r="BU14" i="31"/>
  <c r="BW14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4" i="28"/>
  <c r="BU14" i="30"/>
  <c r="BW15" i="30"/>
  <c r="BP10" i="30"/>
  <c r="BP7" i="35"/>
  <c r="BP4" i="30"/>
  <c r="BW15" i="35"/>
  <c r="BU14" i="35"/>
  <c r="BU5" i="35"/>
  <c r="BP5" i="35" s="1"/>
  <c r="BW13" i="35"/>
  <c r="AR40" i="35"/>
  <c r="AR41" i="35"/>
  <c r="BP12" i="30"/>
  <c r="AR41" i="30"/>
  <c r="BU15" i="30"/>
  <c r="BW14" i="30"/>
  <c r="AR40" i="30"/>
  <c r="BW6" i="30"/>
  <c r="BP7" i="32"/>
  <c r="BP12" i="29"/>
  <c r="BP12" i="27"/>
  <c r="BP12" i="25"/>
  <c r="BP12" i="21"/>
  <c r="BP4" i="28"/>
  <c r="BU15" i="27"/>
  <c r="BW14" i="31"/>
  <c r="BP9" i="23"/>
  <c r="BW7" i="31"/>
  <c r="BP11" i="21"/>
  <c r="BP11" i="29"/>
  <c r="BU15" i="31"/>
  <c r="BW6" i="31"/>
  <c r="BP9" i="34"/>
  <c r="BW12" i="32"/>
  <c r="BP8" i="32"/>
  <c r="BW8" i="26"/>
  <c r="BP13" i="29"/>
  <c r="AR40" i="32"/>
  <c r="AR40" i="31"/>
  <c r="BW9" i="26"/>
  <c r="BU14" i="34"/>
  <c r="AR40" i="24"/>
  <c r="BW9" i="21"/>
  <c r="BP9" i="21" s="1"/>
  <c r="AR40" i="29"/>
  <c r="BU14" i="33"/>
  <c r="BU14" i="32"/>
  <c r="BW15" i="34"/>
  <c r="BW9" i="24"/>
  <c r="BW15" i="21"/>
  <c r="BW15" i="32"/>
  <c r="BW15" i="31"/>
  <c r="BU6" i="33"/>
  <c r="BW13" i="32"/>
  <c r="BW12" i="34"/>
  <c r="BW15" i="36"/>
  <c r="BW7" i="24"/>
  <c r="BW9" i="28"/>
  <c r="AR41" i="33"/>
  <c r="BP13" i="25"/>
  <c r="AR41" i="29"/>
  <c r="M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W9" i="27"/>
  <c r="BW4" i="23"/>
  <c r="BU15" i="29"/>
  <c r="BW7" i="29"/>
  <c r="BW12" i="36"/>
  <c r="BW8" i="23"/>
  <c r="BW8" i="27"/>
  <c r="BW6" i="28"/>
  <c r="BW6" i="29"/>
  <c r="BU15" i="24"/>
  <c r="BP9" i="36"/>
  <c r="BP11" i="25"/>
  <c r="BP4" i="29"/>
  <c r="BU6" i="25"/>
  <c r="BP6" i="25" s="1"/>
  <c r="BW9" i="25"/>
  <c r="BU15" i="28"/>
  <c r="BU4" i="34"/>
  <c r="BU7" i="28"/>
  <c r="AR41" i="31"/>
  <c r="AN2" i="31" s="1"/>
  <c r="BU9" i="25"/>
  <c r="BU5" i="23"/>
  <c r="BP5" i="23" s="1"/>
  <c r="BU4" i="36"/>
  <c r="BP4" i="36" s="1"/>
  <c r="BU12" i="36"/>
  <c r="AR40" i="25"/>
  <c r="BW13" i="33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AR41" i="27"/>
  <c r="AR41" i="25"/>
  <c r="BW13" i="34"/>
  <c r="AR40" i="36"/>
  <c r="G2" i="36" s="1"/>
  <c r="BW14" i="23"/>
  <c r="BW14" i="26"/>
  <c r="BW13" i="36"/>
  <c r="AR41" i="26"/>
  <c r="Y2" i="26" s="1"/>
  <c r="AR41" i="28"/>
  <c r="BW10" i="25"/>
  <c r="BP11" i="27"/>
  <c r="BP12" i="28"/>
  <c r="BU7" i="29"/>
  <c r="AR40" i="34"/>
  <c r="BU8" i="23"/>
  <c r="BP10" i="21"/>
  <c r="BU9" i="24"/>
  <c r="BW13" i="26"/>
  <c r="BP13" i="26" s="1"/>
  <c r="BU15" i="21"/>
  <c r="BW14" i="27"/>
  <c r="BW14" i="29"/>
  <c r="AR41" i="36"/>
  <c r="BW4" i="34"/>
  <c r="BW14" i="28"/>
  <c r="AR40" i="27"/>
  <c r="AR40" i="28"/>
  <c r="BW8" i="21"/>
  <c r="BP8" i="21" s="1"/>
  <c r="BW6" i="26"/>
  <c r="BP6" i="26" s="1"/>
  <c r="AR40" i="21"/>
  <c r="AK2" i="21" s="1"/>
  <c r="BP4" i="27"/>
  <c r="BW5" i="29"/>
  <c r="AR40" i="26"/>
  <c r="AR41" i="21"/>
  <c r="AH2" i="21" s="1"/>
  <c r="AR41" i="34"/>
  <c r="G2" i="34" s="1"/>
  <c r="BU12" i="34"/>
  <c r="BW7" i="28"/>
  <c r="BT5" i="16"/>
  <c r="N26" i="16" s="1"/>
  <c r="BU9" i="28"/>
  <c r="G2" i="23"/>
  <c r="BP4" i="20"/>
  <c r="BP6" i="27"/>
  <c r="BP5" i="24"/>
  <c r="BP8" i="30"/>
  <c r="BP4" i="21"/>
  <c r="BP8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8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5" i="32"/>
  <c r="BP5" i="21"/>
  <c r="BP14" i="1"/>
  <c r="BP9" i="29"/>
  <c r="BP6" i="23"/>
  <c r="BP7" i="23"/>
  <c r="BP5" i="33"/>
  <c r="BP9" i="30"/>
  <c r="BP5" i="34"/>
  <c r="BP9" i="31"/>
  <c r="BP11" i="20"/>
  <c r="BP13" i="23"/>
  <c r="BP6" i="20"/>
  <c r="BP8" i="28"/>
  <c r="Y2" i="23"/>
  <c r="BP14" i="25"/>
  <c r="BP6" i="24"/>
  <c r="J2" i="23"/>
  <c r="BP11" i="32"/>
  <c r="BP7" i="27"/>
  <c r="BP5" i="20"/>
  <c r="BP13" i="27"/>
  <c r="BP14" i="21"/>
  <c r="BP4" i="25"/>
  <c r="BP13" i="31"/>
  <c r="BP11" i="34"/>
  <c r="BP12" i="20"/>
  <c r="BP4" i="24"/>
  <c r="BP12" i="1"/>
  <c r="BP13" i="1"/>
  <c r="AB2" i="23"/>
  <c r="BP14" i="24"/>
  <c r="BP13" i="28"/>
  <c r="BP13" i="30"/>
  <c r="BP11" i="33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G2" i="33"/>
  <c r="P2" i="33"/>
  <c r="S2" i="33"/>
  <c r="AB2" i="34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AB2" i="31"/>
  <c r="I2" i="16"/>
  <c r="R2" i="16"/>
  <c r="F2" i="16"/>
  <c r="U2" i="16"/>
  <c r="AA2" i="16"/>
  <c r="O2" i="16"/>
  <c r="BP14" i="31" l="1"/>
  <c r="BP11" i="30"/>
  <c r="BP6" i="34"/>
  <c r="BP6" i="36"/>
  <c r="BP5" i="27"/>
  <c r="M2" i="33"/>
  <c r="BP11" i="31"/>
  <c r="BP6" i="32"/>
  <c r="BP6" i="35"/>
  <c r="M2" i="35"/>
  <c r="M2" i="31"/>
  <c r="BP10" i="34"/>
  <c r="BP5" i="30"/>
  <c r="BP6" i="33"/>
  <c r="BP10" i="36"/>
  <c r="BP5" i="29"/>
  <c r="BP10" i="32"/>
  <c r="BP5" i="28"/>
  <c r="Y2" i="32"/>
  <c r="Y2" i="35"/>
  <c r="BP14" i="27"/>
  <c r="BP8" i="24"/>
  <c r="BP15" i="29"/>
  <c r="BP15" i="24"/>
  <c r="BP5" i="31"/>
  <c r="Y2" i="36"/>
  <c r="Y2" i="30"/>
  <c r="Y2" i="28"/>
  <c r="Y2" i="27"/>
  <c r="BP10" i="33"/>
  <c r="Y2" i="33"/>
  <c r="BP14" i="36"/>
  <c r="BP14" i="32"/>
  <c r="BP13" i="36"/>
  <c r="BP13" i="34"/>
  <c r="BP14" i="33"/>
  <c r="M2" i="34"/>
  <c r="M2" i="36"/>
  <c r="M2" i="32"/>
  <c r="M2" i="30"/>
  <c r="M2" i="27"/>
  <c r="M2" i="28"/>
  <c r="AE2" i="29"/>
  <c r="Y2" i="31"/>
  <c r="Y2" i="29"/>
  <c r="Y2" i="34"/>
  <c r="BP14" i="29"/>
  <c r="AE2" i="35"/>
  <c r="BP10" i="25"/>
  <c r="BP15" i="28"/>
  <c r="BP15" i="32"/>
  <c r="BP8" i="25"/>
  <c r="BP9" i="27"/>
  <c r="BP12" i="33"/>
  <c r="BP7" i="31"/>
  <c r="BP12" i="32"/>
  <c r="BP7" i="30"/>
  <c r="BP12" i="35"/>
  <c r="BP15" i="36"/>
  <c r="BP8" i="27"/>
  <c r="BP14" i="23"/>
  <c r="BP15" i="34"/>
  <c r="AN2" i="30"/>
  <c r="BP8" i="26"/>
  <c r="AN2" i="24"/>
  <c r="BP6" i="28"/>
  <c r="BP15" i="33"/>
  <c r="AN2" i="28"/>
  <c r="AN2" i="27"/>
  <c r="AN2" i="32"/>
  <c r="BP6" i="30"/>
  <c r="BP4" i="23"/>
  <c r="BP15" i="23"/>
  <c r="BP6" i="29"/>
  <c r="BP7" i="24"/>
  <c r="AE2" i="32"/>
  <c r="AE2" i="30"/>
  <c r="AN2" i="23"/>
  <c r="BP6" i="31"/>
  <c r="BP15" i="35"/>
  <c r="AN2" i="33"/>
  <c r="AN2" i="35"/>
  <c r="BP14" i="35"/>
  <c r="AH2" i="26"/>
  <c r="AK2" i="33"/>
  <c r="BP14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4" i="30"/>
  <c r="AK2" i="34"/>
  <c r="BP14" i="26"/>
  <c r="AH2" i="25"/>
  <c r="AK2" i="24"/>
  <c r="AK2" i="32"/>
  <c r="BP15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5" i="31"/>
  <c r="AN2" i="36"/>
  <c r="AE2" i="36"/>
  <c r="BP9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7" i="29"/>
  <c r="AN2" i="34"/>
  <c r="AE2" i="34"/>
  <c r="AE2" i="23"/>
  <c r="BP9" i="25"/>
  <c r="AN2" i="21"/>
  <c r="BP7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M2" i="16"/>
  <c r="X2" i="16"/>
  <c r="AD2" i="16"/>
  <c r="AJ2" i="16"/>
  <c r="AG2" i="16"/>
  <c r="L2" i="16"/>
  <c r="BN12" i="36" l="1"/>
  <c r="BN5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5" i="27"/>
  <c r="BN10" i="27"/>
  <c r="BN6" i="27"/>
  <c r="BN4" i="27"/>
  <c r="BN14" i="32"/>
  <c r="BN8" i="32"/>
  <c r="BN13" i="32"/>
  <c r="BN15" i="32"/>
  <c r="BN13" i="29"/>
  <c r="BN15" i="33"/>
  <c r="BN9" i="33"/>
  <c r="BN15" i="24"/>
  <c r="BN9" i="31"/>
  <c r="BN15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4" i="30"/>
  <c r="BN14" i="33"/>
  <c r="BN4" i="33"/>
  <c r="BN11" i="33"/>
  <c r="BN7" i="33"/>
  <c r="BN6" i="33"/>
  <c r="BN13" i="33"/>
  <c r="BN9" i="30"/>
  <c r="BN11" i="25"/>
  <c r="BN14" i="35"/>
  <c r="BN15" i="35"/>
  <c r="BN12" i="35"/>
  <c r="BN11" i="35"/>
  <c r="BN5" i="30"/>
  <c r="BN7" i="35"/>
  <c r="BN6" i="35"/>
  <c r="BN12" i="30"/>
  <c r="BN4" i="30"/>
  <c r="BN13" i="30"/>
  <c r="BN8" i="30"/>
  <c r="BN6" i="30"/>
  <c r="BN11" i="30"/>
  <c r="BN10" i="30"/>
  <c r="BN7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3" i="31"/>
  <c r="BN6" i="31"/>
  <c r="BN14" i="31"/>
  <c r="BN8" i="34"/>
  <c r="BN12" i="31"/>
  <c r="BN5" i="31"/>
  <c r="BN8" i="31"/>
  <c r="BN10" i="31"/>
  <c r="BN14" i="34"/>
  <c r="BN14" i="28"/>
  <c r="BN15" i="31"/>
  <c r="BN4" i="31"/>
  <c r="BN11" i="31"/>
  <c r="BN11" i="36"/>
  <c r="BN7" i="31"/>
  <c r="BN13" i="24"/>
  <c r="BN8" i="24"/>
  <c r="BN14" i="24"/>
  <c r="BN7" i="24"/>
  <c r="BN5" i="24"/>
  <c r="BN11" i="23"/>
  <c r="BN15" i="34"/>
  <c r="BN13" i="28"/>
  <c r="BN8" i="28"/>
  <c r="BN10" i="28"/>
  <c r="BN7" i="34"/>
  <c r="BN11" i="34"/>
  <c r="BN11" i="24"/>
  <c r="BN12" i="34"/>
  <c r="BN9" i="23"/>
  <c r="BN7" i="23"/>
  <c r="BN6" i="23"/>
  <c r="BN8" i="23"/>
  <c r="BN13" i="23"/>
  <c r="BN9" i="24"/>
  <c r="BN13" i="34"/>
  <c r="BN10" i="29"/>
  <c r="BN14" i="23"/>
  <c r="BN10" i="23"/>
  <c r="BN12" i="23"/>
  <c r="BN4" i="23"/>
  <c r="BN15" i="23"/>
  <c r="BN4" i="36"/>
  <c r="BN9" i="28"/>
  <c r="BN4" i="28"/>
  <c r="BN10" i="34"/>
  <c r="BN4" i="34"/>
  <c r="BN6" i="34"/>
  <c r="BN7" i="28"/>
  <c r="BN12" i="28"/>
  <c r="BN6" i="36"/>
  <c r="BN14" i="36"/>
  <c r="BN6" i="28"/>
  <c r="BN11" i="28"/>
  <c r="BN5" i="28"/>
  <c r="BN9" i="34"/>
  <c r="BN5" i="34"/>
  <c r="BN15" i="28"/>
  <c r="BN8" i="36"/>
  <c r="BN9" i="36"/>
  <c r="BN5" i="36"/>
  <c r="BN15" i="36"/>
  <c r="BN13" i="36"/>
  <c r="BN7" i="36"/>
  <c r="BN10" i="36"/>
  <c r="BN5" i="25"/>
  <c r="BN14" i="29"/>
  <c r="BN4" i="25"/>
  <c r="BN12" i="25"/>
  <c r="BN4" i="29"/>
  <c r="BN6" i="29"/>
  <c r="BN15" i="25"/>
  <c r="BN12" i="29"/>
  <c r="BN14" i="25"/>
  <c r="BN9" i="25"/>
  <c r="BN9" i="29"/>
  <c r="BN10" i="25"/>
  <c r="BN7" i="25"/>
  <c r="BN6" i="25"/>
  <c r="BN15" i="29"/>
  <c r="BN8" i="29"/>
  <c r="BN7" i="29"/>
  <c r="BN8" i="25"/>
  <c r="BN11" i="29"/>
  <c r="BN13" i="25"/>
  <c r="BN5" i="29"/>
</calcChain>
</file>

<file path=xl/sharedStrings.xml><?xml version="1.0" encoding="utf-8"?>
<sst xmlns="http://schemas.openxmlformats.org/spreadsheetml/2006/main" count="5636" uniqueCount="749">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</sst>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8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1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2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3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4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5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6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7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8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9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"/>
      <selection pane="topRight" activeCell="E4" sqref="E4"/>
      <selection pane="bottomLeft" activeCell="E4" sqref="E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10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"/>
      <selection pane="topRight" activeCell="E4" sqref="E4"/>
      <selection pane="bottomLeft" activeCell="E4" sqref="E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1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0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11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364" t="s">
        <v>44</v>
      </c>
      <c r="F4" s="229" t="s">
        <v>45</v>
      </c>
      <c r="G4" s="198">
        <v>7</v>
      </c>
      <c r="H4" s="194">
        <f>IF(G4&gt;0,IF(ISTEXT($E4),IF($E4&lt;&gt;F4,G4-2*G4,""),""),"")</f>
        <v>-7</v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>
        <f t="shared" ref="AL4:AL19" si="9">IF(AK4&gt;0,IF(ISTEXT($E4),IF($E4&lt;&gt;AJ4,AK4-2*AK4,""),""),"")</f>
        <v>-3</v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$S$21</f>
        <v>1</v>
      </c>
      <c r="BF4" s="98" t="str">
        <f>$R$2</f>
        <v>DH</v>
      </c>
      <c r="BG4" s="99">
        <f ca="1">$T$21</f>
        <v>102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365" t="s">
        <v>45</v>
      </c>
      <c r="F5" s="238" t="s">
        <v>44</v>
      </c>
      <c r="G5" s="209">
        <v>12</v>
      </c>
      <c r="H5" s="205">
        <f>IF(G5&gt;0,IF(ISTEXT($E5),IF($E5&lt;&gt;F5,G5-2*G5,""),""),"")</f>
        <v>-12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>
        <f>IF(M5&gt;0,IF(ISTEXT($E5),IF($E5&lt;&gt;L5,M5-2*M5,""),""),"")</f>
        <v>-12</v>
      </c>
      <c r="O5" s="241" t="s">
        <v>44</v>
      </c>
      <c r="P5" s="209">
        <v>12</v>
      </c>
      <c r="Q5" s="205">
        <f>IF(P5&gt;0,IF(ISTEXT($E5),IF($E5&lt;&gt;O5,P5-2*P5,""),""),"")</f>
        <v>-12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>
        <f>IF(Y5&gt;0,IF(ISTEXT($E5),IF($E5&lt;&gt;X5,Y5-2*Y5,""),""),"")</f>
        <v>-14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13</v>
      </c>
      <c r="AF5" s="205">
        <f>IF(AE5&gt;0,IF(ISTEXT($E5),IF($E5&lt;&gt;AD5,AE5-2*AE5,""),""),"")</f>
        <v>-13</v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13</v>
      </c>
      <c r="AO5" s="207">
        <f>IF(AN5&gt;0,IF(ISTEXT($E5),IF($E5&lt;&gt;AM5,AN5-2*AN5,""),""),"")</f>
        <v>-13</v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>
        <f ca="1">IF(AU5&gt;0,IF(ISTEXT($E5),IF($E5&lt;&gt;AT5,AU5-2*AU5,""),""),"")</f>
        <v>-11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93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365" t="s">
        <v>44</v>
      </c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>
        <f t="shared" si="5"/>
        <v>-3</v>
      </c>
      <c r="AA6" s="241" t="s">
        <v>45</v>
      </c>
      <c r="AB6" s="209">
        <v>7</v>
      </c>
      <c r="AC6" s="205">
        <f t="shared" si="6"/>
        <v>-7</v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86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$G$21</f>
        <v>4</v>
      </c>
      <c r="BF7" s="100" t="str">
        <f>$F$2</f>
        <v>BM</v>
      </c>
      <c r="BG7" s="101">
        <f ca="1">$H$21</f>
        <v>81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365" t="s">
        <v>44</v>
      </c>
      <c r="F8" s="238" t="s">
        <v>45</v>
      </c>
      <c r="G8" s="209">
        <v>5</v>
      </c>
      <c r="H8" s="205">
        <f t="shared" si="23"/>
        <v>-5</v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>
        <f t="shared" si="1"/>
        <v>-5</v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>
        <f t="shared" si="4"/>
        <v>-5</v>
      </c>
      <c r="X8" s="241" t="s">
        <v>45</v>
      </c>
      <c r="Y8" s="209">
        <v>7</v>
      </c>
      <c r="Z8" s="205">
        <f t="shared" si="5"/>
        <v>-7</v>
      </c>
      <c r="AA8" s="241" t="s">
        <v>45</v>
      </c>
      <c r="AB8" s="209">
        <v>11</v>
      </c>
      <c r="AC8" s="205">
        <f t="shared" si="6"/>
        <v>-11</v>
      </c>
      <c r="AD8" s="241" t="s">
        <v>45</v>
      </c>
      <c r="AE8" s="209">
        <v>5</v>
      </c>
      <c r="AF8" s="205">
        <f t="shared" si="7"/>
        <v>-5</v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>
        <f t="shared" si="10"/>
        <v>-12</v>
      </c>
      <c r="AT8" s="208" t="str">
        <f t="shared" si="11"/>
        <v>V</v>
      </c>
      <c r="AU8" s="209">
        <f t="shared" ca="1" si="12"/>
        <v>7</v>
      </c>
      <c r="AV8" s="207">
        <f t="shared" ca="1" si="13"/>
        <v>-7</v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$AB$21</f>
        <v>5</v>
      </c>
      <c r="BF8" s="100" t="str">
        <f>$AA$2</f>
        <v>JL</v>
      </c>
      <c r="BG8" s="101">
        <f ca="1">$AC$21</f>
        <v>77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365" t="s">
        <v>44</v>
      </c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>
        <f t="shared" si="3"/>
        <v>-5</v>
      </c>
      <c r="U9" s="241" t="s">
        <v>45</v>
      </c>
      <c r="V9" s="209">
        <v>13</v>
      </c>
      <c r="W9" s="205">
        <f t="shared" si="4"/>
        <v>-13</v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>
        <f t="shared" si="9"/>
        <v>-8</v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$AK$21</f>
        <v>6</v>
      </c>
      <c r="BF9" s="100" t="str">
        <f>$AJ$2</f>
        <v>MB</v>
      </c>
      <c r="BG9" s="101">
        <f ca="1">$AL$21</f>
        <v>73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>
        <f t="shared" si="10"/>
        <v>-15</v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$Y$21</f>
        <v>7</v>
      </c>
      <c r="BF10" s="100" t="str">
        <f>$X$2</f>
        <v>JH</v>
      </c>
      <c r="BG10" s="101">
        <f ca="1">$Z$21</f>
        <v>71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365" t="s">
        <v>44</v>
      </c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>
        <f t="shared" si="4"/>
        <v>-8</v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>
        <f t="shared" si="9"/>
        <v>-6</v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71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365" t="s">
        <v>44</v>
      </c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>
        <f t="shared" si="4"/>
        <v>-3</v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$AN$21</f>
        <v>9</v>
      </c>
      <c r="BF12" s="100" t="str">
        <f>$AM$2</f>
        <v>RR</v>
      </c>
      <c r="BG12" s="101">
        <f ca="1">$AO$21</f>
        <v>60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365" t="s">
        <v>45</v>
      </c>
      <c r="F13" s="238" t="s">
        <v>44</v>
      </c>
      <c r="G13" s="209">
        <v>14</v>
      </c>
      <c r="H13" s="205">
        <f t="shared" si="23"/>
        <v>-14</v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>
        <f t="shared" si="1"/>
        <v>-13</v>
      </c>
      <c r="O13" s="241" t="s">
        <v>44</v>
      </c>
      <c r="P13" s="209">
        <v>11</v>
      </c>
      <c r="Q13" s="205">
        <f t="shared" si="2"/>
        <v>-11</v>
      </c>
      <c r="R13" s="241" t="s">
        <v>44</v>
      </c>
      <c r="S13" s="209">
        <v>15</v>
      </c>
      <c r="T13" s="205">
        <f t="shared" si="3"/>
        <v>-15</v>
      </c>
      <c r="U13" s="241" t="s">
        <v>44</v>
      </c>
      <c r="V13" s="209">
        <v>11</v>
      </c>
      <c r="W13" s="205">
        <f t="shared" si="4"/>
        <v>-11</v>
      </c>
      <c r="X13" s="241" t="s">
        <v>44</v>
      </c>
      <c r="Y13" s="209">
        <v>15</v>
      </c>
      <c r="Z13" s="205">
        <f t="shared" si="5"/>
        <v>-15</v>
      </c>
      <c r="AA13" s="241" t="s">
        <v>44</v>
      </c>
      <c r="AB13" s="209">
        <v>16</v>
      </c>
      <c r="AC13" s="205">
        <f t="shared" si="6"/>
        <v>-16</v>
      </c>
      <c r="AD13" s="241" t="s">
        <v>44</v>
      </c>
      <c r="AE13" s="209">
        <v>14</v>
      </c>
      <c r="AF13" s="205">
        <f t="shared" si="7"/>
        <v>-14</v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>
        <f t="shared" si="9"/>
        <v>-16</v>
      </c>
      <c r="AM13" s="241" t="s">
        <v>44</v>
      </c>
      <c r="AN13" s="209">
        <v>8</v>
      </c>
      <c r="AO13" s="207">
        <f t="shared" si="10"/>
        <v>-8</v>
      </c>
      <c r="AT13" s="208" t="str">
        <f t="shared" si="11"/>
        <v>H</v>
      </c>
      <c r="AU13" s="209">
        <f t="shared" ca="1" si="12"/>
        <v>15</v>
      </c>
      <c r="AV13" s="207">
        <f t="shared" ca="1" si="13"/>
        <v>-15</v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57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365" t="s">
        <v>44</v>
      </c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365" t="s">
        <v>44</v>
      </c>
      <c r="F15" s="238" t="s">
        <v>45</v>
      </c>
      <c r="G15" s="209">
        <v>8</v>
      </c>
      <c r="H15" s="205">
        <f t="shared" si="23"/>
        <v>-8</v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7</v>
      </c>
      <c r="Q15" s="205">
        <f t="shared" si="2"/>
        <v>-7</v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>
        <f t="shared" si="4"/>
        <v>-15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13</v>
      </c>
      <c r="AC15" s="205">
        <f t="shared" si="6"/>
        <v>-13</v>
      </c>
      <c r="AD15" s="241" t="s">
        <v>45</v>
      </c>
      <c r="AE15" s="209">
        <v>8</v>
      </c>
      <c r="AF15" s="205">
        <f t="shared" si="7"/>
        <v>-8</v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>
        <f t="shared" si="9"/>
        <v>-14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10</v>
      </c>
      <c r="AV15" s="207">
        <f t="shared" ca="1" si="13"/>
        <v>-10</v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365" t="s">
        <v>45</v>
      </c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>
        <f t="shared" si="7"/>
        <v>-12</v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365" t="s">
        <v>45</v>
      </c>
      <c r="F19" s="238" t="s">
        <v>44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>
        <f t="shared" si="1"/>
        <v>-10</v>
      </c>
      <c r="O19" s="241" t="s">
        <v>44</v>
      </c>
      <c r="P19" s="209">
        <v>10</v>
      </c>
      <c r="Q19" s="205">
        <f t="shared" si="2"/>
        <v>-10</v>
      </c>
      <c r="R19" s="241" t="s">
        <v>44</v>
      </c>
      <c r="S19" s="209">
        <v>7</v>
      </c>
      <c r="T19" s="205">
        <f t="shared" si="3"/>
        <v>-7</v>
      </c>
      <c r="U19" s="241" t="s">
        <v>44</v>
      </c>
      <c r="V19" s="209">
        <v>9</v>
      </c>
      <c r="W19" s="205">
        <f t="shared" si="4"/>
        <v>-9</v>
      </c>
      <c r="X19" s="241" t="s">
        <v>44</v>
      </c>
      <c r="Y19" s="209">
        <v>10</v>
      </c>
      <c r="Z19" s="205">
        <f t="shared" si="5"/>
        <v>-10</v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>
        <f t="shared" si="7"/>
        <v>-10</v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>
        <f t="shared" si="10"/>
        <v>-14</v>
      </c>
      <c r="AT19" s="208" t="str">
        <f>IF($B19="","",IF(AX19&lt;0,"V","H"))</f>
        <v>H</v>
      </c>
      <c r="AU19" s="209">
        <f ca="1">IF($B19="","",RANK(BA19,BA$4:BA$19,1))</f>
        <v>8</v>
      </c>
      <c r="AV19" s="207">
        <f t="shared" ca="1" si="13"/>
        <v>-8</v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81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86</v>
      </c>
      <c r="O21" s="219"/>
      <c r="P21" s="217">
        <f ca="1">RANK(Q21,$H34:$AO34,0)+P52</f>
        <v>2</v>
      </c>
      <c r="Q21" s="218">
        <f ca="1">IF(SUM(P4:P19)&gt;0,SUM(Q4:Q19)+$F$31,0)</f>
        <v>93</v>
      </c>
      <c r="R21" s="219"/>
      <c r="S21" s="217">
        <f ca="1">RANK(T21,$H34:$AO34,0)+S52</f>
        <v>1</v>
      </c>
      <c r="T21" s="218">
        <f ca="1">IF(SUM(S4:S19)&gt;0,SUM(T4:T19)+$F$31,0)</f>
        <v>102</v>
      </c>
      <c r="U21" s="219"/>
      <c r="V21" s="217">
        <f ca="1">RANK(W21,$H34:$AO34,0)+V52</f>
        <v>10</v>
      </c>
      <c r="W21" s="218">
        <f ca="1">IF(SUM(V4:V19)&gt;0,SUM(W4:W19)+$F$31,0)</f>
        <v>57</v>
      </c>
      <c r="X21" s="219"/>
      <c r="Y21" s="217">
        <f ca="1">RANK(Z21,$H34:$AO34,0)+Y52</f>
        <v>7</v>
      </c>
      <c r="Z21" s="218">
        <f ca="1">IF(SUM(Y4:Y19)&gt;0,SUM(Z4:Z19)+$F$31,0)</f>
        <v>71</v>
      </c>
      <c r="AA21" s="219"/>
      <c r="AB21" s="217">
        <f ca="1">RANK(AC21,$H34:$AO34,0)+AB52</f>
        <v>5</v>
      </c>
      <c r="AC21" s="218">
        <f ca="1">IF(SUM(AB4:AB19)&gt;0,SUM(AC4:AC19)+$F$31,0)</f>
        <v>77</v>
      </c>
      <c r="AD21" s="219"/>
      <c r="AE21" s="217">
        <f ca="1">RANK(AF21,$H34:$AO34,0)+AE52</f>
        <v>7</v>
      </c>
      <c r="AF21" s="218">
        <f ca="1">IF(SUM(AE4:AE19)&gt;0,SUM(AF4:AF19)+$F$31,0)</f>
        <v>71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6</v>
      </c>
      <c r="AL21" s="218">
        <f ca="1">IF(SUM(AK4:AK19)&gt;0,SUM(AL4:AL19)+$F$31,0)</f>
        <v>73</v>
      </c>
      <c r="AM21" s="219"/>
      <c r="AN21" s="217">
        <f ca="1">RANK(AO21,$H34:$AO34,0)+AN52</f>
        <v>9</v>
      </c>
      <c r="AO21" s="220">
        <f ca="1">IF(SUM(AN4:AN19)&gt;0,SUM(AO4:AO19)+$F$31,0)</f>
        <v>60</v>
      </c>
      <c r="AP21" s="3"/>
      <c r="AT21" s="221"/>
      <c r="AU21" s="222">
        <f ca="1">RANK(AV34,$H34:$AV34,0)</f>
        <v>4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0.42857142857142855</v>
      </c>
      <c r="W25" s="162">
        <f>IF(SUM(V4:V19)&gt;0,COUNTBLANK(W4:W19)-COUNTBLANK($E4:$E19),0)</f>
        <v>6</v>
      </c>
      <c r="X25" s="163"/>
      <c r="Y25" s="165">
        <f ca="1">IF($AR$2=0,Z25/OFFSET('Season Summary'!$D$3,$C$2,0),0)</f>
        <v>0.5</v>
      </c>
      <c r="Z25" s="162">
        <f>IF(SUM(Y4:Y19)&gt;0,COUNTBLANK(Z4:Z19)-COUNTBLANK($E4:$E19),0)</f>
        <v>7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0.5714285714285714</v>
      </c>
      <c r="AF25" s="162">
        <f>IF(SUM(AE4:AE19)&gt;0,COUNTBLANK(AF4:AF19)-COUNTBLANK($E4:$E19),0)</f>
        <v>8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7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86</v>
      </c>
      <c r="Q34" s="26">
        <f t="shared" ref="Q34:Q39" ca="1" si="27">Q21</f>
        <v>93</v>
      </c>
      <c r="T34" s="26">
        <f t="shared" ref="T34:T39" ca="1" si="28">T21</f>
        <v>102</v>
      </c>
      <c r="W34" s="26">
        <f t="shared" ref="W34:W39" ca="1" si="29">W21</f>
        <v>57</v>
      </c>
      <c r="Z34" s="26">
        <f t="shared" ref="Z34:Z39" ca="1" si="30">Z21</f>
        <v>71</v>
      </c>
      <c r="AC34" s="26">
        <f t="shared" ref="AC34:AC39" ca="1" si="31">AC21</f>
        <v>77</v>
      </c>
      <c r="AF34" s="26">
        <f t="shared" ref="AF34:AF39" ca="1" si="32">AF21</f>
        <v>71</v>
      </c>
      <c r="AI34" s="26">
        <f t="shared" ref="AI34:AI39" si="33">AI21</f>
        <v>0</v>
      </c>
      <c r="AL34" s="26">
        <f t="shared" ref="AL34:AL39" ca="1" si="34">AL21</f>
        <v>73</v>
      </c>
      <c r="AO34" s="26">
        <f t="shared" ref="AO34:AO39" ca="1" si="35">AO21</f>
        <v>60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6</v>
      </c>
      <c r="Z38" s="28">
        <f t="shared" si="30"/>
        <v>7</v>
      </c>
      <c r="AC38" s="28">
        <f t="shared" si="31"/>
        <v>9</v>
      </c>
      <c r="AF38" s="28">
        <f t="shared" si="32"/>
        <v>8</v>
      </c>
      <c r="AI38" s="28">
        <f t="shared" si="33"/>
        <v>0</v>
      </c>
      <c r="AL38" s="28">
        <f t="shared" si="34"/>
        <v>7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0.42857142857142855</v>
      </c>
      <c r="Y41" s="27">
        <f ca="1">Y25</f>
        <v>0.5</v>
      </c>
      <c r="AB41" s="27">
        <f ca="1">AB25</f>
        <v>0.6428571428571429</v>
      </c>
      <c r="AE41" s="27">
        <f ca="1">AE25</f>
        <v>0.5714285714285714</v>
      </c>
      <c r="AH41" s="27">
        <f ca="1">AH25</f>
        <v>0</v>
      </c>
      <c r="AK41" s="27">
        <f ca="1">AK25</f>
        <v>0.5</v>
      </c>
      <c r="AN41" s="27">
        <f ca="1">AN25</f>
        <v>0.5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2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85" t="str">
        <f ca="1">CONCATENATE("Week ",$C$2," Scores")</f>
        <v>Week 12 Scores</v>
      </c>
      <c r="BF2" s="386"/>
      <c r="BG2" s="387"/>
      <c r="BH2" s="327"/>
      <c r="BI2" s="385" t="s">
        <v>72</v>
      </c>
      <c r="BJ2" s="386"/>
      <c r="BK2" s="386"/>
      <c r="BL2" s="387"/>
      <c r="BM2" s="174"/>
      <c r="BN2" s="385" t="s">
        <v>81</v>
      </c>
      <c r="BO2" s="386"/>
      <c r="BP2" s="387"/>
      <c r="BQ2" s="385" t="s">
        <v>77</v>
      </c>
      <c r="BR2" s="386"/>
      <c r="BS2" s="386"/>
      <c r="BT2" s="386"/>
      <c r="BU2" s="386"/>
      <c r="BV2" s="386"/>
      <c r="BW2" s="38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3" t="s">
        <v>74</v>
      </c>
      <c r="BS3" s="391"/>
      <c r="BT3" s="383" t="s">
        <v>75</v>
      </c>
      <c r="BU3" s="391"/>
      <c r="BV3" s="383" t="s">
        <v>76</v>
      </c>
      <c r="BW3" s="384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229" t="s">
        <v>45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 t="str">
        <f t="shared" ref="Q4:Q19" si="2">IF(P4&gt;0,IF(ISTEXT($E4),IF($E4&lt;&gt;O4,P4-2*P4,""),""),"")</f>
        <v/>
      </c>
      <c r="R4" s="232" t="s">
        <v>45</v>
      </c>
      <c r="S4" s="198">
        <v>15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 t="str">
        <f t="shared" ref="W4:W19" si="4">IF(V4&gt;0,IF(ISTEXT($E4),IF($E4&lt;&gt;U4,V4-2*V4,""),""),"")</f>
        <v/>
      </c>
      <c r="X4" s="232" t="s">
        <v>44</v>
      </c>
      <c r="Y4" s="198">
        <v>1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7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4">
        <f>ABS(AX4)+IF($B4="",-0.1,0)</f>
        <v>27</v>
      </c>
      <c r="AZ4" s="4">
        <f t="shared" ref="AZ4:AZ19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136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38" t="s">
        <v>44</v>
      </c>
      <c r="G5" s="209">
        <v>2</v>
      </c>
      <c r="H5" s="205" t="str">
        <f>IF(G5&gt;0,IF(ISTEXT($E5),IF($E5&lt;&gt;F5,G5-2*G5,""),""),"")</f>
        <v/>
      </c>
      <c r="I5" s="241" t="s">
        <v>44</v>
      </c>
      <c r="J5" s="209">
        <v>2</v>
      </c>
      <c r="K5" s="205" t="str">
        <f>IF(J5&gt;0,IF(ISTEXT($E5),IF($E5&lt;&gt;I5,J5-2*J5,""),""),"")</f>
        <v/>
      </c>
      <c r="L5" s="241" t="s">
        <v>44</v>
      </c>
      <c r="M5" s="209">
        <v>2</v>
      </c>
      <c r="N5" s="205" t="str">
        <f>IF(M5&gt;0,IF(ISTEXT($E5),IF($E5&lt;&gt;L5,M5-2*M5,""),""),"")</f>
        <v/>
      </c>
      <c r="O5" s="241" t="s">
        <v>44</v>
      </c>
      <c r="P5" s="209">
        <v>4</v>
      </c>
      <c r="Q5" s="205" t="str">
        <f>IF(P5&gt;0,IF(ISTEXT($E5),IF($E5&lt;&gt;O5,P5-2*P5,""),""),"")</f>
        <v/>
      </c>
      <c r="R5" s="241" t="s">
        <v>44</v>
      </c>
      <c r="S5" s="209">
        <v>2</v>
      </c>
      <c r="T5" s="205" t="str">
        <f>IF(S5&gt;0,IF(ISTEXT($E5),IF($E5&lt;&gt;R5,S5-2*S5,""),""),"")</f>
        <v/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5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3</v>
      </c>
      <c r="AF5" s="205" t="str">
        <f>IF(AE5&gt;0,IF(ISTEXT($E5),IF($E5&lt;&gt;AD5,AE5-2*AE5,""),""),"")</f>
        <v/>
      </c>
      <c r="AG5" s="241" t="s">
        <v>44</v>
      </c>
      <c r="AH5" s="209">
        <v>8</v>
      </c>
      <c r="AI5" s="205" t="str">
        <f>IF(AH5&gt;0,IF(ISTEXT($E5),IF($E5&lt;&gt;AG5,AH5-2*AH5,""),""),"")</f>
        <v/>
      </c>
      <c r="AJ5" s="241" t="s">
        <v>44</v>
      </c>
      <c r="AK5" s="209">
        <v>2</v>
      </c>
      <c r="AL5" s="205" t="str">
        <f>IF(AK5&gt;0,IF(ISTEXT($E5),IF($E5&lt;&gt;AJ5,AK5-2*AK5,""),""),"")</f>
        <v/>
      </c>
      <c r="AM5" s="241" t="s">
        <v>44</v>
      </c>
      <c r="AN5" s="209">
        <v>2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22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136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8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9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16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10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45</v>
      </c>
      <c r="AH6" s="209">
        <v>2</v>
      </c>
      <c r="AI6" s="205" t="str">
        <f t="shared" si="8"/>
        <v/>
      </c>
      <c r="AJ6" s="241" t="s">
        <v>44</v>
      </c>
      <c r="AK6" s="209">
        <v>8</v>
      </c>
      <c r="AL6" s="205" t="str">
        <f t="shared" si="9"/>
        <v/>
      </c>
      <c r="AM6" s="241" t="s">
        <v>44</v>
      </c>
      <c r="AN6" s="209">
        <v>1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81</v>
      </c>
      <c r="AY6" s="4">
        <f t="shared" si="22"/>
        <v>81</v>
      </c>
      <c r="AZ6" s="4">
        <f t="shared" ca="1" si="15"/>
        <v>81</v>
      </c>
      <c r="BA6" s="4">
        <f t="shared" ca="1" si="16"/>
        <v>81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38" t="s">
        <v>45</v>
      </c>
      <c r="G7" s="209">
        <v>3</v>
      </c>
      <c r="H7" s="205" t="str">
        <f t="shared" si="23"/>
        <v/>
      </c>
      <c r="I7" s="241" t="s">
        <v>45</v>
      </c>
      <c r="J7" s="209">
        <v>9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3</v>
      </c>
      <c r="Q7" s="205" t="str">
        <f t="shared" si="2"/>
        <v/>
      </c>
      <c r="R7" s="241" t="s">
        <v>44</v>
      </c>
      <c r="S7" s="209">
        <v>14</v>
      </c>
      <c r="T7" s="205" t="str">
        <f t="shared" si="3"/>
        <v/>
      </c>
      <c r="U7" s="241" t="s">
        <v>45</v>
      </c>
      <c r="V7" s="209">
        <v>6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45</v>
      </c>
      <c r="AB7" s="209">
        <v>8</v>
      </c>
      <c r="AC7" s="205" t="str">
        <f t="shared" si="6"/>
        <v/>
      </c>
      <c r="AD7" s="241" t="s">
        <v>45</v>
      </c>
      <c r="AE7" s="209">
        <v>2</v>
      </c>
      <c r="AF7" s="205" t="str">
        <f t="shared" si="7"/>
        <v/>
      </c>
      <c r="AG7" s="241" t="s">
        <v>45</v>
      </c>
      <c r="AH7" s="209">
        <v>3</v>
      </c>
      <c r="AI7" s="205" t="str">
        <f t="shared" si="8"/>
        <v/>
      </c>
      <c r="AJ7" s="241" t="s">
        <v>45</v>
      </c>
      <c r="AK7" s="209">
        <v>3</v>
      </c>
      <c r="AL7" s="205" t="str">
        <f t="shared" si="9"/>
        <v/>
      </c>
      <c r="AM7" s="241" t="s">
        <v>45</v>
      </c>
      <c r="AN7" s="209">
        <v>8</v>
      </c>
      <c r="AO7" s="207" t="str">
        <f t="shared" si="10"/>
        <v/>
      </c>
      <c r="AT7" s="208" t="str">
        <f t="shared" si="11"/>
        <v>V</v>
      </c>
      <c r="AU7" s="209">
        <f t="shared" ca="1" si="12"/>
        <v>4</v>
      </c>
      <c r="AV7" s="207" t="str">
        <f t="shared" ca="1" si="13"/>
        <v/>
      </c>
      <c r="AX7" s="4">
        <f t="shared" si="14"/>
        <v>-42</v>
      </c>
      <c r="AY7" s="4">
        <f t="shared" si="22"/>
        <v>42</v>
      </c>
      <c r="AZ7" s="4">
        <f t="shared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136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38" t="s">
        <v>44</v>
      </c>
      <c r="G8" s="209">
        <v>11</v>
      </c>
      <c r="H8" s="205" t="str">
        <f t="shared" si="23"/>
        <v/>
      </c>
      <c r="I8" s="241" t="s">
        <v>44</v>
      </c>
      <c r="J8" s="209">
        <v>12</v>
      </c>
      <c r="K8" s="205" t="str">
        <f t="shared" si="0"/>
        <v/>
      </c>
      <c r="L8" s="241" t="s">
        <v>44</v>
      </c>
      <c r="M8" s="209">
        <v>10</v>
      </c>
      <c r="N8" s="205" t="str">
        <f t="shared" si="1"/>
        <v/>
      </c>
      <c r="O8" s="241" t="s">
        <v>44</v>
      </c>
      <c r="P8" s="209">
        <v>10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44</v>
      </c>
      <c r="V8" s="209">
        <v>8</v>
      </c>
      <c r="W8" s="205" t="str">
        <f t="shared" si="4"/>
        <v/>
      </c>
      <c r="X8" s="241" t="s">
        <v>44</v>
      </c>
      <c r="Y8" s="209">
        <v>11</v>
      </c>
      <c r="Z8" s="205" t="str">
        <f t="shared" si="5"/>
        <v/>
      </c>
      <c r="AA8" s="241" t="s">
        <v>44</v>
      </c>
      <c r="AB8" s="209">
        <v>14</v>
      </c>
      <c r="AC8" s="205" t="str">
        <f t="shared" si="6"/>
        <v/>
      </c>
      <c r="AD8" s="241" t="s">
        <v>44</v>
      </c>
      <c r="AE8" s="209">
        <v>10</v>
      </c>
      <c r="AF8" s="205" t="str">
        <f t="shared" si="7"/>
        <v/>
      </c>
      <c r="AG8" s="241" t="s">
        <v>44</v>
      </c>
      <c r="AH8" s="209">
        <v>6</v>
      </c>
      <c r="AI8" s="205" t="str">
        <f t="shared" si="8"/>
        <v/>
      </c>
      <c r="AJ8" s="241" t="s">
        <v>44</v>
      </c>
      <c r="AK8" s="209">
        <v>11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120</v>
      </c>
      <c r="AY8" s="4">
        <f t="shared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136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</v>
      </c>
      <c r="K9" s="205" t="str">
        <f t="shared" si="0"/>
        <v/>
      </c>
      <c r="L9" s="241" t="s">
        <v>45</v>
      </c>
      <c r="M9" s="209">
        <v>12</v>
      </c>
      <c r="N9" s="205" t="str">
        <f t="shared" si="1"/>
        <v/>
      </c>
      <c r="O9" s="241" t="s">
        <v>45</v>
      </c>
      <c r="P9" s="209">
        <v>13</v>
      </c>
      <c r="Q9" s="205" t="str">
        <f t="shared" si="2"/>
        <v/>
      </c>
      <c r="R9" s="241" t="s">
        <v>45</v>
      </c>
      <c r="S9" s="209">
        <v>13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7</v>
      </c>
      <c r="AC9" s="205" t="str">
        <f t="shared" si="6"/>
        <v/>
      </c>
      <c r="AD9" s="241" t="s">
        <v>45</v>
      </c>
      <c r="AE9" s="209">
        <v>11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44</v>
      </c>
      <c r="AK9" s="209">
        <v>4</v>
      </c>
      <c r="AL9" s="205" t="str">
        <f t="shared" si="9"/>
        <v/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-99</v>
      </c>
      <c r="AY9" s="4">
        <f t="shared" si="22"/>
        <v>99</v>
      </c>
      <c r="AZ9" s="4">
        <f t="shared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136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38" t="s">
        <v>44</v>
      </c>
      <c r="G10" s="209">
        <v>5</v>
      </c>
      <c r="H10" s="205" t="str">
        <f t="shared" si="23"/>
        <v/>
      </c>
      <c r="I10" s="241" t="s">
        <v>45</v>
      </c>
      <c r="J10" s="209">
        <v>11</v>
      </c>
      <c r="K10" s="205" t="str">
        <f t="shared" si="0"/>
        <v/>
      </c>
      <c r="L10" s="241" t="s">
        <v>44</v>
      </c>
      <c r="M10" s="209">
        <v>4</v>
      </c>
      <c r="N10" s="205" t="str">
        <f t="shared" si="1"/>
        <v/>
      </c>
      <c r="O10" s="241" t="s">
        <v>44</v>
      </c>
      <c r="P10" s="209">
        <v>5</v>
      </c>
      <c r="Q10" s="205" t="str">
        <f t="shared" si="2"/>
        <v/>
      </c>
      <c r="R10" s="241" t="s">
        <v>44</v>
      </c>
      <c r="S10" s="209">
        <v>1</v>
      </c>
      <c r="T10" s="205" t="str">
        <f t="shared" si="3"/>
        <v/>
      </c>
      <c r="U10" s="241" t="s">
        <v>44</v>
      </c>
      <c r="V10" s="209">
        <v>9</v>
      </c>
      <c r="W10" s="205" t="str">
        <f t="shared" si="4"/>
        <v/>
      </c>
      <c r="X10" s="241" t="s">
        <v>44</v>
      </c>
      <c r="Y10" s="209">
        <v>2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5</v>
      </c>
      <c r="AF10" s="205" t="str">
        <f t="shared" si="7"/>
        <v/>
      </c>
      <c r="AG10" s="241" t="s">
        <v>45</v>
      </c>
      <c r="AH10" s="209">
        <v>1</v>
      </c>
      <c r="AI10" s="205" t="str">
        <f t="shared" si="8"/>
        <v/>
      </c>
      <c r="AJ10" s="241" t="s">
        <v>44</v>
      </c>
      <c r="AK10" s="209">
        <v>5</v>
      </c>
      <c r="AL10" s="205" t="str">
        <f t="shared" si="9"/>
        <v/>
      </c>
      <c r="AM10" s="241" t="s">
        <v>44</v>
      </c>
      <c r="AN10" s="209">
        <v>9</v>
      </c>
      <c r="AO10" s="207" t="str">
        <f t="shared" si="10"/>
        <v/>
      </c>
      <c r="AT10" s="208" t="str">
        <f t="shared" si="11"/>
        <v>H</v>
      </c>
      <c r="AU10" s="209">
        <f t="shared" ca="1" si="12"/>
        <v>2</v>
      </c>
      <c r="AV10" s="207" t="str">
        <f t="shared" ca="1" si="13"/>
        <v/>
      </c>
      <c r="AX10" s="4">
        <f t="shared" si="14"/>
        <v>37</v>
      </c>
      <c r="AY10" s="4">
        <f t="shared" si="22"/>
        <v>37</v>
      </c>
      <c r="AZ10" s="4">
        <f t="shared" ca="1" si="15"/>
        <v>37</v>
      </c>
      <c r="BA10" s="4">
        <f t="shared" ca="1" si="16"/>
        <v>37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136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38" t="s">
        <v>45</v>
      </c>
      <c r="G11" s="209">
        <v>14</v>
      </c>
      <c r="H11" s="205" t="str">
        <f t="shared" si="23"/>
        <v/>
      </c>
      <c r="I11" s="241" t="s">
        <v>45</v>
      </c>
      <c r="J11" s="209">
        <v>10</v>
      </c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12</v>
      </c>
      <c r="Q11" s="205" t="str">
        <f t="shared" si="2"/>
        <v/>
      </c>
      <c r="R11" s="241" t="s">
        <v>45</v>
      </c>
      <c r="S11" s="209">
        <v>12</v>
      </c>
      <c r="T11" s="205" t="str">
        <f t="shared" si="3"/>
        <v/>
      </c>
      <c r="U11" s="241" t="s">
        <v>44</v>
      </c>
      <c r="V11" s="209">
        <v>7</v>
      </c>
      <c r="W11" s="205" t="str">
        <f t="shared" si="4"/>
        <v/>
      </c>
      <c r="X11" s="241" t="s">
        <v>45</v>
      </c>
      <c r="Y11" s="209">
        <v>14</v>
      </c>
      <c r="Z11" s="205" t="str">
        <f t="shared" si="5"/>
        <v/>
      </c>
      <c r="AA11" s="241" t="s">
        <v>45</v>
      </c>
      <c r="AB11" s="209">
        <v>12</v>
      </c>
      <c r="AC11" s="205" t="str">
        <f t="shared" si="6"/>
        <v/>
      </c>
      <c r="AD11" s="241" t="s">
        <v>45</v>
      </c>
      <c r="AE11" s="209">
        <v>15</v>
      </c>
      <c r="AF11" s="205" t="str">
        <f t="shared" si="7"/>
        <v/>
      </c>
      <c r="AG11" s="241" t="s">
        <v>45</v>
      </c>
      <c r="AH11" s="209">
        <v>12</v>
      </c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45</v>
      </c>
      <c r="AN11" s="209">
        <v>14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11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7</v>
      </c>
      <c r="N12" s="205" t="str">
        <f t="shared" si="1"/>
        <v/>
      </c>
      <c r="O12" s="241" t="s">
        <v>44</v>
      </c>
      <c r="P12" s="209">
        <v>7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7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5</v>
      </c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6</v>
      </c>
      <c r="AV12" s="207" t="str">
        <f t="shared" ca="1" si="13"/>
        <v/>
      </c>
      <c r="AX12" s="4">
        <f t="shared" si="14"/>
        <v>77</v>
      </c>
      <c r="AY12" s="4">
        <f t="shared" si="22"/>
        <v>77</v>
      </c>
      <c r="AZ12" s="4">
        <f t="shared" ca="1" si="15"/>
        <v>77</v>
      </c>
      <c r="BA12" s="4">
        <f t="shared" ca="1" si="16"/>
        <v>77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136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38" t="s">
        <v>45</v>
      </c>
      <c r="G13" s="209">
        <v>1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45</v>
      </c>
      <c r="M13" s="209">
        <v>1</v>
      </c>
      <c r="N13" s="205" t="str">
        <f t="shared" si="1"/>
        <v/>
      </c>
      <c r="O13" s="241" t="s">
        <v>44</v>
      </c>
      <c r="P13" s="209">
        <v>1</v>
      </c>
      <c r="Q13" s="205" t="str">
        <f t="shared" si="2"/>
        <v/>
      </c>
      <c r="R13" s="241" t="s">
        <v>45</v>
      </c>
      <c r="S13" s="209">
        <v>6</v>
      </c>
      <c r="T13" s="205" t="str">
        <f t="shared" si="3"/>
        <v/>
      </c>
      <c r="U13" s="241" t="s">
        <v>45</v>
      </c>
      <c r="V13" s="209">
        <v>12</v>
      </c>
      <c r="W13" s="205" t="str">
        <f t="shared" si="4"/>
        <v/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3</v>
      </c>
      <c r="AC13" s="205" t="str">
        <f t="shared" si="6"/>
        <v/>
      </c>
      <c r="AD13" s="241" t="s">
        <v>45</v>
      </c>
      <c r="AE13" s="209">
        <v>1</v>
      </c>
      <c r="AF13" s="205" t="str">
        <f t="shared" si="7"/>
        <v/>
      </c>
      <c r="AG13" s="241" t="s">
        <v>45</v>
      </c>
      <c r="AH13" s="209">
        <v>4</v>
      </c>
      <c r="AI13" s="205" t="str">
        <f t="shared" si="8"/>
        <v/>
      </c>
      <c r="AJ13" s="241" t="s">
        <v>45</v>
      </c>
      <c r="AK13" s="209">
        <v>13</v>
      </c>
      <c r="AL13" s="205" t="str">
        <f t="shared" si="9"/>
        <v/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5</v>
      </c>
      <c r="AV13" s="207" t="str">
        <f t="shared" ca="1" si="13"/>
        <v/>
      </c>
      <c r="AX13" s="4">
        <f t="shared" si="14"/>
        <v>-46</v>
      </c>
      <c r="AY13" s="4">
        <f t="shared" si="22"/>
        <v>46</v>
      </c>
      <c r="AZ13" s="4">
        <f t="shared" si="15"/>
        <v>46</v>
      </c>
      <c r="BA13" s="4">
        <f t="shared" ca="1" si="16"/>
        <v>46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136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38" t="s">
        <v>45</v>
      </c>
      <c r="G14" s="209">
        <v>15</v>
      </c>
      <c r="H14" s="205" t="str">
        <f t="shared" si="23"/>
        <v/>
      </c>
      <c r="I14" s="241" t="s">
        <v>45</v>
      </c>
      <c r="J14" s="209">
        <v>3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16</v>
      </c>
      <c r="T14" s="205" t="str">
        <f t="shared" si="3"/>
        <v/>
      </c>
      <c r="U14" s="241" t="s">
        <v>45</v>
      </c>
      <c r="V14" s="209">
        <v>13</v>
      </c>
      <c r="W14" s="205" t="str">
        <f t="shared" si="4"/>
        <v/>
      </c>
      <c r="X14" s="241" t="s">
        <v>45</v>
      </c>
      <c r="Y14" s="209">
        <v>12</v>
      </c>
      <c r="Z14" s="205" t="str">
        <f t="shared" si="5"/>
        <v/>
      </c>
      <c r="AA14" s="241" t="s">
        <v>45</v>
      </c>
      <c r="AB14" s="209">
        <v>6</v>
      </c>
      <c r="AC14" s="205" t="str">
        <f t="shared" si="6"/>
        <v/>
      </c>
      <c r="AD14" s="241" t="s">
        <v>45</v>
      </c>
      <c r="AE14" s="209">
        <v>14</v>
      </c>
      <c r="AF14" s="205" t="str">
        <f t="shared" si="7"/>
        <v/>
      </c>
      <c r="AG14" s="241" t="s">
        <v>45</v>
      </c>
      <c r="AH14" s="209">
        <v>15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45</v>
      </c>
      <c r="AN14" s="209">
        <v>11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-149</v>
      </c>
      <c r="AY14" s="4">
        <f t="shared" si="22"/>
        <v>149</v>
      </c>
      <c r="AZ14" s="4">
        <f t="shared" si="15"/>
        <v>149</v>
      </c>
      <c r="BA14" s="4">
        <f t="shared" ca="1" si="16"/>
        <v>149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136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38" t="s">
        <v>45</v>
      </c>
      <c r="G15" s="209">
        <v>12</v>
      </c>
      <c r="H15" s="205" t="str">
        <f t="shared" si="23"/>
        <v/>
      </c>
      <c r="I15" s="241" t="s">
        <v>45</v>
      </c>
      <c r="J15" s="209">
        <v>13</v>
      </c>
      <c r="K15" s="205" t="str">
        <f t="shared" si="0"/>
        <v/>
      </c>
      <c r="L15" s="241" t="s">
        <v>45</v>
      </c>
      <c r="M15" s="209">
        <v>11</v>
      </c>
      <c r="N15" s="205" t="str">
        <f t="shared" si="1"/>
        <v/>
      </c>
      <c r="O15" s="241" t="s">
        <v>45</v>
      </c>
      <c r="P15" s="209">
        <v>11</v>
      </c>
      <c r="Q15" s="205" t="str">
        <f t="shared" si="2"/>
        <v/>
      </c>
      <c r="R15" s="241" t="s">
        <v>45</v>
      </c>
      <c r="S15" s="209">
        <v>9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45</v>
      </c>
      <c r="Y15" s="209">
        <v>13</v>
      </c>
      <c r="Z15" s="205" t="str">
        <f t="shared" si="5"/>
        <v/>
      </c>
      <c r="AA15" s="241" t="s">
        <v>45</v>
      </c>
      <c r="AB15" s="209">
        <v>15</v>
      </c>
      <c r="AC15" s="205" t="str">
        <f t="shared" si="6"/>
        <v/>
      </c>
      <c r="AD15" s="241" t="s">
        <v>45</v>
      </c>
      <c r="AE15" s="209">
        <v>12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15</v>
      </c>
      <c r="AL15" s="205" t="str">
        <f t="shared" si="9"/>
        <v/>
      </c>
      <c r="AM15" s="241" t="s">
        <v>45</v>
      </c>
      <c r="AN15" s="209">
        <v>13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13</v>
      </c>
      <c r="AV15" s="207" t="str">
        <f t="shared" ca="1" si="13"/>
        <v/>
      </c>
      <c r="AX15" s="4">
        <f t="shared" si="14"/>
        <v>-148</v>
      </c>
      <c r="AY15" s="4">
        <f t="shared" si="22"/>
        <v>148</v>
      </c>
      <c r="AZ15" s="4">
        <f t="shared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136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38" t="s">
        <v>44</v>
      </c>
      <c r="G16" s="209">
        <v>6</v>
      </c>
      <c r="H16" s="205" t="str">
        <f t="shared" si="23"/>
        <v/>
      </c>
      <c r="I16" s="241" t="s">
        <v>44</v>
      </c>
      <c r="J16" s="209">
        <v>14</v>
      </c>
      <c r="K16" s="205" t="str">
        <f t="shared" si="0"/>
        <v/>
      </c>
      <c r="L16" s="241" t="s">
        <v>44</v>
      </c>
      <c r="M16" s="209">
        <v>13</v>
      </c>
      <c r="N16" s="205" t="str">
        <f t="shared" si="1"/>
        <v/>
      </c>
      <c r="O16" s="241" t="s">
        <v>44</v>
      </c>
      <c r="P16" s="209">
        <v>14</v>
      </c>
      <c r="Q16" s="205" t="str">
        <f t="shared" si="2"/>
        <v/>
      </c>
      <c r="R16" s="241" t="s">
        <v>44</v>
      </c>
      <c r="S16" s="209">
        <v>11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15</v>
      </c>
      <c r="Z16" s="205" t="str">
        <f t="shared" si="5"/>
        <v/>
      </c>
      <c r="AA16" s="241" t="s">
        <v>44</v>
      </c>
      <c r="AB16" s="209">
        <v>13</v>
      </c>
      <c r="AC16" s="205" t="str">
        <f t="shared" si="6"/>
        <v/>
      </c>
      <c r="AD16" s="241" t="s">
        <v>44</v>
      </c>
      <c r="AE16" s="209">
        <v>13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9</v>
      </c>
      <c r="AL16" s="205" t="str">
        <f t="shared" si="9"/>
        <v/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148</v>
      </c>
      <c r="AY16" s="4">
        <f t="shared" si="22"/>
        <v>148</v>
      </c>
      <c r="AZ16" s="4">
        <f t="shared" ca="1" si="15"/>
        <v>148.1</v>
      </c>
      <c r="BA16" s="4">
        <f t="shared" ca="1" si="16"/>
        <v>148.1</v>
      </c>
      <c r="BB16" s="4">
        <v>13</v>
      </c>
      <c r="BC16" s="4">
        <f ca="1">COUNTIF($AY$4:OFFSET($AY$4,0,0,BB16,1),AY16)</f>
        <v>2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38" t="s">
        <v>45</v>
      </c>
      <c r="G17" s="209">
        <v>9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6</v>
      </c>
      <c r="N17" s="205" t="str">
        <f t="shared" si="1"/>
        <v/>
      </c>
      <c r="O17" s="241" t="s">
        <v>45</v>
      </c>
      <c r="P17" s="209">
        <v>8</v>
      </c>
      <c r="Q17" s="205" t="str">
        <f t="shared" si="2"/>
        <v/>
      </c>
      <c r="R17" s="241" t="s">
        <v>45</v>
      </c>
      <c r="S17" s="209">
        <v>4</v>
      </c>
      <c r="T17" s="205" t="str">
        <f t="shared" si="3"/>
        <v/>
      </c>
      <c r="U17" s="241" t="s">
        <v>45</v>
      </c>
      <c r="V17" s="209">
        <v>2</v>
      </c>
      <c r="W17" s="205" t="str">
        <f t="shared" si="4"/>
        <v/>
      </c>
      <c r="X17" s="241" t="s">
        <v>45</v>
      </c>
      <c r="Y17" s="209">
        <v>8</v>
      </c>
      <c r="Z17" s="205" t="str">
        <f t="shared" si="5"/>
        <v/>
      </c>
      <c r="AA17" s="241" t="s">
        <v>45</v>
      </c>
      <c r="AB17" s="209">
        <v>5</v>
      </c>
      <c r="AC17" s="205" t="str">
        <f t="shared" si="6"/>
        <v/>
      </c>
      <c r="AD17" s="241" t="s">
        <v>45</v>
      </c>
      <c r="AE17" s="209">
        <v>6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3</v>
      </c>
      <c r="AO17" s="207" t="str">
        <f t="shared" si="10"/>
        <v/>
      </c>
      <c r="AT17" s="208" t="str">
        <f t="shared" si="11"/>
        <v>V</v>
      </c>
      <c r="AU17" s="209">
        <f t="shared" ca="1" si="12"/>
        <v>8</v>
      </c>
      <c r="AV17" s="207" t="str">
        <f t="shared" ca="1" si="13"/>
        <v/>
      </c>
      <c r="AX17" s="4">
        <f t="shared" si="14"/>
        <v>-87</v>
      </c>
      <c r="AY17" s="4">
        <f t="shared" si="22"/>
        <v>87</v>
      </c>
      <c r="AZ17" s="4">
        <f t="shared" si="15"/>
        <v>87</v>
      </c>
      <c r="BA17" s="4">
        <f t="shared" ca="1" si="16"/>
        <v>87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38" t="s">
        <v>44</v>
      </c>
      <c r="G18" s="209">
        <v>16</v>
      </c>
      <c r="H18" s="205" t="str">
        <f t="shared" si="23"/>
        <v/>
      </c>
      <c r="I18" s="241" t="s">
        <v>44</v>
      </c>
      <c r="J18" s="209">
        <v>15</v>
      </c>
      <c r="K18" s="205" t="str">
        <f t="shared" si="0"/>
        <v/>
      </c>
      <c r="L18" s="241" t="s">
        <v>44</v>
      </c>
      <c r="M18" s="209">
        <v>16</v>
      </c>
      <c r="N18" s="205" t="str">
        <f t="shared" si="1"/>
        <v/>
      </c>
      <c r="O18" s="241" t="s">
        <v>44</v>
      </c>
      <c r="P18" s="209">
        <v>16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44</v>
      </c>
      <c r="Y18" s="209">
        <v>16</v>
      </c>
      <c r="Z18" s="205" t="str">
        <f t="shared" si="5"/>
        <v/>
      </c>
      <c r="AA18" s="241" t="s">
        <v>44</v>
      </c>
      <c r="AB18" s="209">
        <v>11</v>
      </c>
      <c r="AC18" s="205" t="str">
        <f t="shared" si="6"/>
        <v/>
      </c>
      <c r="AD18" s="241" t="s">
        <v>44</v>
      </c>
      <c r="AE18" s="209">
        <v>16</v>
      </c>
      <c r="AF18" s="205" t="str">
        <f t="shared" si="7"/>
        <v/>
      </c>
      <c r="AG18" s="241" t="s">
        <v>44</v>
      </c>
      <c r="AH18" s="209">
        <v>9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16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16</v>
      </c>
      <c r="AV18" s="207" t="str">
        <f t="shared" ca="1" si="13"/>
        <v/>
      </c>
      <c r="AX18" s="4">
        <f t="shared" si="14"/>
        <v>155</v>
      </c>
      <c r="AY18" s="4">
        <f t="shared" si="22"/>
        <v>155</v>
      </c>
      <c r="AZ18" s="4">
        <f t="shared" ca="1" si="15"/>
        <v>155</v>
      </c>
      <c r="BA18" s="4">
        <f t="shared" ca="1" si="16"/>
        <v>155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38" t="s">
        <v>45</v>
      </c>
      <c r="G19" s="209">
        <v>10</v>
      </c>
      <c r="H19" s="205" t="str">
        <f t="shared" si="23"/>
        <v/>
      </c>
      <c r="I19" s="241" t="s">
        <v>45</v>
      </c>
      <c r="J19" s="209">
        <v>16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45</v>
      </c>
      <c r="AB19" s="209">
        <v>16</v>
      </c>
      <c r="AC19" s="205" t="str">
        <f t="shared" si="6"/>
        <v/>
      </c>
      <c r="AD19" s="241" t="s">
        <v>45</v>
      </c>
      <c r="AE19" s="209">
        <v>9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-132</v>
      </c>
      <c r="AY19" s="4">
        <f t="shared" si="22"/>
        <v>132</v>
      </c>
      <c r="AZ19" s="4">
        <f t="shared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53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48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38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94" t="str">
        <f ca="1">CONCATENATE("Week ",$C$2," Scores")</f>
        <v>Week 13 Scores</v>
      </c>
      <c r="BF2" s="395"/>
      <c r="BG2" s="396"/>
      <c r="BH2" s="175"/>
      <c r="BI2" s="394" t="s">
        <v>72</v>
      </c>
      <c r="BJ2" s="395"/>
      <c r="BK2" s="395"/>
      <c r="BL2" s="396"/>
      <c r="BM2" s="174"/>
      <c r="BN2" s="394" t="s">
        <v>81</v>
      </c>
      <c r="BO2" s="395"/>
      <c r="BP2" s="396"/>
      <c r="BQ2" s="394" t="s">
        <v>77</v>
      </c>
      <c r="BR2" s="395"/>
      <c r="BS2" s="395"/>
      <c r="BT2" s="395"/>
      <c r="BU2" s="395"/>
      <c r="BV2" s="395"/>
      <c r="BW2" s="39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2" t="s">
        <v>74</v>
      </c>
      <c r="BS3" s="397"/>
      <c r="BT3" s="392" t="s">
        <v>75</v>
      </c>
      <c r="BU3" s="397"/>
      <c r="BV3" s="392" t="s">
        <v>76</v>
      </c>
      <c r="BW3" s="393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95.2</v>
      </c>
      <c r="BL4" s="93">
        <f ca="1">$H$23</f>
        <v>952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-2</v>
      </c>
      <c r="BQ4" s="72">
        <f ca="1">-$AR$3*'Season Summary'!$AO$3</f>
        <v>-33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69.3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-2</v>
      </c>
      <c r="BQ5" s="74">
        <f ca="1">-$AR$3*'Season Summary'!$AO$3</f>
        <v>-33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98.3</v>
      </c>
      <c r="BL6" s="95">
        <f ca="1">$N$23</f>
        <v>983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-5.5</v>
      </c>
      <c r="BQ6" s="74">
        <f ca="1">-$AR$3*'Season Summary'!$AO$3</f>
        <v>-33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27.5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-33</v>
      </c>
      <c r="BQ7" s="74">
        <f ca="1">-$AR$3*'Season Summary'!$AO$3</f>
        <v>-33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92.8</v>
      </c>
      <c r="BL8" s="95">
        <f ca="1">$T$23</f>
        <v>928</v>
      </c>
      <c r="BM8" s="174"/>
      <c r="BN8" s="65">
        <f t="shared" ca="1" si="18"/>
        <v>5</v>
      </c>
      <c r="BO8" s="85" t="str">
        <f>$R$2</f>
        <v>DH</v>
      </c>
      <c r="BP8" s="75">
        <f t="shared" ca="1" si="19"/>
        <v>-2</v>
      </c>
      <c r="BQ8" s="74">
        <f ca="1">-$AR$3*'Season Summary'!$AO$3</f>
        <v>-33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89.8</v>
      </c>
      <c r="BL9" s="95">
        <f ca="1">$W$23</f>
        <v>898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60</v>
      </c>
      <c r="BQ9" s="74">
        <f ca="1">-$AR$3*'Season Summary'!$AO$3</f>
        <v>-33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97.8</v>
      </c>
      <c r="BL10" s="95">
        <f ca="1">$Z$23</f>
        <v>978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29</v>
      </c>
      <c r="BQ10" s="74">
        <f ca="1">-$AR$3*'Season Summary'!$AO$3</f>
        <v>-33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94.9</v>
      </c>
      <c r="BL11" s="95">
        <f ca="1">$AC$23</f>
        <v>949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-33</v>
      </c>
      <c r="BQ11" s="74">
        <f ca="1">-$AR$3*'Season Summary'!$AO$3</f>
        <v>-33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98.3</v>
      </c>
      <c r="BL12" s="95">
        <f ca="1">$AF$23</f>
        <v>983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25.5</v>
      </c>
      <c r="BQ12" s="74">
        <f ca="1">-$AR$3*'Season Summary'!$AO$3</f>
        <v>-33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27.5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96.4</v>
      </c>
      <c r="BL13" s="95">
        <f ca="1">$AI$23</f>
        <v>964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-33</v>
      </c>
      <c r="BQ13" s="74">
        <f ca="1">-$AR$3*'Season Summary'!$AO$3</f>
        <v>-33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91.9</v>
      </c>
      <c r="BL14" s="95">
        <f ca="1">$AL$23</f>
        <v>919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-33</v>
      </c>
      <c r="BQ14" s="74">
        <f ca="1">-$AR$3*'Season Summary'!$AO$3</f>
        <v>-33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94.9</v>
      </c>
      <c r="BL15" s="97">
        <f ca="1">$AO$23</f>
        <v>949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29</v>
      </c>
      <c r="BQ15" s="76">
        <f ca="1">-$AR$3*'Season Summary'!$AO$3</f>
        <v>-33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94" t="str">
        <f ca="1">CONCATENATE("Week ",$C$2," Scores")</f>
        <v>Week 14 Scores</v>
      </c>
      <c r="BF2" s="395"/>
      <c r="BG2" s="396"/>
      <c r="BH2" s="175"/>
      <c r="BI2" s="394" t="s">
        <v>72</v>
      </c>
      <c r="BJ2" s="395"/>
      <c r="BK2" s="395"/>
      <c r="BL2" s="396"/>
      <c r="BM2" s="174"/>
      <c r="BN2" s="394" t="s">
        <v>81</v>
      </c>
      <c r="BO2" s="395"/>
      <c r="BP2" s="396"/>
      <c r="BQ2" s="394" t="s">
        <v>77</v>
      </c>
      <c r="BR2" s="395"/>
      <c r="BS2" s="395"/>
      <c r="BT2" s="395"/>
      <c r="BU2" s="395"/>
      <c r="BV2" s="395"/>
      <c r="BW2" s="39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2" t="s">
        <v>74</v>
      </c>
      <c r="BS3" s="397"/>
      <c r="BT3" s="392" t="s">
        <v>75</v>
      </c>
      <c r="BU3" s="397"/>
      <c r="BV3" s="392" t="s">
        <v>76</v>
      </c>
      <c r="BW3" s="393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95.2</v>
      </c>
      <c r="BL4" s="93">
        <f ca="1">$H$23</f>
        <v>952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-2</v>
      </c>
      <c r="BQ4" s="72">
        <f ca="1">-$AR$3*'Season Summary'!$AO$3</f>
        <v>-33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69.3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-2</v>
      </c>
      <c r="BQ5" s="74">
        <f ca="1">-$AR$3*'Season Summary'!$AO$3</f>
        <v>-33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98.3</v>
      </c>
      <c r="BL6" s="95">
        <f ca="1">$N$23</f>
        <v>983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-5.5</v>
      </c>
      <c r="BQ6" s="74">
        <f ca="1">-$AR$3*'Season Summary'!$AO$3</f>
        <v>-33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27.5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-33</v>
      </c>
      <c r="BQ7" s="74">
        <f ca="1">-$AR$3*'Season Summary'!$AO$3</f>
        <v>-33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92.8</v>
      </c>
      <c r="BL8" s="95">
        <f ca="1">$T$23</f>
        <v>928</v>
      </c>
      <c r="BM8" s="174"/>
      <c r="BN8" s="65">
        <f t="shared" ca="1" si="18"/>
        <v>5</v>
      </c>
      <c r="BO8" s="85" t="str">
        <f>$R$2</f>
        <v>DH</v>
      </c>
      <c r="BP8" s="75">
        <f t="shared" ca="1" si="19"/>
        <v>-2</v>
      </c>
      <c r="BQ8" s="74">
        <f ca="1">-$AR$3*'Season Summary'!$AO$3</f>
        <v>-33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89.8</v>
      </c>
      <c r="BL9" s="95">
        <f ca="1">$W$23</f>
        <v>898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60</v>
      </c>
      <c r="BQ9" s="74">
        <f ca="1">-$AR$3*'Season Summary'!$AO$3</f>
        <v>-33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97.8</v>
      </c>
      <c r="BL10" s="95">
        <f ca="1">$Z$23</f>
        <v>978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29</v>
      </c>
      <c r="BQ10" s="74">
        <f ca="1">-$AR$3*'Season Summary'!$AO$3</f>
        <v>-33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94.9</v>
      </c>
      <c r="BL11" s="95">
        <f ca="1">$AC$23</f>
        <v>949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-33</v>
      </c>
      <c r="BQ11" s="74">
        <f ca="1">-$AR$3*'Season Summary'!$AO$3</f>
        <v>-33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98.3</v>
      </c>
      <c r="BL12" s="95">
        <f ca="1">$AF$23</f>
        <v>983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25.5</v>
      </c>
      <c r="BQ12" s="74">
        <f ca="1">-$AR$3*'Season Summary'!$AO$3</f>
        <v>-33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27.5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96.4</v>
      </c>
      <c r="BL13" s="95">
        <f ca="1">$AI$23</f>
        <v>964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-33</v>
      </c>
      <c r="BQ13" s="74">
        <f ca="1">-$AR$3*'Season Summary'!$AO$3</f>
        <v>-33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91.9</v>
      </c>
      <c r="BL14" s="95">
        <f ca="1">$AL$23</f>
        <v>919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-33</v>
      </c>
      <c r="BQ14" s="74">
        <f ca="1">-$AR$3*'Season Summary'!$AO$3</f>
        <v>-33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94.9</v>
      </c>
      <c r="BL15" s="97">
        <f ca="1">$AO$23</f>
        <v>949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29</v>
      </c>
      <c r="BQ15" s="76">
        <f ca="1">-$AR$3*'Season Summary'!$AO$3</f>
        <v>-33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94" t="str">
        <f ca="1">CONCATENATE("Week ",$C$2," Scores")</f>
        <v>Week 15 Scores</v>
      </c>
      <c r="BF2" s="395"/>
      <c r="BG2" s="396"/>
      <c r="BH2" s="175"/>
      <c r="BI2" s="394" t="s">
        <v>72</v>
      </c>
      <c r="BJ2" s="395"/>
      <c r="BK2" s="395"/>
      <c r="BL2" s="396"/>
      <c r="BM2" s="174"/>
      <c r="BN2" s="394" t="s">
        <v>81</v>
      </c>
      <c r="BO2" s="395"/>
      <c r="BP2" s="396"/>
      <c r="BQ2" s="394" t="s">
        <v>77</v>
      </c>
      <c r="BR2" s="395"/>
      <c r="BS2" s="395"/>
      <c r="BT2" s="395"/>
      <c r="BU2" s="395"/>
      <c r="BV2" s="395"/>
      <c r="BW2" s="39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2" t="s">
        <v>74</v>
      </c>
      <c r="BS3" s="397"/>
      <c r="BT3" s="392" t="s">
        <v>75</v>
      </c>
      <c r="BU3" s="397"/>
      <c r="BV3" s="392" t="s">
        <v>76</v>
      </c>
      <c r="BW3" s="393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95.2</v>
      </c>
      <c r="BL4" s="93">
        <f ca="1">$H$23</f>
        <v>952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-2</v>
      </c>
      <c r="BQ4" s="72">
        <f ca="1">-$AR$3*'Season Summary'!$AO$3</f>
        <v>-33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69.3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-2</v>
      </c>
      <c r="BQ5" s="74">
        <f ca="1">-$AR$3*'Season Summary'!$AO$3</f>
        <v>-33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98.3</v>
      </c>
      <c r="BL6" s="95">
        <f ca="1">$N$23</f>
        <v>983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-5.5</v>
      </c>
      <c r="BQ6" s="74">
        <f ca="1">-$AR$3*'Season Summary'!$AO$3</f>
        <v>-33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27.5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-33</v>
      </c>
      <c r="BQ7" s="74">
        <f ca="1">-$AR$3*'Season Summary'!$AO$3</f>
        <v>-33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92.8</v>
      </c>
      <c r="BL8" s="95">
        <f ca="1">$T$23</f>
        <v>928</v>
      </c>
      <c r="BM8" s="174"/>
      <c r="BN8" s="65">
        <f t="shared" ca="1" si="18"/>
        <v>5</v>
      </c>
      <c r="BO8" s="85" t="str">
        <f>$R$2</f>
        <v>DH</v>
      </c>
      <c r="BP8" s="75">
        <f t="shared" ca="1" si="19"/>
        <v>-2</v>
      </c>
      <c r="BQ8" s="74">
        <f ca="1">-$AR$3*'Season Summary'!$AO$3</f>
        <v>-33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89.8</v>
      </c>
      <c r="BL9" s="95">
        <f ca="1">$W$23</f>
        <v>898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60</v>
      </c>
      <c r="BQ9" s="74">
        <f ca="1">-$AR$3*'Season Summary'!$AO$3</f>
        <v>-33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97.8</v>
      </c>
      <c r="BL10" s="95">
        <f ca="1">$Z$23</f>
        <v>978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29</v>
      </c>
      <c r="BQ10" s="74">
        <f ca="1">-$AR$3*'Season Summary'!$AO$3</f>
        <v>-33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94.9</v>
      </c>
      <c r="BL11" s="95">
        <f ca="1">$AC$23</f>
        <v>949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-33</v>
      </c>
      <c r="BQ11" s="74">
        <f ca="1">-$AR$3*'Season Summary'!$AO$3</f>
        <v>-33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98.3</v>
      </c>
      <c r="BL12" s="95">
        <f ca="1">$AF$23</f>
        <v>983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25.5</v>
      </c>
      <c r="BQ12" s="74">
        <f ca="1">-$AR$3*'Season Summary'!$AO$3</f>
        <v>-33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27.5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96.4</v>
      </c>
      <c r="BL13" s="95">
        <f ca="1">$AI$23</f>
        <v>964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-33</v>
      </c>
      <c r="BQ13" s="74">
        <f ca="1">-$AR$3*'Season Summary'!$AO$3</f>
        <v>-33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91.9</v>
      </c>
      <c r="BL14" s="95">
        <f ca="1">$AL$23</f>
        <v>919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-33</v>
      </c>
      <c r="BQ14" s="74">
        <f ca="1">-$AR$3*'Season Summary'!$AO$3</f>
        <v>-33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94.9</v>
      </c>
      <c r="BL15" s="97">
        <f ca="1">$AO$23</f>
        <v>949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29</v>
      </c>
      <c r="BQ15" s="76">
        <f ca="1">-$AR$3*'Season Summary'!$AO$3</f>
        <v>-33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94" t="str">
        <f ca="1">CONCATENATE("Week ",$C$2," Scores")</f>
        <v>Week 16 Scores</v>
      </c>
      <c r="BF2" s="395"/>
      <c r="BG2" s="396"/>
      <c r="BH2" s="175"/>
      <c r="BI2" s="394" t="s">
        <v>72</v>
      </c>
      <c r="BJ2" s="395"/>
      <c r="BK2" s="395"/>
      <c r="BL2" s="396"/>
      <c r="BM2" s="174"/>
      <c r="BN2" s="394" t="s">
        <v>81</v>
      </c>
      <c r="BO2" s="395"/>
      <c r="BP2" s="396"/>
      <c r="BQ2" s="394" t="s">
        <v>77</v>
      </c>
      <c r="BR2" s="395"/>
      <c r="BS2" s="395"/>
      <c r="BT2" s="395"/>
      <c r="BU2" s="395"/>
      <c r="BV2" s="395"/>
      <c r="BW2" s="39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2" t="s">
        <v>74</v>
      </c>
      <c r="BS3" s="397"/>
      <c r="BT3" s="392" t="s">
        <v>75</v>
      </c>
      <c r="BU3" s="397"/>
      <c r="BV3" s="392" t="s">
        <v>76</v>
      </c>
      <c r="BW3" s="393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95.2</v>
      </c>
      <c r="BL4" s="93">
        <f ca="1">$H$23</f>
        <v>952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-2</v>
      </c>
      <c r="BQ4" s="72">
        <f ca="1">-$AR$3*'Season Summary'!$AO$3</f>
        <v>-33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69.3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-2</v>
      </c>
      <c r="BQ5" s="74">
        <f ca="1">-$AR$3*'Season Summary'!$AO$3</f>
        <v>-33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98.3</v>
      </c>
      <c r="BL6" s="95">
        <f ca="1">$N$23</f>
        <v>983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-5.5</v>
      </c>
      <c r="BQ6" s="74">
        <f ca="1">-$AR$3*'Season Summary'!$AO$3</f>
        <v>-33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27.5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-33</v>
      </c>
      <c r="BQ7" s="74">
        <f ca="1">-$AR$3*'Season Summary'!$AO$3</f>
        <v>-33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92.8</v>
      </c>
      <c r="BL8" s="95">
        <f ca="1">$T$23</f>
        <v>928</v>
      </c>
      <c r="BM8" s="174"/>
      <c r="BN8" s="65">
        <f t="shared" ca="1" si="18"/>
        <v>5</v>
      </c>
      <c r="BO8" s="85" t="str">
        <f>$R$2</f>
        <v>DH</v>
      </c>
      <c r="BP8" s="75">
        <f t="shared" ca="1" si="19"/>
        <v>-2</v>
      </c>
      <c r="BQ8" s="74">
        <f ca="1">-$AR$3*'Season Summary'!$AO$3</f>
        <v>-33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89.8</v>
      </c>
      <c r="BL9" s="95">
        <f ca="1">$W$23</f>
        <v>898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60</v>
      </c>
      <c r="BQ9" s="74">
        <f ca="1">-$AR$3*'Season Summary'!$AO$3</f>
        <v>-33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97.8</v>
      </c>
      <c r="BL10" s="95">
        <f ca="1">$Z$23</f>
        <v>978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29</v>
      </c>
      <c r="BQ10" s="74">
        <f ca="1">-$AR$3*'Season Summary'!$AO$3</f>
        <v>-33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94.9</v>
      </c>
      <c r="BL11" s="95">
        <f ca="1">$AC$23</f>
        <v>949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-33</v>
      </c>
      <c r="BQ11" s="74">
        <f ca="1">-$AR$3*'Season Summary'!$AO$3</f>
        <v>-33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98.3</v>
      </c>
      <c r="BL12" s="95">
        <f ca="1">$AF$23</f>
        <v>983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25.5</v>
      </c>
      <c r="BQ12" s="74">
        <f ca="1">-$AR$3*'Season Summary'!$AO$3</f>
        <v>-33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27.5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96.4</v>
      </c>
      <c r="BL13" s="95">
        <f ca="1">$AI$23</f>
        <v>964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-33</v>
      </c>
      <c r="BQ13" s="74">
        <f ca="1">-$AR$3*'Season Summary'!$AO$3</f>
        <v>-33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91.9</v>
      </c>
      <c r="BL14" s="95">
        <f ca="1">$AL$23</f>
        <v>919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-33</v>
      </c>
      <c r="BQ14" s="74">
        <f ca="1">-$AR$3*'Season Summary'!$AO$3</f>
        <v>-33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94.9</v>
      </c>
      <c r="BL15" s="97">
        <f ca="1">$AO$23</f>
        <v>949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29</v>
      </c>
      <c r="BQ15" s="76">
        <f ca="1">-$AR$3*'Season Summary'!$AO$3</f>
        <v>-33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IF(OR($E$4="H",$E$4="V",$E$4="Tie"),0,-1)</f>
        <v>-1</v>
      </c>
      <c r="AS2" s="9" t="s">
        <v>28</v>
      </c>
      <c r="AT2" s="388" t="s">
        <v>12</v>
      </c>
      <c r="AU2" s="389" t="s">
        <v>12</v>
      </c>
      <c r="AV2" s="390"/>
      <c r="AW2" s="3"/>
      <c r="BE2" s="394" t="str">
        <f ca="1">CONCATENATE("Week ",$C$2," Scores")</f>
        <v>Week 17 Scores</v>
      </c>
      <c r="BF2" s="395"/>
      <c r="BG2" s="396"/>
      <c r="BH2" s="175"/>
      <c r="BI2" s="394" t="s">
        <v>72</v>
      </c>
      <c r="BJ2" s="395"/>
      <c r="BK2" s="395"/>
      <c r="BL2" s="396"/>
      <c r="BM2" s="174"/>
      <c r="BN2" s="394" t="s">
        <v>81</v>
      </c>
      <c r="BO2" s="395"/>
      <c r="BP2" s="396"/>
      <c r="BQ2" s="394" t="s">
        <v>77</v>
      </c>
      <c r="BR2" s="395"/>
      <c r="BS2" s="395"/>
      <c r="BT2" s="395"/>
      <c r="BU2" s="395"/>
      <c r="BV2" s="395"/>
      <c r="BW2" s="39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2" t="s">
        <v>74</v>
      </c>
      <c r="BS3" s="397"/>
      <c r="BT3" s="392" t="s">
        <v>75</v>
      </c>
      <c r="BU3" s="397"/>
      <c r="BV3" s="392" t="s">
        <v>76</v>
      </c>
      <c r="BW3" s="393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95.2</v>
      </c>
      <c r="BL4" s="93">
        <f ca="1">$H$23</f>
        <v>952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-2</v>
      </c>
      <c r="BQ4" s="72">
        <f ca="1">-$AR$3*'Season Summary'!$AO$3</f>
        <v>-33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69.3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-2</v>
      </c>
      <c r="BQ5" s="74">
        <f ca="1">-$AR$3*'Season Summary'!$AO$3</f>
        <v>-33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98.3</v>
      </c>
      <c r="BL6" s="95">
        <f ca="1">$N$23</f>
        <v>983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-5.5</v>
      </c>
      <c r="BQ6" s="74">
        <f ca="1">-$AR$3*'Season Summary'!$AO$3</f>
        <v>-33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27.5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-33</v>
      </c>
      <c r="BQ7" s="74">
        <f ca="1">-$AR$3*'Season Summary'!$AO$3</f>
        <v>-33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92.8</v>
      </c>
      <c r="BL8" s="95">
        <f ca="1">$T$23</f>
        <v>928</v>
      </c>
      <c r="BM8" s="174"/>
      <c r="BN8" s="65">
        <f t="shared" ca="1" si="18"/>
        <v>5</v>
      </c>
      <c r="BO8" s="85" t="str">
        <f>$R$2</f>
        <v>DH</v>
      </c>
      <c r="BP8" s="75">
        <f t="shared" ca="1" si="19"/>
        <v>-2</v>
      </c>
      <c r="BQ8" s="74">
        <f ca="1">-$AR$3*'Season Summary'!$AO$3</f>
        <v>-33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89.8</v>
      </c>
      <c r="BL9" s="95">
        <f ca="1">$W$23</f>
        <v>898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60</v>
      </c>
      <c r="BQ9" s="74">
        <f ca="1">-$AR$3*'Season Summary'!$AO$3</f>
        <v>-33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97.8</v>
      </c>
      <c r="BL10" s="95">
        <f ca="1">$Z$23</f>
        <v>978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29</v>
      </c>
      <c r="BQ10" s="74">
        <f ca="1">-$AR$3*'Season Summary'!$AO$3</f>
        <v>-33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94.9</v>
      </c>
      <c r="BL11" s="95">
        <f ca="1">$AC$23</f>
        <v>949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-33</v>
      </c>
      <c r="BQ11" s="74">
        <f ca="1">-$AR$3*'Season Summary'!$AO$3</f>
        <v>-33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98.3</v>
      </c>
      <c r="BL12" s="95">
        <f ca="1">$AF$23</f>
        <v>983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25.5</v>
      </c>
      <c r="BQ12" s="74">
        <f ca="1">-$AR$3*'Season Summary'!$AO$3</f>
        <v>-33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27.5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5</v>
      </c>
      <c r="BJ13" s="85" t="str">
        <f>$AG$2</f>
        <v>KK</v>
      </c>
      <c r="BK13" s="94">
        <f ca="1">$AI$22</f>
        <v>96.4</v>
      </c>
      <c r="BL13" s="95">
        <f ca="1">$AI$23</f>
        <v>964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-33</v>
      </c>
      <c r="BQ13" s="74">
        <f ca="1">-$AR$3*'Season Summary'!$AO$3</f>
        <v>-33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91.9</v>
      </c>
      <c r="BL14" s="95">
        <f ca="1">$AL$23</f>
        <v>919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-33</v>
      </c>
      <c r="BQ14" s="74">
        <f ca="1">-$AR$3*'Season Summary'!$AO$3</f>
        <v>-33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94.9</v>
      </c>
      <c r="BL15" s="97">
        <f ca="1">$AO$23</f>
        <v>949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29</v>
      </c>
      <c r="BQ15" s="76">
        <f ca="1">-$AR$3*'Season Summary'!$AO$3</f>
        <v>-33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8" t="str">
        <f ca="1">$AR$12</f>
        <v>Week 11 Final</v>
      </c>
      <c r="C2" s="399" t="str">
        <f ca="1">$AR$12</f>
        <v>Week 11 Final</v>
      </c>
      <c r="D2" s="400"/>
      <c r="E2" s="122" t="s">
        <v>673</v>
      </c>
      <c r="F2" s="123">
        <f ca="1">INDIRECT("'"&amp;INDEX(worksheet_names,_xlfn.SHEET()-1)&amp;"'!G2")</f>
        <v>-2</v>
      </c>
      <c r="G2" s="124"/>
      <c r="H2" s="122" t="s">
        <v>674</v>
      </c>
      <c r="I2" s="123">
        <f ca="1">INDIRECT("'"&amp;INDEX(worksheet_names,_xlfn.SHEET()-1)&amp;"'!J2")</f>
        <v>-2</v>
      </c>
      <c r="J2" s="124"/>
      <c r="K2" s="122" t="s">
        <v>675</v>
      </c>
      <c r="L2" s="123">
        <f ca="1">INDIRECT("'"&amp;INDEX(worksheet_names,_xlfn.SHEET()-1)&amp;"'!M2")</f>
        <v>-5.5</v>
      </c>
      <c r="M2" s="124"/>
      <c r="N2" s="122" t="s">
        <v>676</v>
      </c>
      <c r="O2" s="123">
        <f ca="1">INDIRECT("'"&amp;INDEX(worksheet_names,_xlfn.SHEET()-1)&amp;"'!P2")</f>
        <v>-33</v>
      </c>
      <c r="P2" s="124"/>
      <c r="Q2" s="122" t="s">
        <v>677</v>
      </c>
      <c r="R2" s="123">
        <f ca="1">INDIRECT("'"&amp;INDEX(worksheet_names,_xlfn.SHEET()-1)&amp;"'!S2")</f>
        <v>-2</v>
      </c>
      <c r="S2" s="124"/>
      <c r="T2" s="122" t="s">
        <v>678</v>
      </c>
      <c r="U2" s="123">
        <f ca="1">INDIRECT("'"&amp;INDEX(worksheet_names,_xlfn.SHEET()-1)&amp;"'!V2")</f>
        <v>60</v>
      </c>
      <c r="V2" s="124"/>
      <c r="W2" s="122" t="s">
        <v>679</v>
      </c>
      <c r="X2" s="123">
        <f ca="1">INDIRECT("'"&amp;INDEX(worksheet_names,_xlfn.SHEET()-1)&amp;"'!Y2")</f>
        <v>29</v>
      </c>
      <c r="Y2" s="124"/>
      <c r="Z2" s="122" t="s">
        <v>680</v>
      </c>
      <c r="AA2" s="123">
        <f ca="1">INDIRECT("'"&amp;INDEX(worksheet_names,_xlfn.SHEET()-1)&amp;"'!AB2")</f>
        <v>-33</v>
      </c>
      <c r="AB2" s="124"/>
      <c r="AC2" s="122" t="s">
        <v>681</v>
      </c>
      <c r="AD2" s="123">
        <f ca="1">INDIRECT("'"&amp;INDEX(worksheet_names,_xlfn.SHEET()-1)&amp;"'!AE2")</f>
        <v>25.5</v>
      </c>
      <c r="AE2" s="124"/>
      <c r="AF2" s="122" t="s">
        <v>682</v>
      </c>
      <c r="AG2" s="123">
        <f ca="1">INDIRECT("'"&amp;INDEX(worksheet_names,_xlfn.SHEET()-1)&amp;"'!AH2")</f>
        <v>-33</v>
      </c>
      <c r="AH2" s="124"/>
      <c r="AI2" s="122" t="s">
        <v>683</v>
      </c>
      <c r="AJ2" s="123">
        <f ca="1">INDIRECT("'"&amp;INDEX(worksheet_names,_xlfn.SHEET()-1)&amp;"'!AK2")</f>
        <v>-33</v>
      </c>
      <c r="AK2" s="124"/>
      <c r="AL2" s="122" t="s">
        <v>684</v>
      </c>
      <c r="AM2" s="123">
        <f ca="1">INDIRECT("'"&amp;INDEX(worksheet_names,_xlfn.SHEET()-1)&amp;"'!AN2")</f>
        <v>29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11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12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11'!$B$2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>
        <f>IF('Week 7'!$E$4="","",C10)</f>
        <v>14</v>
      </c>
      <c r="E10" s="238">
        <f ca="1">IF('Week 7'!$AR$2=0,IF('Week 7'!F$4="","",'Week 7'!G$21),"")</f>
        <v>10</v>
      </c>
      <c r="F10" s="239">
        <f>IF('Week 7'!$AR$2=0,IF('Week 7'!F$4="",0,'Week 7'!H$25),"")</f>
        <v>9</v>
      </c>
      <c r="G10" s="240">
        <f ca="1">IF('Week 7'!$AR$2=0,IF('Week 7'!F$4="",0,'Week 7'!H$21),"")</f>
        <v>105</v>
      </c>
      <c r="H10" s="241">
        <f ca="1">IF('Week 7'!$AR$2=0,IF('Week 7'!I$4="","",'Week 7'!J$21),"")</f>
        <v>12</v>
      </c>
      <c r="I10" s="239">
        <f>IF('Week 7'!$AR$2=0,IF('Week 7'!I$4="",0,'Week 7'!K$25),"")</f>
        <v>7</v>
      </c>
      <c r="J10" s="240">
        <f ca="1">IF('Week 7'!$AR$2=0,IF('Week 7'!I$4="",0,'Week 7'!K$21),"")</f>
        <v>75</v>
      </c>
      <c r="K10" s="241">
        <f ca="1">IF('Week 7'!$AR$2=0,IF('Week 7'!L$4="","",'Week 7'!M$21),"")</f>
        <v>4</v>
      </c>
      <c r="L10" s="239">
        <f>IF('Week 7'!$AR$2=0,IF('Week 7'!L$4="",0,'Week 7'!N$25),"")</f>
        <v>10</v>
      </c>
      <c r="M10" s="240">
        <f ca="1">IF('Week 7'!$AR$2=0,IF('Week 7'!L$4="",0,'Week 7'!N$21),"")</f>
        <v>110</v>
      </c>
      <c r="N10" s="241">
        <f ca="1">IF('Week 7'!$AR$2=0,IF('Week 7'!O$4="","",'Week 7'!P$21),"")</f>
        <v>7</v>
      </c>
      <c r="O10" s="239">
        <f>IF('Week 7'!$AR$2=0,IF('Week 7'!O$4="",0,'Week 7'!Q$25),"")</f>
        <v>9</v>
      </c>
      <c r="P10" s="240">
        <f ca="1">IF('Week 7'!$AR$2=0,IF('Week 7'!O$4="",0,'Week 7'!Q$21),"")</f>
        <v>106</v>
      </c>
      <c r="Q10" s="241">
        <f ca="1">IF('Week 7'!$AR$2=0,IF('Week 7'!R$4="","",'Week 7'!S$21),"")</f>
        <v>6</v>
      </c>
      <c r="R10" s="239">
        <f>IF('Week 7'!$AR$2=0,IF('Week 7'!R$4="",0,'Week 7'!T$25),"")</f>
        <v>9</v>
      </c>
      <c r="S10" s="240">
        <f ca="1">IF('Week 7'!$AR$2=0,IF('Week 7'!R$4="",0,'Week 7'!T$21),"")</f>
        <v>107</v>
      </c>
      <c r="T10" s="241">
        <f ca="1">IF('Week 7'!$AR$2=0,IF('Week 7'!U$4="","",'Week 7'!V$21),"")</f>
        <v>1</v>
      </c>
      <c r="U10" s="239">
        <f>IF('Week 7'!$AR$2=0,IF('Week 7'!U$4="",0,'Week 7'!W$25),"")</f>
        <v>13</v>
      </c>
      <c r="V10" s="240">
        <f ca="1">IF('Week 7'!$AR$2=0,IF('Week 7'!U$4="",0,'Week 7'!W$21),"")</f>
        <v>129</v>
      </c>
      <c r="W10" s="241">
        <f ca="1">IF('Week 7'!$AR$2=0,IF('Week 7'!X$4="","",'Week 7'!Y$21),"")</f>
        <v>4</v>
      </c>
      <c r="X10" s="239">
        <f>IF('Week 7'!$AR$2=0,IF('Week 7'!X$4="",0,'Week 7'!Z$25),"")</f>
        <v>11</v>
      </c>
      <c r="Y10" s="240">
        <f ca="1">IF('Week 7'!$AR$2=0,IF('Week 7'!X$4="",0,'Week 7'!Z$21),"")</f>
        <v>110</v>
      </c>
      <c r="Z10" s="241">
        <f ca="1">IF('Week 7'!$AR$2=0,IF('Week 7'!AA$4="","",'Week 7'!AB$21),"")</f>
        <v>2</v>
      </c>
      <c r="AA10" s="239">
        <f>IF('Week 7'!$AR$2=0,IF('Week 7'!AA$4="",0,'Week 7'!AC$25),"")</f>
        <v>12</v>
      </c>
      <c r="AB10" s="240">
        <f ca="1">IF('Week 7'!$AR$2=0,IF('Week 7'!AA$4="",0,'Week 7'!AC$21),"")</f>
        <v>119</v>
      </c>
      <c r="AC10" s="241">
        <f ca="1">IF('Week 7'!$AR$2=0,IF('Week 7'!AD$4="","",'Week 7'!AE$21),"")</f>
        <v>7</v>
      </c>
      <c r="AD10" s="239">
        <f>IF('Week 7'!$AR$2=0,IF('Week 7'!AD$4="",0,'Week 7'!AF$25),"")</f>
        <v>9</v>
      </c>
      <c r="AE10" s="240">
        <f ca="1">IF('Week 7'!$AR$2=0,IF('Week 7'!AD$4="",0,'Week 7'!AF$21),"")</f>
        <v>106</v>
      </c>
      <c r="AF10" s="241">
        <f ca="1">IF('Week 7'!$AR$2=0,IF('Week 7'!AG$4="","",'Week 7'!AH$21),"")</f>
        <v>11</v>
      </c>
      <c r="AG10" s="239">
        <f>IF('Week 7'!$AR$2=0,IF('Week 7'!AG$4="",0,'Week 7'!AI$25),"")</f>
        <v>9</v>
      </c>
      <c r="AH10" s="240">
        <f ca="1">IF('Week 7'!$AR$2=0,IF('Week 7'!AG$4="",0,'Week 7'!AI$21),"")</f>
        <v>99</v>
      </c>
      <c r="AI10" s="241">
        <f ca="1">IF('Week 7'!$AR$2=0,IF('Week 7'!AJ$4="","",'Week 7'!AK$21),"")</f>
        <v>3</v>
      </c>
      <c r="AJ10" s="239">
        <f>IF('Week 7'!$AR$2=0,IF('Week 7'!AJ$4="",0,'Week 7'!AL$25),"")</f>
        <v>10</v>
      </c>
      <c r="AK10" s="240">
        <f ca="1">IF('Week 7'!$AR$2=0,IF('Week 7'!AJ$4="",0,'Week 7'!AL$21),"")</f>
        <v>111</v>
      </c>
      <c r="AL10" s="241">
        <f ca="1">IF('Week 7'!$AR$2=0,IF('Week 7'!AM$4="","",'Week 7'!AN$21),"")</f>
        <v>7</v>
      </c>
      <c r="AM10" s="239">
        <f>IF('Week 7'!$AR$2=0,IF('Week 7'!AM$4="",0,'Week 7'!AO$25),"")</f>
        <v>9</v>
      </c>
      <c r="AN10" s="242">
        <f ca="1">IF('Week 7'!$AR$2=0,IF('Week 7'!AM$4="",0,'Week 7'!AO$21),"")</f>
        <v>106</v>
      </c>
      <c r="AO10" s="46"/>
      <c r="AQ10" s="46"/>
      <c r="AR10" s="48" t="str">
        <f>CONCATENATE("'Week ",$AQ$2,"'!$C$2")</f>
        <v>'Week 11'!$C$2</v>
      </c>
      <c r="AS10" s="4">
        <f t="shared" si="12"/>
        <v>14</v>
      </c>
      <c r="BJ10" s="4"/>
      <c r="BK10" s="4" t="str">
        <f t="shared" ca="1" si="0"/>
        <v/>
      </c>
      <c r="BL10" s="4"/>
      <c r="BM10" s="4">
        <f t="shared" ca="1" si="13"/>
        <v>105</v>
      </c>
      <c r="BN10" s="4">
        <f t="shared" ca="1" si="1"/>
        <v>1</v>
      </c>
      <c r="BO10" s="4"/>
      <c r="BP10" s="4">
        <f t="shared" ca="1" si="14"/>
        <v>75</v>
      </c>
      <c r="BQ10" s="4" t="str">
        <f t="shared" ca="1" si="2"/>
        <v/>
      </c>
      <c r="BR10" s="4"/>
      <c r="BS10" s="4">
        <f t="shared" ca="1" si="15"/>
        <v>110</v>
      </c>
      <c r="BT10" s="4" t="str">
        <f t="shared" ca="1" si="3"/>
        <v/>
      </c>
      <c r="BU10" s="4"/>
      <c r="BV10" s="4">
        <f t="shared" ca="1" si="16"/>
        <v>106</v>
      </c>
      <c r="BW10" s="4" t="str">
        <f t="shared" ca="1" si="4"/>
        <v/>
      </c>
      <c r="BX10" s="4"/>
      <c r="BY10" s="4">
        <f t="shared" ca="1" si="17"/>
        <v>107</v>
      </c>
      <c r="BZ10" s="4" t="str">
        <f t="shared" ca="1" si="5"/>
        <v/>
      </c>
      <c r="CA10" s="4"/>
      <c r="CB10" s="4">
        <f t="shared" ca="1" si="18"/>
        <v>129</v>
      </c>
      <c r="CC10" s="4" t="str">
        <f t="shared" ca="1" si="6"/>
        <v/>
      </c>
      <c r="CD10" s="4"/>
      <c r="CE10" s="4">
        <f t="shared" ca="1" si="19"/>
        <v>110</v>
      </c>
      <c r="CF10" s="4" t="str">
        <f t="shared" ca="1" si="7"/>
        <v/>
      </c>
      <c r="CG10" s="4"/>
      <c r="CH10" s="4">
        <f t="shared" ca="1" si="20"/>
        <v>119</v>
      </c>
      <c r="CI10" s="4" t="str">
        <f t="shared" ca="1" si="8"/>
        <v/>
      </c>
      <c r="CJ10" s="4"/>
      <c r="CK10" s="4">
        <f t="shared" ca="1" si="21"/>
        <v>106</v>
      </c>
      <c r="CL10" s="4" t="str">
        <f t="shared" ca="1" si="9"/>
        <v/>
      </c>
      <c r="CM10" s="4"/>
      <c r="CN10" s="4">
        <f t="shared" ca="1" si="22"/>
        <v>99</v>
      </c>
      <c r="CO10" s="4" t="str">
        <f t="shared" ca="1" si="10"/>
        <v/>
      </c>
      <c r="CP10" s="4"/>
      <c r="CQ10" s="4">
        <f t="shared" ca="1" si="23"/>
        <v>111</v>
      </c>
      <c r="CR10" s="4" t="str">
        <f t="shared" ca="1" si="11"/>
        <v/>
      </c>
      <c r="CS10" s="4"/>
      <c r="CT10" s="4">
        <f t="shared" ca="1" si="24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>
        <f>IF('Week 8'!$E$4="","",C11)</f>
        <v>14</v>
      </c>
      <c r="E11" s="238">
        <f ca="1">IF('Week 8'!$AR$2=0,IF('Week 8'!F$4="","",'Week 8'!G$21),"")</f>
        <v>3</v>
      </c>
      <c r="F11" s="239">
        <f>IF('Week 8'!$AR$2=0,IF('Week 8'!F$4="",0,'Week 8'!H$25),"")</f>
        <v>7</v>
      </c>
      <c r="G11" s="240">
        <f ca="1">IF('Week 8'!$AR$2=0,IF('Week 8'!F$4="",0,'Week 8'!H$21),"")</f>
        <v>80</v>
      </c>
      <c r="H11" s="241">
        <f ca="1">IF('Week 8'!$AR$2=0,IF('Week 8'!I$4="","",'Week 8'!J$21),"")</f>
        <v>8</v>
      </c>
      <c r="I11" s="239">
        <f>IF('Week 8'!$AR$2=0,IF('Week 8'!I$4="",0,'Week 8'!K$25),"")</f>
        <v>8</v>
      </c>
      <c r="J11" s="240">
        <f ca="1">IF('Week 8'!$AR$2=0,IF('Week 8'!I$4="",0,'Week 8'!K$21),"")</f>
        <v>77</v>
      </c>
      <c r="K11" s="241">
        <f ca="1">IF('Week 8'!$AR$2=0,IF('Week 8'!L$4="","",'Week 8'!M$21),"")</f>
        <v>3</v>
      </c>
      <c r="L11" s="239">
        <f>IF('Week 8'!$AR$2=0,IF('Week 8'!L$4="",0,'Week 8'!N$25),"")</f>
        <v>8</v>
      </c>
      <c r="M11" s="240">
        <f ca="1">IF('Week 8'!$AR$2=0,IF('Week 8'!L$4="",0,'Week 8'!N$21),"")</f>
        <v>80</v>
      </c>
      <c r="N11" s="241">
        <f ca="1">IF('Week 8'!$AR$2=0,IF('Week 8'!O$4="","",'Week 8'!P$21),"")</f>
        <v>2</v>
      </c>
      <c r="O11" s="239">
        <f>IF('Week 8'!$AR$2=0,IF('Week 8'!O$4="",0,'Week 8'!Q$25),"")</f>
        <v>8</v>
      </c>
      <c r="P11" s="240">
        <f ca="1">IF('Week 8'!$AR$2=0,IF('Week 8'!O$4="",0,'Week 8'!Q$21),"")</f>
        <v>83</v>
      </c>
      <c r="Q11" s="241">
        <f ca="1">IF('Week 8'!$AR$2=0,IF('Week 8'!R$4="","",'Week 8'!S$21),"")</f>
        <v>10</v>
      </c>
      <c r="R11" s="239">
        <f>IF('Week 8'!$AR$2=0,IF('Week 8'!R$4="",0,'Week 8'!T$25),"")</f>
        <v>8</v>
      </c>
      <c r="S11" s="240">
        <f ca="1">IF('Week 8'!$AR$2=0,IF('Week 8'!R$4="",0,'Week 8'!T$21),"")</f>
        <v>75</v>
      </c>
      <c r="T11" s="241">
        <f ca="1">IF('Week 8'!$AR$2=0,IF('Week 8'!U$4="","",'Week 8'!V$21),"")</f>
        <v>1</v>
      </c>
      <c r="U11" s="239">
        <f>IF('Week 8'!$AR$2=0,IF('Week 8'!U$4="",0,'Week 8'!W$25),"")</f>
        <v>8</v>
      </c>
      <c r="V11" s="240">
        <f ca="1">IF('Week 8'!$AR$2=0,IF('Week 8'!U$4="",0,'Week 8'!W$21),"")</f>
        <v>85</v>
      </c>
      <c r="W11" s="241">
        <f ca="1">IF('Week 8'!$AR$2=0,IF('Week 8'!X$4="","",'Week 8'!Y$21),"")</f>
        <v>6</v>
      </c>
      <c r="X11" s="239">
        <f>IF('Week 8'!$AR$2=0,IF('Week 8'!X$4="",0,'Week 8'!Z$25),"")</f>
        <v>8</v>
      </c>
      <c r="Y11" s="240">
        <f ca="1">IF('Week 8'!$AR$2=0,IF('Week 8'!X$4="",0,'Week 8'!Z$21),"")</f>
        <v>78</v>
      </c>
      <c r="Z11" s="241">
        <f ca="1">IF('Week 8'!$AR$2=0,IF('Week 8'!AA$4="","",'Week 8'!AB$21),"")</f>
        <v>12</v>
      </c>
      <c r="AA11" s="239">
        <f>IF('Week 8'!$AR$2=0,IF('Week 8'!AA$4="",0,'Week 8'!AC$25),"")</f>
        <v>7</v>
      </c>
      <c r="AB11" s="240">
        <f ca="1">IF('Week 8'!$AR$2=0,IF('Week 8'!AA$4="",0,'Week 8'!AC$21),"")</f>
        <v>71</v>
      </c>
      <c r="AC11" s="241">
        <f ca="1">IF('Week 8'!$AR$2=0,IF('Week 8'!AD$4="","",'Week 8'!AE$21),"")</f>
        <v>8</v>
      </c>
      <c r="AD11" s="239">
        <f>IF('Week 8'!$AR$2=0,IF('Week 8'!AD$4="",0,'Week 8'!AF$25),"")</f>
        <v>7</v>
      </c>
      <c r="AE11" s="240">
        <f ca="1">IF('Week 8'!$AR$2=0,IF('Week 8'!AD$4="",0,'Week 8'!AF$21),"")</f>
        <v>77</v>
      </c>
      <c r="AF11" s="241">
        <f ca="1">IF('Week 8'!$AR$2=0,IF('Week 8'!AG$4="","",'Week 8'!AH$21),"")</f>
        <v>11</v>
      </c>
      <c r="AG11" s="239">
        <f>IF('Week 8'!$AR$2=0,IF('Week 8'!AG$4="",0,'Week 8'!AI$25),"")</f>
        <v>7</v>
      </c>
      <c r="AH11" s="240">
        <f ca="1">IF('Week 8'!$AR$2=0,IF('Week 8'!AG$4="",0,'Week 8'!AI$21),"")</f>
        <v>72</v>
      </c>
      <c r="AI11" s="241">
        <f ca="1">IF('Week 8'!$AR$2=0,IF('Week 8'!AJ$4="","",'Week 8'!AK$21),"")</f>
        <v>3</v>
      </c>
      <c r="AJ11" s="239">
        <f>IF('Week 8'!$AR$2=0,IF('Week 8'!AJ$4="",0,'Week 8'!AL$25),"")</f>
        <v>8</v>
      </c>
      <c r="AK11" s="240">
        <f ca="1">IF('Week 8'!$AR$2=0,IF('Week 8'!AJ$4="",0,'Week 8'!AL$21),"")</f>
        <v>80</v>
      </c>
      <c r="AL11" s="241">
        <f ca="1">IF('Week 8'!$AR$2=0,IF('Week 8'!AM$4="","",'Week 8'!AN$21),"")</f>
        <v>6</v>
      </c>
      <c r="AM11" s="239">
        <f>IF('Week 8'!$AR$2=0,IF('Week 8'!AM$4="",0,'Week 8'!AO$25),"")</f>
        <v>7</v>
      </c>
      <c r="AN11" s="242">
        <f ca="1">IF('Week 8'!$AR$2=0,IF('Week 8'!AM$4="",0,'Week 8'!AO$21),"")</f>
        <v>78</v>
      </c>
      <c r="AO11" s="46"/>
      <c r="AP11" s="47"/>
      <c r="AQ11" s="46"/>
      <c r="AR11" s="48" t="str">
        <f>CONCATENATE("'Week ",$AQ$2,"'!$D$2")</f>
        <v>'Week 11'!$D$2</v>
      </c>
      <c r="AS11" s="4">
        <f t="shared" si="12"/>
        <v>14</v>
      </c>
      <c r="BJ11" s="4"/>
      <c r="BK11" s="4" t="str">
        <f t="shared" ca="1" si="0"/>
        <v/>
      </c>
      <c r="BL11" s="4"/>
      <c r="BM11" s="4">
        <f t="shared" ca="1" si="13"/>
        <v>80</v>
      </c>
      <c r="BN11" s="4" t="str">
        <f t="shared" ca="1" si="1"/>
        <v/>
      </c>
      <c r="BO11" s="4"/>
      <c r="BP11" s="4">
        <f t="shared" ca="1" si="14"/>
        <v>77</v>
      </c>
      <c r="BQ11" s="4" t="str">
        <f t="shared" ca="1" si="2"/>
        <v/>
      </c>
      <c r="BR11" s="4"/>
      <c r="BS11" s="4">
        <f t="shared" ca="1" si="15"/>
        <v>80</v>
      </c>
      <c r="BT11" s="4" t="str">
        <f t="shared" ca="1" si="3"/>
        <v/>
      </c>
      <c r="BU11" s="4"/>
      <c r="BV11" s="4">
        <f t="shared" ca="1" si="16"/>
        <v>83</v>
      </c>
      <c r="BW11" s="4" t="str">
        <f t="shared" ca="1" si="4"/>
        <v/>
      </c>
      <c r="BX11" s="4"/>
      <c r="BY11" s="4">
        <f t="shared" ca="1" si="17"/>
        <v>75</v>
      </c>
      <c r="BZ11" s="4" t="str">
        <f t="shared" ca="1" si="5"/>
        <v/>
      </c>
      <c r="CA11" s="4"/>
      <c r="CB11" s="4">
        <f t="shared" ca="1" si="18"/>
        <v>85</v>
      </c>
      <c r="CC11" s="4" t="str">
        <f t="shared" ca="1" si="6"/>
        <v/>
      </c>
      <c r="CD11" s="4"/>
      <c r="CE11" s="4">
        <f t="shared" ca="1" si="19"/>
        <v>78</v>
      </c>
      <c r="CF11" s="4">
        <f t="shared" ca="1" si="7"/>
        <v>1</v>
      </c>
      <c r="CG11" s="4"/>
      <c r="CH11" s="4">
        <f t="shared" ca="1" si="20"/>
        <v>71</v>
      </c>
      <c r="CI11" s="4" t="str">
        <f t="shared" ca="1" si="8"/>
        <v/>
      </c>
      <c r="CJ11" s="4"/>
      <c r="CK11" s="4">
        <f t="shared" ca="1" si="21"/>
        <v>77</v>
      </c>
      <c r="CL11" s="4" t="str">
        <f t="shared" ca="1" si="9"/>
        <v/>
      </c>
      <c r="CM11" s="4"/>
      <c r="CN11" s="4">
        <f t="shared" ca="1" si="22"/>
        <v>72</v>
      </c>
      <c r="CO11" s="4" t="str">
        <f t="shared" ca="1" si="10"/>
        <v/>
      </c>
      <c r="CP11" s="4"/>
      <c r="CQ11" s="4">
        <f t="shared" ca="1" si="23"/>
        <v>80</v>
      </c>
      <c r="CR11" s="4" t="str">
        <f t="shared" ca="1" si="11"/>
        <v/>
      </c>
      <c r="CS11" s="4"/>
      <c r="CT11" s="4">
        <f t="shared" ca="1" si="24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>
        <f>IF('Week 9'!$E$4="","",C12)</f>
        <v>14</v>
      </c>
      <c r="E12" s="238">
        <f ca="1">IF('Week 9'!$AR$2=0,IF('Week 9'!F$4="","",'Week 9'!G$21),"")</f>
        <v>9</v>
      </c>
      <c r="F12" s="239">
        <f>IF('Week 9'!$AR$2=0,IF('Week 9'!F$4="",0,'Week 9'!H$25),"")</f>
        <v>10</v>
      </c>
      <c r="G12" s="240">
        <f ca="1">IF('Week 9'!$AR$2=0,IF('Week 9'!F$4="",0,'Week 9'!H$21),"")</f>
        <v>97</v>
      </c>
      <c r="H12" s="241">
        <f ca="1">IF('Week 9'!$AR$2=0,IF('Week 9'!I$4="","",'Week 9'!J$21),"")</f>
        <v>10</v>
      </c>
      <c r="I12" s="239">
        <f>IF('Week 9'!$AR$2=0,IF('Week 9'!I$4="",0,'Week 9'!K$25),"")</f>
        <v>8</v>
      </c>
      <c r="J12" s="240">
        <f ca="1">IF('Week 9'!$AR$2=0,IF('Week 9'!I$4="",0,'Week 9'!K$21),"")</f>
        <v>94</v>
      </c>
      <c r="K12" s="241">
        <f ca="1">IF('Week 9'!$AR$2=0,IF('Week 9'!L$4="","",'Week 9'!M$21),"")</f>
        <v>6</v>
      </c>
      <c r="L12" s="239">
        <f>IF('Week 9'!$AR$2=0,IF('Week 9'!L$4="",0,'Week 9'!N$25),"")</f>
        <v>9</v>
      </c>
      <c r="M12" s="240">
        <f ca="1">IF('Week 9'!$AR$2=0,IF('Week 9'!L$4="",0,'Week 9'!N$21),"")</f>
        <v>101</v>
      </c>
      <c r="N12" s="241">
        <f ca="1">IF('Week 9'!$AR$2=0,IF('Week 9'!O$4="","",'Week 9'!P$21),"")</f>
        <v>3</v>
      </c>
      <c r="O12" s="239">
        <f>IF('Week 9'!$AR$2=0,IF('Week 9'!O$4="",0,'Week 9'!Q$25),"")</f>
        <v>10</v>
      </c>
      <c r="P12" s="240">
        <f ca="1">IF('Week 9'!$AR$2=0,IF('Week 9'!O$4="",0,'Week 9'!Q$21),"")</f>
        <v>105</v>
      </c>
      <c r="Q12" s="241">
        <f ca="1">IF('Week 9'!$AR$2=0,IF('Week 9'!R$4="","",'Week 9'!S$21),"")</f>
        <v>2</v>
      </c>
      <c r="R12" s="239">
        <f>IF('Week 9'!$AR$2=0,IF('Week 9'!R$4="",0,'Week 9'!T$25),"")</f>
        <v>10</v>
      </c>
      <c r="S12" s="240">
        <f ca="1">IF('Week 9'!$AR$2=0,IF('Week 9'!R$4="",0,'Week 9'!T$21),"")</f>
        <v>107</v>
      </c>
      <c r="T12" s="241">
        <f ca="1">IF('Week 9'!$AR$2=0,IF('Week 9'!U$4="","",'Week 9'!V$21),"")</f>
        <v>12</v>
      </c>
      <c r="U12" s="239">
        <f>IF('Week 9'!$AR$2=0,IF('Week 9'!U$4="",0,'Week 9'!W$25),"")</f>
        <v>8</v>
      </c>
      <c r="V12" s="240">
        <f ca="1">IF('Week 9'!$AR$2=0,IF('Week 9'!U$4="",0,'Week 9'!W$21),"")</f>
        <v>85</v>
      </c>
      <c r="W12" s="241">
        <f ca="1">IF('Week 9'!$AR$2=0,IF('Week 9'!X$4="","",'Week 9'!Y$21),"")</f>
        <v>4</v>
      </c>
      <c r="X12" s="239">
        <f>IF('Week 9'!$AR$2=0,IF('Week 9'!X$4="",0,'Week 9'!Z$25),"")</f>
        <v>10</v>
      </c>
      <c r="Y12" s="240">
        <f ca="1">IF('Week 9'!$AR$2=0,IF('Week 9'!X$4="",0,'Week 9'!Z$21),"")</f>
        <v>103</v>
      </c>
      <c r="Z12" s="241">
        <f ca="1">IF('Week 9'!$AR$2=0,IF('Week 9'!AA$4="","",'Week 9'!AB$21),"")</f>
        <v>11</v>
      </c>
      <c r="AA12" s="239">
        <f>IF('Week 9'!$AR$2=0,IF('Week 9'!AA$4="",0,'Week 9'!AC$25),"")</f>
        <v>8</v>
      </c>
      <c r="AB12" s="240">
        <f ca="1">IF('Week 9'!$AR$2=0,IF('Week 9'!AA$4="",0,'Week 9'!AC$21),"")</f>
        <v>91</v>
      </c>
      <c r="AC12" s="241">
        <f ca="1">IF('Week 9'!$AR$2=0,IF('Week 9'!AD$4="","",'Week 9'!AE$21),"")</f>
        <v>8</v>
      </c>
      <c r="AD12" s="239">
        <f>IF('Week 9'!$AR$2=0,IF('Week 9'!AD$4="",0,'Week 9'!AF$25),"")</f>
        <v>9</v>
      </c>
      <c r="AE12" s="240">
        <f ca="1">IF('Week 9'!$AR$2=0,IF('Week 9'!AD$4="",0,'Week 9'!AF$21),"")</f>
        <v>100</v>
      </c>
      <c r="AF12" s="241">
        <f ca="1">IF('Week 9'!$AR$2=0,IF('Week 9'!AG$4="","",'Week 9'!AH$21),"")</f>
        <v>4</v>
      </c>
      <c r="AG12" s="239">
        <f>IF('Week 9'!$AR$2=0,IF('Week 9'!AG$4="",0,'Week 9'!AI$25),"")</f>
        <v>10</v>
      </c>
      <c r="AH12" s="240">
        <f ca="1">IF('Week 9'!$AR$2=0,IF('Week 9'!AG$4="",0,'Week 9'!AI$21),"")</f>
        <v>103</v>
      </c>
      <c r="AI12" s="241">
        <f ca="1">IF('Week 9'!$AR$2=0,IF('Week 9'!AJ$4="","",'Week 9'!AK$21),"")</f>
        <v>6</v>
      </c>
      <c r="AJ12" s="239">
        <f>IF('Week 9'!$AR$2=0,IF('Week 9'!AJ$4="",0,'Week 9'!AL$25),"")</f>
        <v>10</v>
      </c>
      <c r="AK12" s="240">
        <f ca="1">IF('Week 9'!$AR$2=0,IF('Week 9'!AJ$4="",0,'Week 9'!AL$21),"")</f>
        <v>101</v>
      </c>
      <c r="AL12" s="241">
        <f ca="1">IF('Week 9'!$AR$2=0,IF('Week 9'!AM$4="","",'Week 9'!AN$21),"")</f>
        <v>1</v>
      </c>
      <c r="AM12" s="239">
        <f>IF('Week 9'!$AR$2=0,IF('Week 9'!AM$4="",0,'Week 9'!AO$25),"")</f>
        <v>10</v>
      </c>
      <c r="AN12" s="242">
        <f ca="1">IF('Week 9'!$AR$2=0,IF('Week 9'!AM$4="",0,'Week 9'!AO$21),"")</f>
        <v>115</v>
      </c>
      <c r="AO12" s="46"/>
      <c r="AP12" s="47"/>
      <c r="AQ12" s="46"/>
      <c r="AR12" s="48" t="str">
        <f ca="1">IF($AQ$2=0,"",CONCATENATE(INDIRECT($AR$9),INDIRECT($AR$10),INDIRECT($AR$11)))</f>
        <v>Week 11 Final</v>
      </c>
      <c r="AS12" s="4">
        <f t="shared" si="12"/>
        <v>14</v>
      </c>
      <c r="BJ12" s="4"/>
      <c r="BK12" s="4" t="str">
        <f t="shared" ca="1" si="0"/>
        <v/>
      </c>
      <c r="BL12" s="4"/>
      <c r="BM12" s="4">
        <f t="shared" ca="1" si="13"/>
        <v>97</v>
      </c>
      <c r="BN12" s="4" t="str">
        <f t="shared" ca="1" si="1"/>
        <v/>
      </c>
      <c r="BO12" s="4"/>
      <c r="BP12" s="4">
        <f t="shared" ca="1" si="14"/>
        <v>94</v>
      </c>
      <c r="BQ12" s="4" t="str">
        <f t="shared" ca="1" si="2"/>
        <v/>
      </c>
      <c r="BR12" s="4"/>
      <c r="BS12" s="4">
        <f t="shared" ca="1" si="15"/>
        <v>101</v>
      </c>
      <c r="BT12" s="4" t="str">
        <f t="shared" ca="1" si="3"/>
        <v/>
      </c>
      <c r="BU12" s="4"/>
      <c r="BV12" s="4">
        <f t="shared" ca="1" si="16"/>
        <v>105</v>
      </c>
      <c r="BW12" s="4" t="str">
        <f t="shared" ca="1" si="4"/>
        <v/>
      </c>
      <c r="BX12" s="4"/>
      <c r="BY12" s="4">
        <f t="shared" ca="1" si="17"/>
        <v>107</v>
      </c>
      <c r="BZ12" s="4">
        <f t="shared" ca="1" si="5"/>
        <v>1</v>
      </c>
      <c r="CA12" s="4"/>
      <c r="CB12" s="4">
        <f t="shared" ca="1" si="18"/>
        <v>85</v>
      </c>
      <c r="CC12" s="4" t="str">
        <f t="shared" ca="1" si="6"/>
        <v/>
      </c>
      <c r="CD12" s="4"/>
      <c r="CE12" s="4">
        <f t="shared" ca="1" si="19"/>
        <v>103</v>
      </c>
      <c r="CF12" s="4" t="str">
        <f t="shared" ca="1" si="7"/>
        <v/>
      </c>
      <c r="CG12" s="4"/>
      <c r="CH12" s="4">
        <f t="shared" ca="1" si="20"/>
        <v>91</v>
      </c>
      <c r="CI12" s="4" t="str">
        <f t="shared" ca="1" si="8"/>
        <v/>
      </c>
      <c r="CJ12" s="4"/>
      <c r="CK12" s="4">
        <f t="shared" ca="1" si="21"/>
        <v>100</v>
      </c>
      <c r="CL12" s="4" t="str">
        <f t="shared" ca="1" si="9"/>
        <v/>
      </c>
      <c r="CM12" s="4"/>
      <c r="CN12" s="4">
        <f t="shared" ca="1" si="22"/>
        <v>103</v>
      </c>
      <c r="CO12" s="4" t="str">
        <f t="shared" ca="1" si="10"/>
        <v/>
      </c>
      <c r="CP12" s="4"/>
      <c r="CQ12" s="4">
        <f t="shared" ca="1" si="23"/>
        <v>101</v>
      </c>
      <c r="CR12" s="4" t="str">
        <f t="shared" ca="1" si="11"/>
        <v/>
      </c>
      <c r="CS12" s="4"/>
      <c r="CT12" s="4">
        <f t="shared" ca="1" si="24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>
        <f>IF('Week 10'!$E$4="","",C13)</f>
        <v>14</v>
      </c>
      <c r="E13" s="238">
        <f ca="1">IF('Week 10'!$AR$2=0,IF('Week 10'!F$4="","",'Week 10'!G$21),"")</f>
        <v>4</v>
      </c>
      <c r="F13" s="239">
        <f>IF('Week 10'!$AR$2=0,IF('Week 10'!F$4="",0,'Week 10'!H$25),"")</f>
        <v>10</v>
      </c>
      <c r="G13" s="240">
        <f ca="1">IF('Week 10'!$AR$2=0,IF('Week 10'!F$4="",0,'Week 10'!H$21),"")</f>
        <v>104</v>
      </c>
      <c r="H13" s="241">
        <f ca="1">IF('Week 10'!$AR$2=0,IF('Week 10'!I$4="","",'Week 10'!J$21),"")</f>
        <v>11</v>
      </c>
      <c r="I13" s="239">
        <f>IF('Week 10'!$AR$2=0,IF('Week 10'!I$4="",0,'Week 10'!K$25),"")</f>
        <v>8</v>
      </c>
      <c r="J13" s="240">
        <f ca="1">IF('Week 10'!$AR$2=0,IF('Week 10'!I$4="",0,'Week 10'!K$21),"")</f>
        <v>80</v>
      </c>
      <c r="K13" s="241">
        <f ca="1">IF('Week 10'!$AR$2=0,IF('Week 10'!L$4="","",'Week 10'!M$21),"")</f>
        <v>2</v>
      </c>
      <c r="L13" s="239">
        <f>IF('Week 10'!$AR$2=0,IF('Week 10'!L$4="",0,'Week 10'!N$25),"")</f>
        <v>11</v>
      </c>
      <c r="M13" s="240">
        <f ca="1">IF('Week 10'!$AR$2=0,IF('Week 10'!L$4="",0,'Week 10'!N$21),"")</f>
        <v>108</v>
      </c>
      <c r="N13" s="241">
        <f ca="1">IF('Week 10'!$AR$2=0,IF('Week 10'!O$4="","",'Week 10'!P$21),"")</f>
        <v>7</v>
      </c>
      <c r="O13" s="239">
        <f>IF('Week 10'!$AR$2=0,IF('Week 10'!O$4="",0,'Week 10'!Q$25),"")</f>
        <v>9</v>
      </c>
      <c r="P13" s="240">
        <f ca="1">IF('Week 10'!$AR$2=0,IF('Week 10'!O$4="",0,'Week 10'!Q$21),"")</f>
        <v>98</v>
      </c>
      <c r="Q13" s="241">
        <f ca="1">IF('Week 10'!$AR$2=0,IF('Week 10'!R$4="","",'Week 10'!S$21),"")</f>
        <v>9</v>
      </c>
      <c r="R13" s="239">
        <f>IF('Week 10'!$AR$2=0,IF('Week 10'!R$4="",0,'Week 10'!T$25),"")</f>
        <v>9</v>
      </c>
      <c r="S13" s="240">
        <f ca="1">IF('Week 10'!$AR$2=0,IF('Week 10'!R$4="",0,'Week 10'!T$21),"")</f>
        <v>94</v>
      </c>
      <c r="T13" s="241">
        <f ca="1">IF('Week 10'!$AR$2=0,IF('Week 10'!U$4="","",'Week 10'!V$21),"")</f>
        <v>10</v>
      </c>
      <c r="U13" s="239">
        <f>IF('Week 10'!$AR$2=0,IF('Week 10'!U$4="",0,'Week 10'!W$25),"")</f>
        <v>8</v>
      </c>
      <c r="V13" s="240">
        <f ca="1">IF('Week 10'!$AR$2=0,IF('Week 10'!U$4="",0,'Week 10'!W$21),"")</f>
        <v>84</v>
      </c>
      <c r="W13" s="241">
        <f ca="1">IF('Week 10'!$AR$2=0,IF('Week 10'!X$4="","",'Week 10'!Y$21),"")</f>
        <v>7</v>
      </c>
      <c r="X13" s="239">
        <f>IF('Week 10'!$AR$2=0,IF('Week 10'!X$4="",0,'Week 10'!Z$25),"")</f>
        <v>9</v>
      </c>
      <c r="Y13" s="240">
        <f ca="1">IF('Week 10'!$AR$2=0,IF('Week 10'!X$4="",0,'Week 10'!Z$21),"")</f>
        <v>98</v>
      </c>
      <c r="Z13" s="241">
        <f ca="1">IF('Week 10'!$AR$2=0,IF('Week 10'!AA$4="","",'Week 10'!AB$21),"")</f>
        <v>2</v>
      </c>
      <c r="AA13" s="239">
        <f>IF('Week 10'!$AR$2=0,IF('Week 10'!AA$4="",0,'Week 10'!AC$25),"")</f>
        <v>11</v>
      </c>
      <c r="AB13" s="240">
        <f ca="1">IF('Week 10'!$AR$2=0,IF('Week 10'!AA$4="",0,'Week 10'!AC$21),"")</f>
        <v>108</v>
      </c>
      <c r="AC13" s="241">
        <f ca="1">IF('Week 10'!$AR$2=0,IF('Week 10'!AD$4="","",'Week 10'!AE$21),"")</f>
        <v>1</v>
      </c>
      <c r="AD13" s="239">
        <f>IF('Week 10'!$AR$2=0,IF('Week 10'!AD$4="",0,'Week 10'!AF$25),"")</f>
        <v>11</v>
      </c>
      <c r="AE13" s="240">
        <f ca="1">IF('Week 10'!$AR$2=0,IF('Week 10'!AD$4="",0,'Week 10'!AF$21),"")</f>
        <v>108</v>
      </c>
      <c r="AF13" s="241">
        <f ca="1">IF('Week 10'!$AR$2=0,IF('Week 10'!AG$4="","",'Week 10'!AH$21),"")</f>
        <v>6</v>
      </c>
      <c r="AG13" s="239">
        <f>IF('Week 10'!$AR$2=0,IF('Week 10'!AG$4="",0,'Week 10'!AI$25),"")</f>
        <v>10</v>
      </c>
      <c r="AH13" s="240">
        <f ca="1">IF('Week 10'!$AR$2=0,IF('Week 10'!AG$4="",0,'Week 10'!AI$21),"")</f>
        <v>102</v>
      </c>
      <c r="AI13" s="241">
        <f ca="1">IF('Week 10'!$AR$2=0,IF('Week 10'!AJ$4="","",'Week 10'!AK$21),"")</f>
        <v>12</v>
      </c>
      <c r="AJ13" s="239">
        <f>IF('Week 10'!$AR$2=0,IF('Week 10'!AJ$4="",0,'Week 10'!AL$25),"")</f>
        <v>9</v>
      </c>
      <c r="AK13" s="240">
        <f ca="1">IF('Week 10'!$AR$2=0,IF('Week 10'!AJ$4="",0,'Week 10'!AL$21),"")</f>
        <v>78</v>
      </c>
      <c r="AL13" s="241">
        <f ca="1">IF('Week 10'!$AR$2=0,IF('Week 10'!AM$4="","",'Week 10'!AN$21),"")</f>
        <v>5</v>
      </c>
      <c r="AM13" s="239">
        <f>IF('Week 10'!$AR$2=0,IF('Week 10'!AM$4="",0,'Week 10'!AO$25),"")</f>
        <v>10</v>
      </c>
      <c r="AN13" s="242">
        <f ca="1">IF('Week 10'!$AR$2=0,IF('Week 10'!AM$4="",0,'Week 10'!AO$21),"")</f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ca="1" si="0"/>
        <v/>
      </c>
      <c r="BL13" s="4"/>
      <c r="BM13" s="4">
        <f t="shared" ca="1" si="13"/>
        <v>104</v>
      </c>
      <c r="BN13" s="4" t="str">
        <f t="shared" ca="1" si="1"/>
        <v/>
      </c>
      <c r="BO13" s="4"/>
      <c r="BP13" s="4">
        <f t="shared" ca="1" si="14"/>
        <v>80</v>
      </c>
      <c r="BQ13" s="4" t="str">
        <f t="shared" ca="1" si="2"/>
        <v/>
      </c>
      <c r="BR13" s="4"/>
      <c r="BS13" s="4">
        <f t="shared" ca="1" si="15"/>
        <v>108</v>
      </c>
      <c r="BT13" s="4" t="str">
        <f t="shared" ca="1" si="3"/>
        <v/>
      </c>
      <c r="BU13" s="4"/>
      <c r="BV13" s="4">
        <f t="shared" ca="1" si="16"/>
        <v>98</v>
      </c>
      <c r="BW13" s="4" t="str">
        <f t="shared" ca="1" si="4"/>
        <v/>
      </c>
      <c r="BX13" s="4"/>
      <c r="BY13" s="4">
        <f t="shared" ca="1" si="17"/>
        <v>94</v>
      </c>
      <c r="BZ13" s="4" t="str">
        <f t="shared" ca="1" si="5"/>
        <v/>
      </c>
      <c r="CA13" s="4"/>
      <c r="CB13" s="4">
        <f t="shared" ca="1" si="18"/>
        <v>84</v>
      </c>
      <c r="CC13" s="4" t="str">
        <f t="shared" ca="1" si="6"/>
        <v/>
      </c>
      <c r="CD13" s="4"/>
      <c r="CE13" s="4">
        <f t="shared" ca="1" si="19"/>
        <v>98</v>
      </c>
      <c r="CF13" s="4" t="str">
        <f t="shared" ca="1" si="7"/>
        <v/>
      </c>
      <c r="CG13" s="4"/>
      <c r="CH13" s="4">
        <f t="shared" ca="1" si="20"/>
        <v>108</v>
      </c>
      <c r="CI13" s="4" t="str">
        <f t="shared" ca="1" si="8"/>
        <v/>
      </c>
      <c r="CJ13" s="4"/>
      <c r="CK13" s="4">
        <f t="shared" ca="1" si="21"/>
        <v>108</v>
      </c>
      <c r="CL13" s="4" t="str">
        <f t="shared" ca="1" si="9"/>
        <v/>
      </c>
      <c r="CM13" s="4"/>
      <c r="CN13" s="4">
        <f t="shared" ca="1" si="22"/>
        <v>102</v>
      </c>
      <c r="CO13" s="4">
        <f t="shared" ca="1" si="10"/>
        <v>1</v>
      </c>
      <c r="CP13" s="4"/>
      <c r="CQ13" s="4">
        <f t="shared" ca="1" si="23"/>
        <v>78</v>
      </c>
      <c r="CR13" s="4" t="str">
        <f t="shared" ca="1" si="11"/>
        <v/>
      </c>
      <c r="CS13" s="4"/>
      <c r="CT13" s="4">
        <f t="shared" ca="1" si="24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>
        <f>IF('Week 11'!$E$4="","",C14)</f>
        <v>14</v>
      </c>
      <c r="E14" s="238">
        <f ca="1">IF('Week 11'!$AR$2=0,IF('Week 11'!F$4="","",'Week 11'!G$21),"")</f>
        <v>4</v>
      </c>
      <c r="F14" s="239">
        <f>IF('Week 11'!$AR$2=0,IF('Week 11'!F$4="",0,'Week 11'!H$25),"")</f>
        <v>8</v>
      </c>
      <c r="G14" s="240">
        <f ca="1">IF('Week 11'!$AR$2=0,IF('Week 11'!F$4="",0,'Week 11'!H$21),"")</f>
        <v>81</v>
      </c>
      <c r="H14" s="241" t="str">
        <f>IF('Week 11'!$AR$2=0,IF('Week 11'!I$4="","",'Week 11'!J$21),"")</f>
        <v/>
      </c>
      <c r="I14" s="239">
        <f>IF('Week 11'!$AR$2=0,IF('Week 11'!I$4="",0,'Week 11'!K$25),"")</f>
        <v>0</v>
      </c>
      <c r="J14" s="240">
        <f>IF('Week 11'!$AR$2=0,IF('Week 11'!I$4="",0,'Week 11'!K$21),"")</f>
        <v>0</v>
      </c>
      <c r="K14" s="241">
        <f ca="1">IF('Week 11'!$AR$2=0,IF('Week 11'!L$4="","",'Week 11'!M$21),"")</f>
        <v>3</v>
      </c>
      <c r="L14" s="239">
        <f>IF('Week 11'!$AR$2=0,IF('Week 11'!L$4="",0,'Week 11'!N$25),"")</f>
        <v>9</v>
      </c>
      <c r="M14" s="240">
        <f ca="1">IF('Week 11'!$AR$2=0,IF('Week 11'!L$4="",0,'Week 11'!N$21),"")</f>
        <v>86</v>
      </c>
      <c r="N14" s="241">
        <f ca="1">IF('Week 11'!$AR$2=0,IF('Week 11'!O$4="","",'Week 11'!P$21),"")</f>
        <v>2</v>
      </c>
      <c r="O14" s="239">
        <f>IF('Week 11'!$AR$2=0,IF('Week 11'!O$4="",0,'Week 11'!Q$25),"")</f>
        <v>10</v>
      </c>
      <c r="P14" s="240">
        <f ca="1">IF('Week 11'!$AR$2=0,IF('Week 11'!O$4="",0,'Week 11'!Q$21),"")</f>
        <v>93</v>
      </c>
      <c r="Q14" s="241">
        <f ca="1">IF('Week 11'!$AR$2=0,IF('Week 11'!R$4="","",'Week 11'!S$21),"")</f>
        <v>1</v>
      </c>
      <c r="R14" s="239">
        <f>IF('Week 11'!$AR$2=0,IF('Week 11'!R$4="",0,'Week 11'!T$25),"")</f>
        <v>10</v>
      </c>
      <c r="S14" s="240">
        <f ca="1">IF('Week 11'!$AR$2=0,IF('Week 11'!R$4="",0,'Week 11'!T$21),"")</f>
        <v>102</v>
      </c>
      <c r="T14" s="241">
        <f ca="1">IF('Week 11'!$AR$2=0,IF('Week 11'!U$4="","",'Week 11'!V$21),"")</f>
        <v>10</v>
      </c>
      <c r="U14" s="239">
        <f>IF('Week 11'!$AR$2=0,IF('Week 11'!U$4="",0,'Week 11'!W$25),"")</f>
        <v>6</v>
      </c>
      <c r="V14" s="240">
        <f ca="1">IF('Week 11'!$AR$2=0,IF('Week 11'!U$4="",0,'Week 11'!W$21),"")</f>
        <v>57</v>
      </c>
      <c r="W14" s="241">
        <f ca="1">IF('Week 11'!$AR$2=0,IF('Week 11'!X$4="","",'Week 11'!Y$21),"")</f>
        <v>7</v>
      </c>
      <c r="X14" s="239">
        <f>IF('Week 11'!$AR$2=0,IF('Week 11'!X$4="",0,'Week 11'!Z$25),"")</f>
        <v>7</v>
      </c>
      <c r="Y14" s="240">
        <f ca="1">IF('Week 11'!$AR$2=0,IF('Week 11'!X$4="",0,'Week 11'!Z$21),"")</f>
        <v>71</v>
      </c>
      <c r="Z14" s="241">
        <f ca="1">IF('Week 11'!$AR$2=0,IF('Week 11'!AA$4="","",'Week 11'!AB$21),"")</f>
        <v>5</v>
      </c>
      <c r="AA14" s="239">
        <f>IF('Week 11'!$AR$2=0,IF('Week 11'!AA$4="",0,'Week 11'!AC$25),"")</f>
        <v>9</v>
      </c>
      <c r="AB14" s="240">
        <f ca="1">IF('Week 11'!$AR$2=0,IF('Week 11'!AA$4="",0,'Week 11'!AC$21),"")</f>
        <v>77</v>
      </c>
      <c r="AC14" s="241">
        <f ca="1">IF('Week 11'!$AR$2=0,IF('Week 11'!AD$4="","",'Week 11'!AE$21),"")</f>
        <v>7</v>
      </c>
      <c r="AD14" s="239">
        <f>IF('Week 11'!$AR$2=0,IF('Week 11'!AD$4="",0,'Week 11'!AF$25),"")</f>
        <v>8</v>
      </c>
      <c r="AE14" s="240">
        <f ca="1">IF('Week 11'!$AR$2=0,IF('Week 11'!AD$4="",0,'Week 11'!AF$21),"")</f>
        <v>71</v>
      </c>
      <c r="AF14" s="241" t="str">
        <f>IF('Week 11'!$AR$2=0,IF('Week 11'!AG$4="","",'Week 11'!AH$21),"")</f>
        <v/>
      </c>
      <c r="AG14" s="239">
        <f>IF('Week 11'!$AR$2=0,IF('Week 11'!AG$4="",0,'Week 11'!AI$25),"")</f>
        <v>0</v>
      </c>
      <c r="AH14" s="240">
        <f>IF('Week 11'!$AR$2=0,IF('Week 11'!AG$4="",0,'Week 11'!AI$21),"")</f>
        <v>0</v>
      </c>
      <c r="AI14" s="241">
        <f ca="1">IF('Week 11'!$AR$2=0,IF('Week 11'!AJ$4="","",'Week 11'!AK$21),"")</f>
        <v>6</v>
      </c>
      <c r="AJ14" s="239">
        <f>IF('Week 11'!$AR$2=0,IF('Week 11'!AJ$4="",0,'Week 11'!AL$25),"")</f>
        <v>7</v>
      </c>
      <c r="AK14" s="240">
        <f ca="1">IF('Week 11'!$AR$2=0,IF('Week 11'!AJ$4="",0,'Week 11'!AL$21),"")</f>
        <v>73</v>
      </c>
      <c r="AL14" s="241">
        <f ca="1">IF('Week 11'!$AR$2=0,IF('Week 11'!AM$4="","",'Week 11'!AN$21),"")</f>
        <v>9</v>
      </c>
      <c r="AM14" s="239">
        <f>IF('Week 11'!$AR$2=0,IF('Week 11'!AM$4="",0,'Week 11'!AO$25),"")</f>
        <v>7</v>
      </c>
      <c r="AN14" s="242">
        <f ca="1">IF('Week 11'!$AR$2=0,IF('Week 11'!AM$4="",0,'Week 11'!AO$21),"")</f>
        <v>60</v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ca="1" si="0"/>
        <v/>
      </c>
      <c r="BL14" s="4"/>
      <c r="BM14" s="4">
        <f t="shared" ca="1" si="13"/>
        <v>81</v>
      </c>
      <c r="BN14" s="4" t="str">
        <f t="shared" ca="1" si="1"/>
        <v/>
      </c>
      <c r="BO14" s="4"/>
      <c r="BP14" s="4" t="str">
        <f t="shared" si="14"/>
        <v/>
      </c>
      <c r="BQ14" s="4" t="str">
        <f t="shared" ca="1" si="2"/>
        <v/>
      </c>
      <c r="BR14" s="4"/>
      <c r="BS14" s="4">
        <f t="shared" ca="1" si="15"/>
        <v>86</v>
      </c>
      <c r="BT14" s="4" t="str">
        <f t="shared" ca="1" si="3"/>
        <v/>
      </c>
      <c r="BU14" s="4"/>
      <c r="BV14" s="4">
        <f t="shared" ca="1" si="16"/>
        <v>93</v>
      </c>
      <c r="BW14" s="4" t="str">
        <f t="shared" ca="1" si="4"/>
        <v/>
      </c>
      <c r="BX14" s="4"/>
      <c r="BY14" s="4">
        <f t="shared" ca="1" si="17"/>
        <v>102</v>
      </c>
      <c r="BZ14" s="4">
        <f t="shared" ca="1" si="5"/>
        <v>1</v>
      </c>
      <c r="CA14" s="4"/>
      <c r="CB14" s="4">
        <f t="shared" ca="1" si="18"/>
        <v>57</v>
      </c>
      <c r="CC14" s="4" t="str">
        <f t="shared" ca="1" si="6"/>
        <v/>
      </c>
      <c r="CD14" s="4"/>
      <c r="CE14" s="4">
        <f t="shared" ca="1" si="19"/>
        <v>71</v>
      </c>
      <c r="CF14" s="4" t="str">
        <f t="shared" ca="1" si="7"/>
        <v/>
      </c>
      <c r="CG14" s="4"/>
      <c r="CH14" s="4">
        <f t="shared" ca="1" si="20"/>
        <v>77</v>
      </c>
      <c r="CI14" s="4" t="str">
        <f t="shared" ca="1" si="8"/>
        <v/>
      </c>
      <c r="CJ14" s="4"/>
      <c r="CK14" s="4">
        <f t="shared" ca="1" si="21"/>
        <v>71</v>
      </c>
      <c r="CL14" s="4" t="str">
        <f t="shared" ca="1" si="9"/>
        <v/>
      </c>
      <c r="CM14" s="4"/>
      <c r="CN14" s="4" t="str">
        <f t="shared" si="22"/>
        <v/>
      </c>
      <c r="CO14" s="4" t="str">
        <f t="shared" ca="1" si="10"/>
        <v/>
      </c>
      <c r="CP14" s="4"/>
      <c r="CQ14" s="4">
        <f t="shared" ca="1" si="23"/>
        <v>73</v>
      </c>
      <c r="CR14" s="4" t="str">
        <f t="shared" ca="1" si="11"/>
        <v/>
      </c>
      <c r="CS14" s="4"/>
      <c r="CT14" s="4">
        <f t="shared" ca="1" si="24"/>
        <v>60</v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161</v>
      </c>
      <c r="E21" s="256">
        <f ca="1">IF($AQ$2=0,"",RANK(G21,$BM21:$CT21,0))</f>
        <v>6</v>
      </c>
      <c r="F21" s="257">
        <f>IF($AQ$2=0,"",SUM(F4:F20))</f>
        <v>102</v>
      </c>
      <c r="G21" s="258">
        <f ca="1">IF($AQ$2=0,"",IF($AQ$2=1,SUM(G4:G20),SUM(G4:G20)-MIN(G4:G20)))</f>
        <v>952</v>
      </c>
      <c r="H21" s="259">
        <f ca="1">IF($AQ$2=0,"",RANK(J21,$BM21:$CT21,0))</f>
        <v>12</v>
      </c>
      <c r="I21" s="257">
        <f>IF($AQ$2=0,"",SUM(I4:I20))</f>
        <v>67</v>
      </c>
      <c r="J21" s="258">
        <f ca="1">IF($AQ$2=0,"",IF($AQ$2=1,SUM(J4:J20),SUM(J4:J20)-MIN(J4:J20)))</f>
        <v>693</v>
      </c>
      <c r="K21" s="259">
        <f ca="1">IF($AQ$2=0,"",RANK(M21,$BM21:$CT21,0))</f>
        <v>1</v>
      </c>
      <c r="L21" s="257">
        <f>IF($AQ$2=0,"",SUM(L4:L20))</f>
        <v>107</v>
      </c>
      <c r="M21" s="258">
        <f ca="1">IF($AQ$2=0,"",IF($AQ$2=1,SUM(M4:M20),SUM(M4:M20)-MIN(M4:M20)))</f>
        <v>983</v>
      </c>
      <c r="N21" s="259">
        <f ca="1">IF($AQ$2=0,"",RANK(P21,$BM21:$CT21,0))</f>
        <v>4</v>
      </c>
      <c r="O21" s="257">
        <f>IF($AQ$2=0,"",SUM(O4:O20))</f>
        <v>101</v>
      </c>
      <c r="P21" s="258">
        <f ca="1">IF($AQ$2=0,"",IF($AQ$2=1,SUM(P4:P20),SUM(P4:P20)-MIN(P4:P20)))</f>
        <v>967</v>
      </c>
      <c r="Q21" s="259">
        <f ca="1">IF($AQ$2=0,"",RANK(S21,$BM21:$CT21,0))</f>
        <v>9</v>
      </c>
      <c r="R21" s="257">
        <f>IF($AQ$2=0,"",SUM(R4:R20))</f>
        <v>101</v>
      </c>
      <c r="S21" s="258">
        <f ca="1">IF($AQ$2=0,"",IF($AQ$2=1,SUM(S4:S20),SUM(S4:S20)-MIN(S4:S20)))</f>
        <v>928</v>
      </c>
      <c r="T21" s="259">
        <f ca="1">IF($AQ$2=0,"",RANK(V21,$BM21:$CT21,0))</f>
        <v>11</v>
      </c>
      <c r="U21" s="257">
        <f>IF($AQ$2=0,"",SUM(U4:U20))</f>
        <v>91</v>
      </c>
      <c r="V21" s="258">
        <f ca="1">IF($AQ$2=0,"",IF($AQ$2=1,SUM(V4:V20),SUM(V4:V20)-MIN(V4:V20)))</f>
        <v>898</v>
      </c>
      <c r="W21" s="259">
        <f ca="1">IF($AQ$2=0,"",RANK(Y21,$BM21:$CT21,0))</f>
        <v>3</v>
      </c>
      <c r="X21" s="257">
        <f>IF($AQ$2=0,"",SUM(X4:X20))</f>
        <v>109</v>
      </c>
      <c r="Y21" s="258">
        <f ca="1">IF($AQ$2=0,"",IF($AQ$2=1,SUM(Y4:Y20),SUM(Y4:Y20)-MIN(Y4:Y20)))</f>
        <v>978</v>
      </c>
      <c r="Z21" s="259">
        <f ca="1">IF($AQ$2=0,"",RANK(AB21,$BM21:$CT21,0))</f>
        <v>7</v>
      </c>
      <c r="AA21" s="257">
        <f>IF($AQ$2=0,"",SUM(AA4:AA20))</f>
        <v>106</v>
      </c>
      <c r="AB21" s="258">
        <f ca="1">IF($AQ$2=0,"",IF($AQ$2=1,SUM(AB4:AB20),SUM(AB4:AB20)-MIN(AB4:AB20)))</f>
        <v>949</v>
      </c>
      <c r="AC21" s="259">
        <f ca="1">IF($AQ$2=0,"",RANK(AE21,$BM21:$CT21,0))</f>
        <v>1</v>
      </c>
      <c r="AD21" s="257">
        <f>IF($AQ$2=0,"",SUM(AD4:AD20))</f>
        <v>105</v>
      </c>
      <c r="AE21" s="258">
        <f ca="1">IF($AQ$2=0,"",IF($AQ$2=1,SUM(AE4:AE20),SUM(AE4:AE20)-MIN(AE4:AE20)))</f>
        <v>983</v>
      </c>
      <c r="AF21" s="259">
        <f ca="1">IF($AQ$2=0,"",RANK(AH21,$BM21:$CT21,0))</f>
        <v>5</v>
      </c>
      <c r="AG21" s="257">
        <f>IF($AQ$2=0,"",SUM(AG4:AG20))</f>
        <v>101</v>
      </c>
      <c r="AH21" s="258">
        <f ca="1">IF($AQ$2=0,"",IF($AQ$2=1,SUM(AH4:AH20),SUM(AH4:AH20)-MIN(AH4:AH20)))</f>
        <v>964</v>
      </c>
      <c r="AI21" s="259">
        <f ca="1">IF($AQ$2=0,"",RANK(AK21,$BM21:$CT21,0))</f>
        <v>10</v>
      </c>
      <c r="AJ21" s="257">
        <f>IF($AQ$2=0,"",SUM(AJ4:AJ20))</f>
        <v>104</v>
      </c>
      <c r="AK21" s="258">
        <f ca="1">IF($AQ$2=0,"",IF($AQ$2=1,SUM(AK4:AK20),SUM(AK4:AK20)-MIN(AK4:AK20)))</f>
        <v>919</v>
      </c>
      <c r="AL21" s="259">
        <f ca="1">IF($AQ$2=0,"",RANK(AN21,$BM21:$CT21,0))</f>
        <v>7</v>
      </c>
      <c r="AM21" s="257">
        <f>IF($AQ$2=0,"",SUM(AM4:AM20))</f>
        <v>100</v>
      </c>
      <c r="AN21" s="260">
        <f ca="1">IF($AQ$2=0,"",IF($AQ$2=1,SUM(AN4:AN20),SUM(AN4:AN20)-MIN(AN4:AN20)))</f>
        <v>949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952</v>
      </c>
      <c r="BN21" s="4"/>
      <c r="BO21" s="4"/>
      <c r="BP21" s="4">
        <f ca="1">J21</f>
        <v>693</v>
      </c>
      <c r="BQ21" s="4"/>
      <c r="BR21" s="4"/>
      <c r="BS21" s="4">
        <f ca="1">M21</f>
        <v>983</v>
      </c>
      <c r="BT21" s="4"/>
      <c r="BU21" s="4"/>
      <c r="BV21" s="4">
        <f ca="1">P21</f>
        <v>967</v>
      </c>
      <c r="BW21" s="4"/>
      <c r="BX21" s="4"/>
      <c r="BY21" s="4">
        <f ca="1">S21</f>
        <v>928</v>
      </c>
      <c r="BZ21" s="4"/>
      <c r="CA21" s="4"/>
      <c r="CB21" s="4">
        <f ca="1">V21</f>
        <v>898</v>
      </c>
      <c r="CC21" s="4"/>
      <c r="CD21" s="4"/>
      <c r="CE21" s="4">
        <f ca="1">Y21</f>
        <v>978</v>
      </c>
      <c r="CF21" s="4"/>
      <c r="CG21" s="4"/>
      <c r="CH21" s="4">
        <f ca="1">AB21</f>
        <v>949</v>
      </c>
      <c r="CI21" s="4"/>
      <c r="CJ21" s="4"/>
      <c r="CK21" s="4">
        <f ca="1">AE21</f>
        <v>983</v>
      </c>
      <c r="CL21" s="4"/>
      <c r="CM21" s="4"/>
      <c r="CN21" s="4">
        <f ca="1">AH21</f>
        <v>964</v>
      </c>
      <c r="CO21" s="4"/>
      <c r="CP21" s="4"/>
      <c r="CQ21" s="4">
        <f ca="1">AK21</f>
        <v>919</v>
      </c>
      <c r="CR21" s="4"/>
      <c r="CS21" s="4"/>
      <c r="CT21" s="4">
        <f ca="1">AN21</f>
        <v>949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</v>
      </c>
      <c r="F22" s="265">
        <f ca="1">IF($AQ$2=0,"",F21/(COUNTIF($D$4:OFFSET($D$4,$AQ$2-1,0),"&lt;&gt;""")))</f>
        <v>9.2727272727272734</v>
      </c>
      <c r="G22" s="266">
        <f ca="1">IF($AQ$2=0,"",IF($AQ$2=1,G21/((COUNTIF($D$4:OFFSET($D$4,$AQ$2-1,0),"&lt;&gt;"""))),G21/((COUNTIF($D$4:OFFSET($D$4,$AQ$2-1,0),"&lt;&gt;"""))-1)))</f>
        <v>95.2</v>
      </c>
      <c r="H22" s="267">
        <f ca="1">IF(COUNTIF(H4:H20,"&gt;0")&gt;0,SUM(H4:H20)/COUNTIF(H4:H20,"&gt;0"),"")</f>
        <v>7.625</v>
      </c>
      <c r="I22" s="265">
        <f ca="1">IF($AQ$2=0,"",I21/(COUNTIF($D$4:OFFSET($D$4,$AQ$2-1,0),"&lt;&gt;""")))</f>
        <v>6.0909090909090908</v>
      </c>
      <c r="J22" s="266">
        <f ca="1">IF($AQ$2=0,"",IF($AQ$2=1,J21/((COUNTIF($D$4:OFFSET($D$4,$AQ$2-1,0),"&lt;&gt;"""))),J21/((COUNTIF($D$4:OFFSET($D$4,$AQ$2-1,0),"&lt;&gt;"""))-1)))</f>
        <v>69.3</v>
      </c>
      <c r="K22" s="267">
        <f ca="1">IF(COUNTIF(K4:K20,"&gt;0")&gt;0,SUM(K4:K20)/COUNTIF(K4:K20,"&gt;0"),"")</f>
        <v>4.4545454545454541</v>
      </c>
      <c r="L22" s="265">
        <f ca="1">IF($AQ$2=0,"",L21/(COUNTIF($D$4:OFFSET($D$4,$AQ$2-1,0),"&lt;&gt;""")))</f>
        <v>9.7272727272727266</v>
      </c>
      <c r="M22" s="266">
        <f ca="1">IF($AQ$2=0,"",IF($AQ$2=1,M21/((COUNTIF($D$4:OFFSET($D$4,$AQ$2-1,0),"&lt;&gt;"""))),M21/((COUNTIF($D$4:OFFSET($D$4,$AQ$2-1,0),"&lt;&gt;"""))-1)))</f>
        <v>98.3</v>
      </c>
      <c r="N22" s="267">
        <f ca="1">IF(COUNTIF(N4:N20,"&gt;0")&gt;0,SUM(N4:N20)/COUNTIF(N4:N20,"&gt;0"),"")</f>
        <v>4.9090909090909092</v>
      </c>
      <c r="O22" s="265">
        <f ca="1">IF($AQ$2=0,"",O21/(COUNTIF($D$4:OFFSET($D$4,$AQ$2-1,0),"&lt;&gt;""")))</f>
        <v>9.1818181818181817</v>
      </c>
      <c r="P22" s="266">
        <f ca="1">IF($AQ$2=0,"",IF($AQ$2=1,P21/((COUNTIF($D$4:OFFSET($D$4,$AQ$2-1,0),"&lt;&gt;"""))),P21/((COUNTIF($D$4:OFFSET($D$4,$AQ$2-1,0),"&lt;&gt;"""))-1)))</f>
        <v>96.7</v>
      </c>
      <c r="Q22" s="267">
        <f ca="1">IF(COUNTIF(Q4:Q20,"&gt;0")&gt;0,SUM(Q4:Q20)/COUNTIF(Q4:Q20,"&gt;0"),"")</f>
        <v>7.9090909090909092</v>
      </c>
      <c r="R22" s="265">
        <f ca="1">IF($AQ$2=0,"",R21/(COUNTIF($D$4:OFFSET($D$4,$AQ$2-1,0),"&lt;&gt;""")))</f>
        <v>9.1818181818181817</v>
      </c>
      <c r="S22" s="266">
        <f ca="1">IF($AQ$2=0,"",IF($AQ$2=1,S21/((COUNTIF($D$4:OFFSET($D$4,$AQ$2-1,0),"&lt;&gt;"""))),S21/((COUNTIF($D$4:OFFSET($D$4,$AQ$2-1,0),"&lt;&gt;"""))-1)))</f>
        <v>92.8</v>
      </c>
      <c r="T22" s="267">
        <f ca="1">IF(COUNTIF(T4:T20,"&gt;0")&gt;0,SUM(T4:T20)/COUNTIF(T4:T20,"&gt;0"),"")</f>
        <v>6.6</v>
      </c>
      <c r="U22" s="265">
        <f ca="1">IF($AQ$2=0,"",U21/(COUNTIF($D$4:OFFSET($D$4,$AQ$2-1,0),"&lt;&gt;""")))</f>
        <v>8.2727272727272734</v>
      </c>
      <c r="V22" s="266">
        <f ca="1">IF($AQ$2=0,"",IF($AQ$2=1,V21/((COUNTIF($D$4:OFFSET($D$4,$AQ$2-1,0),"&lt;&gt;"""))),V21/((COUNTIF($D$4:OFFSET($D$4,$AQ$2-1,0),"&lt;&gt;"""))-1)))</f>
        <v>89.8</v>
      </c>
      <c r="W22" s="267">
        <f ca="1">IF(COUNTIF(W4:W20,"&gt;0")&gt;0,SUM(W4:W20)/COUNTIF(W4:W20,"&gt;0"),"")</f>
        <v>5.1818181818181817</v>
      </c>
      <c r="X22" s="265">
        <f ca="1">IF($AQ$2=0,"",X21/(COUNTIF($D$4:OFFSET($D$4,$AQ$2-1,0),"&lt;&gt;""")))</f>
        <v>9.9090909090909083</v>
      </c>
      <c r="Y22" s="266">
        <f ca="1">IF($AQ$2=0,"",IF($AQ$2=1,Y21/((COUNTIF($D$4:OFFSET($D$4,$AQ$2-1,0),"&lt;&gt;"""))),Y21/((COUNTIF($D$4:OFFSET($D$4,$AQ$2-1,0),"&lt;&gt;"""))-1)))</f>
        <v>97.8</v>
      </c>
      <c r="Z22" s="267">
        <f ca="1">IF(COUNTIF(Z4:Z20,"&gt;0")&gt;0,SUM(Z4:Z20)/COUNTIF(Z4:Z20,"&gt;0"),"")</f>
        <v>6.8181818181818183</v>
      </c>
      <c r="AA22" s="265">
        <f ca="1">IF($AQ$2=0,"",AA21/(COUNTIF($D$4:OFFSET($D$4,$AQ$2-1,0),"&lt;&gt;""")))</f>
        <v>9.6363636363636367</v>
      </c>
      <c r="AB22" s="266">
        <f ca="1">IF($AQ$2=0,"",IF($AQ$2=1,AB21/((COUNTIF($D$4:OFFSET($D$4,$AQ$2-1,0),"&lt;&gt;"""))),AB21/((COUNTIF($D$4:OFFSET($D$4,$AQ$2-1,0),"&lt;&gt;"""))-1)))</f>
        <v>94.9</v>
      </c>
      <c r="AC22" s="267">
        <f ca="1">IF(COUNTIF(AC4:AC20,"&gt;0")&gt;0,SUM(AC4:AC20)/COUNTIF(AC4:AC20,"&gt;0"),"")</f>
        <v>4.8181818181818183</v>
      </c>
      <c r="AD22" s="265">
        <f ca="1">IF($AQ$2=0,"",AD21/(COUNTIF($D$4:OFFSET($D$4,$AQ$2-1,0),"&lt;&gt;""")))</f>
        <v>9.545454545454545</v>
      </c>
      <c r="AE22" s="266">
        <f ca="1">IF($AQ$2=0,"",IF($AQ$2=1,AE21/((COUNTIF($D$4:OFFSET($D$4,$AQ$2-1,0),"&lt;&gt;"""))),AE21/((COUNTIF($D$4:OFFSET($D$4,$AQ$2-1,0),"&lt;&gt;"""))-1)))</f>
        <v>98.3</v>
      </c>
      <c r="AF22" s="267">
        <f ca="1">IF(COUNTIF(AF4:AF20,"&gt;0")&gt;0,SUM(AF4:AF20)/COUNTIF(AF4:AF20,"&gt;0"),"")</f>
        <v>6.1</v>
      </c>
      <c r="AG22" s="265">
        <f ca="1">IF($AQ$2=0,"",AG21/(COUNTIF($D$4:OFFSET($D$4,$AQ$2-1,0),"&lt;&gt;""")))</f>
        <v>9.1818181818181817</v>
      </c>
      <c r="AH22" s="266">
        <f ca="1">IF($AQ$2=0,"",IF($AQ$2=1,AH21/((COUNTIF($D$4:OFFSET($D$4,$AQ$2-1,0),"&lt;&gt;"""))),AH21/((COUNTIF($D$4:OFFSET($D$4,$AQ$2-1,0),"&lt;&gt;"""))-1)))</f>
        <v>96.4</v>
      </c>
      <c r="AI22" s="267">
        <f ca="1">IF(COUNTIF(AI4:AI20,"&gt;0")&gt;0,SUM(AI4:AI20)/COUNTIF(AI4:AI20,"&gt;0"),"")</f>
        <v>6.6363636363636367</v>
      </c>
      <c r="AJ22" s="265">
        <f ca="1">IF($AQ$2=0,"",AJ21/(COUNTIF($D$4:OFFSET($D$4,$AQ$2-1,0),"&lt;&gt;""")))</f>
        <v>9.454545454545455</v>
      </c>
      <c r="AK22" s="266">
        <f ca="1">IF($AQ$2=0,"",IF($AQ$2=1,AK21/((COUNTIF($D$4:OFFSET($D$4,$AQ$2-1,0),"&lt;&gt;"""))),AK21/((COUNTIF($D$4:OFFSET($D$4,$AQ$2-1,0),"&lt;&gt;"""))-1)))</f>
        <v>91.9</v>
      </c>
      <c r="AL22" s="267">
        <f ca="1">IF(COUNTIF(AL4:AL20,"&gt;0")&gt;0,SUM(AL4:AL20)/COUNTIF(AL4:AL20,"&gt;0"),"")</f>
        <v>6.4545454545454541</v>
      </c>
      <c r="AM22" s="265">
        <f ca="1">IF($AQ$2=0,"",AM21/(COUNTIF($D$4:OFFSET($D$4,$AQ$2-1,0),"&lt;&gt;""")))</f>
        <v>9.0909090909090917</v>
      </c>
      <c r="AN22" s="268">
        <f ca="1">IF($AQ$2=0,"",IF($AQ$2=1,AN21/((COUNTIF($D$4:OFFSET($D$4,$AQ$2-1,0),"&lt;&gt;"""))),AN21/((COUNTIF($D$4:OFFSET($D$4,$AQ$2-1,0),"&lt;&gt;"""))-1)))</f>
        <v>94.9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>
        <f ca="1">IF(COUNTIF(Q4:Q20,"=1")&gt;0,COUNTIF(Q4:Q20,"=1"),"")</f>
        <v>1</v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2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3</v>
      </c>
      <c r="O24" s="282"/>
      <c r="P24" s="283"/>
      <c r="Q24" s="284">
        <f ca="1">IF(COUNTIF(Q4:Q20,"=2")&gt;0,COUNTIF(Q4:Q20,"=2"),"")</f>
        <v>1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4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2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3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>
        <f ca="1">IF($AQ$2=0,"",IF(COUNTIF(AF4:OFFSET(AF4,$AQ$2-1,0),"")&gt;0,COUNTIF(AF4:OFFSET(AF4,$AQ$2-1,0),""),""))</f>
        <v>1</v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4" t="str">
        <f>CONCATENATE($AR$13," Results")</f>
        <v>2020 Football Pool Results</v>
      </c>
      <c r="AU29" s="395"/>
      <c r="AV29" s="395"/>
      <c r="AW29" s="395"/>
      <c r="AX29" s="395"/>
      <c r="AY29" s="395"/>
      <c r="AZ29" s="395"/>
      <c r="BA29" s="395"/>
      <c r="BB29" s="395"/>
      <c r="BC29" s="395"/>
      <c r="BD29" s="395"/>
      <c r="BE29" s="395"/>
      <c r="BF29" s="395"/>
      <c r="BG29" s="395"/>
      <c r="BH29" s="395"/>
      <c r="BI29" s="396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1" t="s">
        <v>13</v>
      </c>
      <c r="AU30" s="404" t="s">
        <v>78</v>
      </c>
      <c r="AV30" s="407" t="s">
        <v>79</v>
      </c>
      <c r="AW30" s="408"/>
      <c r="AX30" s="408"/>
      <c r="AY30" s="408"/>
      <c r="AZ30" s="408"/>
      <c r="BA30" s="408"/>
      <c r="BB30" s="409"/>
      <c r="BC30" s="408" t="s">
        <v>80</v>
      </c>
      <c r="BD30" s="408"/>
      <c r="BE30" s="408"/>
      <c r="BF30" s="408"/>
      <c r="BG30" s="408"/>
      <c r="BH30" s="408"/>
      <c r="BI30" s="409"/>
      <c r="BJ30" s="4"/>
      <c r="BK30" s="4"/>
      <c r="BL30" s="4">
        <f t="shared" si="25"/>
        <v>9</v>
      </c>
      <c r="BM30" s="4"/>
      <c r="BN30" s="4"/>
      <c r="BO30" s="4">
        <f t="shared" si="26"/>
        <v>7</v>
      </c>
      <c r="BP30" s="4"/>
      <c r="BQ30" s="4"/>
      <c r="BR30" s="4">
        <f t="shared" si="27"/>
        <v>10</v>
      </c>
      <c r="BS30" s="4"/>
      <c r="BT30" s="4"/>
      <c r="BU30" s="4">
        <f t="shared" si="28"/>
        <v>9</v>
      </c>
      <c r="BV30" s="4"/>
      <c r="BW30" s="4"/>
      <c r="BX30" s="4">
        <f t="shared" si="29"/>
        <v>9</v>
      </c>
      <c r="BY30" s="4"/>
      <c r="BZ30" s="4"/>
      <c r="CA30" s="4">
        <f t="shared" si="30"/>
        <v>13</v>
      </c>
      <c r="CB30" s="4"/>
      <c r="CC30" s="4"/>
      <c r="CD30" s="4">
        <f t="shared" si="31"/>
        <v>11</v>
      </c>
      <c r="CE30" s="4"/>
      <c r="CF30" s="4"/>
      <c r="CG30" s="4">
        <f t="shared" si="32"/>
        <v>12</v>
      </c>
      <c r="CH30" s="4"/>
      <c r="CI30" s="4"/>
      <c r="CJ30" s="4">
        <f t="shared" si="33"/>
        <v>9</v>
      </c>
      <c r="CK30" s="4"/>
      <c r="CL30" s="4"/>
      <c r="CM30" s="4">
        <f t="shared" si="34"/>
        <v>9</v>
      </c>
      <c r="CN30" s="4"/>
      <c r="CO30" s="4"/>
      <c r="CP30" s="4">
        <f t="shared" si="35"/>
        <v>10</v>
      </c>
      <c r="CQ30" s="4"/>
      <c r="CR30" s="4"/>
      <c r="CS30" s="4">
        <f t="shared" si="36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2"/>
      <c r="AU31" s="405"/>
      <c r="AV31" s="410" t="str">
        <f>CONCATENATE("Cost to Play ($",$AO$3," per week)")</f>
        <v>Cost to Play ($3 per week)</v>
      </c>
      <c r="AW31" s="412" t="s">
        <v>65</v>
      </c>
      <c r="AX31" s="412" t="s">
        <v>71</v>
      </c>
      <c r="AY31" s="412" t="s">
        <v>66</v>
      </c>
      <c r="AZ31" s="412"/>
      <c r="BA31" s="412" t="s">
        <v>67</v>
      </c>
      <c r="BB31" s="414"/>
      <c r="BC31" s="416" t="s">
        <v>68</v>
      </c>
      <c r="BD31" s="412" t="s">
        <v>65</v>
      </c>
      <c r="BE31" s="412"/>
      <c r="BF31" s="412" t="s">
        <v>69</v>
      </c>
      <c r="BG31" s="412"/>
      <c r="BH31" s="412" t="s">
        <v>70</v>
      </c>
      <c r="BI31" s="414"/>
      <c r="BJ31" s="4"/>
      <c r="BK31" s="4"/>
      <c r="BL31" s="4">
        <f t="shared" si="25"/>
        <v>7</v>
      </c>
      <c r="BM31" s="4"/>
      <c r="BN31" s="4"/>
      <c r="BO31" s="4">
        <f t="shared" si="26"/>
        <v>8</v>
      </c>
      <c r="BP31" s="4"/>
      <c r="BQ31" s="4"/>
      <c r="BR31" s="4">
        <f t="shared" si="27"/>
        <v>8</v>
      </c>
      <c r="BS31" s="4"/>
      <c r="BT31" s="4"/>
      <c r="BU31" s="4">
        <f t="shared" si="28"/>
        <v>8</v>
      </c>
      <c r="BV31" s="4"/>
      <c r="BW31" s="4"/>
      <c r="BX31" s="4">
        <f t="shared" si="29"/>
        <v>8</v>
      </c>
      <c r="BY31" s="4"/>
      <c r="BZ31" s="4"/>
      <c r="CA31" s="4">
        <f t="shared" si="30"/>
        <v>8</v>
      </c>
      <c r="CB31" s="4"/>
      <c r="CC31" s="4"/>
      <c r="CD31" s="4">
        <f t="shared" si="31"/>
        <v>8</v>
      </c>
      <c r="CE31" s="4"/>
      <c r="CF31" s="4"/>
      <c r="CG31" s="4">
        <f t="shared" si="32"/>
        <v>7</v>
      </c>
      <c r="CH31" s="4"/>
      <c r="CI31" s="4"/>
      <c r="CJ31" s="4">
        <f t="shared" si="33"/>
        <v>7</v>
      </c>
      <c r="CK31" s="4"/>
      <c r="CL31" s="4"/>
      <c r="CM31" s="4">
        <f t="shared" si="34"/>
        <v>7</v>
      </c>
      <c r="CN31" s="4"/>
      <c r="CO31" s="4"/>
      <c r="CP31" s="4">
        <f t="shared" si="35"/>
        <v>8</v>
      </c>
      <c r="CQ31" s="4"/>
      <c r="CR31" s="4"/>
      <c r="CS31" s="4">
        <f t="shared" si="36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3"/>
      <c r="AU32" s="406"/>
      <c r="AV32" s="411"/>
      <c r="AW32" s="413"/>
      <c r="AX32" s="413"/>
      <c r="AY32" s="413"/>
      <c r="AZ32" s="413"/>
      <c r="BA32" s="413"/>
      <c r="BB32" s="415"/>
      <c r="BC32" s="417"/>
      <c r="BD32" s="413"/>
      <c r="BE32" s="413"/>
      <c r="BF32" s="413"/>
      <c r="BG32" s="413"/>
      <c r="BH32" s="413"/>
      <c r="BI32" s="415"/>
      <c r="BJ32" s="4"/>
      <c r="BK32" s="4"/>
      <c r="BL32" s="4">
        <f t="shared" si="25"/>
        <v>10</v>
      </c>
      <c r="BM32" s="4"/>
      <c r="BN32" s="4"/>
      <c r="BO32" s="4">
        <f t="shared" si="26"/>
        <v>8</v>
      </c>
      <c r="BP32" s="4"/>
      <c r="BQ32" s="4"/>
      <c r="BR32" s="4">
        <f t="shared" si="27"/>
        <v>9</v>
      </c>
      <c r="BS32" s="4"/>
      <c r="BT32" s="4"/>
      <c r="BU32" s="4">
        <f t="shared" si="28"/>
        <v>10</v>
      </c>
      <c r="BV32" s="4"/>
      <c r="BW32" s="4"/>
      <c r="BX32" s="4">
        <f t="shared" si="29"/>
        <v>10</v>
      </c>
      <c r="BY32" s="4"/>
      <c r="BZ32" s="4"/>
      <c r="CA32" s="4">
        <f t="shared" si="30"/>
        <v>8</v>
      </c>
      <c r="CB32" s="4"/>
      <c r="CC32" s="4"/>
      <c r="CD32" s="4">
        <f t="shared" si="31"/>
        <v>10</v>
      </c>
      <c r="CE32" s="4"/>
      <c r="CF32" s="4"/>
      <c r="CG32" s="4">
        <f t="shared" si="32"/>
        <v>8</v>
      </c>
      <c r="CH32" s="4"/>
      <c r="CI32" s="4"/>
      <c r="CJ32" s="4">
        <f t="shared" si="33"/>
        <v>9</v>
      </c>
      <c r="CK32" s="4"/>
      <c r="CL32" s="4"/>
      <c r="CM32" s="4">
        <f t="shared" si="34"/>
        <v>10</v>
      </c>
      <c r="CN32" s="4"/>
      <c r="CO32" s="4"/>
      <c r="CP32" s="4">
        <f t="shared" si="35"/>
        <v>10</v>
      </c>
      <c r="CQ32" s="4"/>
      <c r="CR32" s="4"/>
      <c r="CS32" s="4">
        <f t="shared" si="36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37">SUM(AV33,AX33,AZ33,BB33,BC33,BE33,BG33,BI33)</f>
        <v>60</v>
      </c>
      <c r="AV33" s="294">
        <f t="shared" ref="AV33:AV44" si="38">$AQ$2*-$AO$3</f>
        <v>-33</v>
      </c>
      <c r="AW33" s="295">
        <f ca="1">IF($T$23&gt;0,$T$23,"")</f>
        <v>3</v>
      </c>
      <c r="AX33" s="296">
        <f t="shared" ref="AX33:AX44" ca="1" si="39">IF(AW33="","",AW33*$AO$6)</f>
        <v>93</v>
      </c>
      <c r="AY33" s="297" t="str">
        <f ca="1">IF($T$21=1,"✓","")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si="25"/>
        <v>10</v>
      </c>
      <c r="BM33" s="4"/>
      <c r="BN33" s="4"/>
      <c r="BO33" s="4">
        <f t="shared" si="26"/>
        <v>8</v>
      </c>
      <c r="BP33" s="4"/>
      <c r="BQ33" s="4"/>
      <c r="BR33" s="4">
        <f t="shared" si="27"/>
        <v>11</v>
      </c>
      <c r="BS33" s="4"/>
      <c r="BT33" s="4"/>
      <c r="BU33" s="4">
        <f t="shared" si="28"/>
        <v>9</v>
      </c>
      <c r="BV33" s="4"/>
      <c r="BW33" s="4"/>
      <c r="BX33" s="4">
        <f t="shared" si="29"/>
        <v>9</v>
      </c>
      <c r="BY33" s="4"/>
      <c r="BZ33" s="4"/>
      <c r="CA33" s="4">
        <f t="shared" si="30"/>
        <v>8</v>
      </c>
      <c r="CB33" s="4"/>
      <c r="CC33" s="4"/>
      <c r="CD33" s="4">
        <f t="shared" si="31"/>
        <v>9</v>
      </c>
      <c r="CE33" s="4"/>
      <c r="CF33" s="4"/>
      <c r="CG33" s="4">
        <f t="shared" si="32"/>
        <v>11</v>
      </c>
      <c r="CH33" s="4"/>
      <c r="CI33" s="4"/>
      <c r="CJ33" s="4">
        <f t="shared" si="33"/>
        <v>11</v>
      </c>
      <c r="CK33" s="4"/>
      <c r="CL33" s="4"/>
      <c r="CM33" s="4">
        <f t="shared" si="34"/>
        <v>10</v>
      </c>
      <c r="CN33" s="4"/>
      <c r="CO33" s="4"/>
      <c r="CP33" s="4">
        <f t="shared" si="35"/>
        <v>9</v>
      </c>
      <c r="CQ33" s="4"/>
      <c r="CR33" s="4"/>
      <c r="CS33" s="4">
        <f t="shared" si="36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$W$2</f>
        <v>JH</v>
      </c>
      <c r="AU34" s="301">
        <f t="shared" ca="1" si="37"/>
        <v>29</v>
      </c>
      <c r="AV34" s="302">
        <f t="shared" si="38"/>
        <v>-33</v>
      </c>
      <c r="AW34" s="303">
        <f ca="1">IF($W$23&gt;0,$W$23,"")</f>
        <v>2</v>
      </c>
      <c r="AX34" s="304">
        <f t="shared" ca="1" si="39"/>
        <v>62</v>
      </c>
      <c r="AY34" s="305" t="str">
        <f ca="1">IF($W$21=1,"✓","")</f>
        <v/>
      </c>
      <c r="AZ34" s="304" t="str">
        <f t="shared" ca="1" si="40"/>
        <v/>
      </c>
      <c r="BA34" s="306" t="str">
        <f ca="1">IF($W$21=2,"✓","")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>
        <f t="shared" si="25"/>
        <v>8</v>
      </c>
      <c r="BM34" s="4"/>
      <c r="BN34" s="4"/>
      <c r="BO34" s="4">
        <f t="shared" si="26"/>
        <v>0</v>
      </c>
      <c r="BP34" s="4"/>
      <c r="BQ34" s="4"/>
      <c r="BR34" s="4">
        <f t="shared" si="27"/>
        <v>9</v>
      </c>
      <c r="BS34" s="4"/>
      <c r="BT34" s="4"/>
      <c r="BU34" s="4">
        <f t="shared" si="28"/>
        <v>10</v>
      </c>
      <c r="BV34" s="4"/>
      <c r="BW34" s="4"/>
      <c r="BX34" s="4">
        <f t="shared" si="29"/>
        <v>10</v>
      </c>
      <c r="BY34" s="4"/>
      <c r="BZ34" s="4"/>
      <c r="CA34" s="4">
        <f t="shared" si="30"/>
        <v>6</v>
      </c>
      <c r="CB34" s="4"/>
      <c r="CC34" s="4"/>
      <c r="CD34" s="4">
        <f t="shared" si="31"/>
        <v>7</v>
      </c>
      <c r="CE34" s="4"/>
      <c r="CF34" s="4"/>
      <c r="CG34" s="4">
        <f t="shared" si="32"/>
        <v>9</v>
      </c>
      <c r="CH34" s="4"/>
      <c r="CI34" s="4"/>
      <c r="CJ34" s="4">
        <f t="shared" si="33"/>
        <v>8</v>
      </c>
      <c r="CK34" s="4"/>
      <c r="CL34" s="4"/>
      <c r="CM34" s="4">
        <f t="shared" si="34"/>
        <v>0</v>
      </c>
      <c r="CN34" s="4"/>
      <c r="CO34" s="4"/>
      <c r="CP34" s="4">
        <f t="shared" si="35"/>
        <v>7</v>
      </c>
      <c r="CQ34" s="4"/>
      <c r="CR34" s="4"/>
      <c r="CS34" s="4">
        <f t="shared" si="36"/>
        <v>7</v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$AL$2</f>
        <v>RR</v>
      </c>
      <c r="AU35" s="301">
        <f t="shared" ca="1" si="37"/>
        <v>29</v>
      </c>
      <c r="AV35" s="302">
        <f t="shared" si="38"/>
        <v>-33</v>
      </c>
      <c r="AW35" s="303">
        <f ca="1">IF($AL$23&gt;0,$AL$23,"")</f>
        <v>2</v>
      </c>
      <c r="AX35" s="304">
        <f t="shared" ca="1" si="39"/>
        <v>62</v>
      </c>
      <c r="AY35" s="305" t="str">
        <f ca="1">IF($AL$21=1,"✓","")</f>
        <v/>
      </c>
      <c r="AZ35" s="304" t="str">
        <f t="shared" ca="1" si="40"/>
        <v/>
      </c>
      <c r="BA35" s="306" t="str">
        <f ca="1">IF($AL$21=2,"✓","")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$AC$2</f>
        <v>KC</v>
      </c>
      <c r="AU36" s="301">
        <f t="shared" ca="1" si="37"/>
        <v>25.5</v>
      </c>
      <c r="AV36" s="302">
        <f t="shared" si="38"/>
        <v>-33</v>
      </c>
      <c r="AW36" s="303">
        <f ca="1">IF($AC$23&gt;0,$AC$23,"")</f>
        <v>1</v>
      </c>
      <c r="AX36" s="304">
        <f t="shared" ca="1" si="39"/>
        <v>31</v>
      </c>
      <c r="AY36" s="305" t="str">
        <f ca="1">IF($AC$21=1,"✓","")</f>
        <v>✓</v>
      </c>
      <c r="AZ36" s="304">
        <f t="shared" ca="1" si="40"/>
        <v>27.5</v>
      </c>
      <c r="BA36" s="306" t="str">
        <f ca="1">IF($AC$21=2,"✓","")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$E$2</f>
        <v>BM</v>
      </c>
      <c r="AU37" s="301">
        <f t="shared" ca="1" si="37"/>
        <v>-2</v>
      </c>
      <c r="AV37" s="302">
        <f t="shared" si="38"/>
        <v>-33</v>
      </c>
      <c r="AW37" s="303">
        <f ca="1">IF($E$23&gt;0,$E$23,"")</f>
        <v>1</v>
      </c>
      <c r="AX37" s="304">
        <f t="shared" ca="1" si="39"/>
        <v>31</v>
      </c>
      <c r="AY37" s="305" t="str">
        <f ca="1">IF($E$21=1,"✓","")</f>
        <v/>
      </c>
      <c r="AZ37" s="304" t="str">
        <f t="shared" ca="1" si="40"/>
        <v/>
      </c>
      <c r="BA37" s="306" t="str">
        <f ca="1">IF($E$21=2,"✓","")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$H$2</f>
        <v>CK</v>
      </c>
      <c r="AU38" s="301">
        <f t="shared" ca="1" si="37"/>
        <v>-2</v>
      </c>
      <c r="AV38" s="302">
        <f t="shared" si="38"/>
        <v>-33</v>
      </c>
      <c r="AW38" s="303">
        <f ca="1">IF($H$23&gt;0,$H$23,"")</f>
        <v>1</v>
      </c>
      <c r="AX38" s="304">
        <f t="shared" ca="1" si="39"/>
        <v>31</v>
      </c>
      <c r="AY38" s="305" t="str">
        <f ca="1">IF($H$21=1,"✓","")</f>
        <v/>
      </c>
      <c r="AZ38" s="304" t="str">
        <f t="shared" ca="1" si="40"/>
        <v/>
      </c>
      <c r="BA38" s="306" t="str">
        <f ca="1">IF($H$21=2,"✓","")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$Q$2</f>
        <v>DH</v>
      </c>
      <c r="AU39" s="301">
        <f t="shared" ca="1" si="37"/>
        <v>-2</v>
      </c>
      <c r="AV39" s="302">
        <f t="shared" si="38"/>
        <v>-33</v>
      </c>
      <c r="AW39" s="303">
        <f ca="1">IF($Q$23&gt;0,$Q$23,"")</f>
        <v>1</v>
      </c>
      <c r="AX39" s="304">
        <f t="shared" ca="1" si="39"/>
        <v>31</v>
      </c>
      <c r="AY39" s="305" t="str">
        <f ca="1">IF($Q$21=1,"✓","")</f>
        <v/>
      </c>
      <c r="AZ39" s="304" t="str">
        <f t="shared" ca="1" si="40"/>
        <v/>
      </c>
      <c r="BA39" s="306" t="str">
        <f ca="1">IF($Q$21=2,"✓","")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$K$2</f>
        <v>CP</v>
      </c>
      <c r="AU40" s="301">
        <f t="shared" ca="1" si="37"/>
        <v>-5.5</v>
      </c>
      <c r="AV40" s="302">
        <f t="shared" si="38"/>
        <v>-33</v>
      </c>
      <c r="AW40" s="303" t="str">
        <f ca="1">IF($K$23&gt;0,$K$23,"")</f>
        <v/>
      </c>
      <c r="AX40" s="304" t="str">
        <f t="shared" ca="1" si="39"/>
        <v/>
      </c>
      <c r="AY40" s="305" t="str">
        <f ca="1">IF($K$21=1,"✓","")</f>
        <v>✓</v>
      </c>
      <c r="AZ40" s="304">
        <f t="shared" ca="1" si="40"/>
        <v>27.5</v>
      </c>
      <c r="BA40" s="306" t="str">
        <f ca="1">IF($K$21=2,"✓","")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$N$2</f>
        <v>DC</v>
      </c>
      <c r="AU41" s="301">
        <f t="shared" ca="1" si="37"/>
        <v>-33</v>
      </c>
      <c r="AV41" s="302">
        <f t="shared" si="38"/>
        <v>-33</v>
      </c>
      <c r="AW41" s="303" t="str">
        <f ca="1">IF($N$23&gt;0,$N$23,"")</f>
        <v/>
      </c>
      <c r="AX41" s="304" t="str">
        <f t="shared" ca="1" si="39"/>
        <v/>
      </c>
      <c r="AY41" s="305" t="str">
        <f ca="1">IF($N$21=1,"✓","")</f>
        <v/>
      </c>
      <c r="AZ41" s="304" t="str">
        <f t="shared" ca="1" si="40"/>
        <v/>
      </c>
      <c r="BA41" s="306" t="str">
        <f ca="1">IF($N$21=2,"✓","")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102</v>
      </c>
      <c r="BM41" s="4"/>
      <c r="BN41" s="4"/>
      <c r="BO41" s="4">
        <f t="shared" si="26"/>
        <v>67</v>
      </c>
      <c r="BP41" s="4"/>
      <c r="BQ41" s="4"/>
      <c r="BR41" s="4">
        <f t="shared" si="27"/>
        <v>107</v>
      </c>
      <c r="BS41" s="4"/>
      <c r="BT41" s="4"/>
      <c r="BU41" s="4">
        <f t="shared" si="28"/>
        <v>101</v>
      </c>
      <c r="BV41" s="4"/>
      <c r="BW41" s="4"/>
      <c r="BX41" s="4">
        <f t="shared" si="29"/>
        <v>101</v>
      </c>
      <c r="BY41" s="4"/>
      <c r="BZ41" s="4"/>
      <c r="CA41" s="4">
        <f t="shared" si="30"/>
        <v>91</v>
      </c>
      <c r="CB41" s="4"/>
      <c r="CC41" s="4"/>
      <c r="CD41" s="4">
        <f t="shared" si="31"/>
        <v>109</v>
      </c>
      <c r="CE41" s="4"/>
      <c r="CF41" s="4"/>
      <c r="CG41" s="4">
        <f t="shared" si="32"/>
        <v>106</v>
      </c>
      <c r="CH41" s="4"/>
      <c r="CI41" s="4"/>
      <c r="CJ41" s="4">
        <f t="shared" si="33"/>
        <v>105</v>
      </c>
      <c r="CK41" s="4"/>
      <c r="CL41" s="4"/>
      <c r="CM41" s="4">
        <f t="shared" si="34"/>
        <v>101</v>
      </c>
      <c r="CN41" s="4"/>
      <c r="CO41" s="4"/>
      <c r="CP41" s="4">
        <f t="shared" si="35"/>
        <v>104</v>
      </c>
      <c r="CQ41" s="4"/>
      <c r="CR41" s="4"/>
      <c r="CS41" s="4">
        <f t="shared" si="36"/>
        <v>100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-33</v>
      </c>
      <c r="AV42" s="302">
        <f t="shared" si="38"/>
        <v>-33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</v>
      </c>
      <c r="BL42" s="51"/>
      <c r="BM42" s="51"/>
      <c r="BN42" s="51">
        <f ca="1">H22</f>
        <v>7.625</v>
      </c>
      <c r="BO42" s="51"/>
      <c r="BP42" s="51"/>
      <c r="BQ42" s="51">
        <f ca="1">K22</f>
        <v>4.4545454545454541</v>
      </c>
      <c r="BR42" s="51"/>
      <c r="BS42" s="51"/>
      <c r="BT42" s="51">
        <f ca="1">N22</f>
        <v>4.9090909090909092</v>
      </c>
      <c r="BU42" s="51"/>
      <c r="BV42" s="51"/>
      <c r="BW42" s="51">
        <f ca="1">Q22</f>
        <v>7.9090909090909092</v>
      </c>
      <c r="BX42" s="51"/>
      <c r="BY42" s="51"/>
      <c r="BZ42" s="51">
        <f ca="1">T22</f>
        <v>6.6</v>
      </c>
      <c r="CA42" s="51"/>
      <c r="CB42" s="51"/>
      <c r="CC42" s="51">
        <f ca="1">W22</f>
        <v>5.1818181818181817</v>
      </c>
      <c r="CD42" s="51"/>
      <c r="CE42" s="51"/>
      <c r="CF42" s="51">
        <f ca="1">Z22</f>
        <v>6.8181818181818183</v>
      </c>
      <c r="CG42" s="51"/>
      <c r="CH42" s="51"/>
      <c r="CI42" s="51">
        <f ca="1">AC22</f>
        <v>4.8181818181818183</v>
      </c>
      <c r="CJ42" s="51"/>
      <c r="CK42" s="51"/>
      <c r="CL42" s="51">
        <f ca="1">AF22</f>
        <v>6.1</v>
      </c>
      <c r="CM42" s="51"/>
      <c r="CN42" s="51"/>
      <c r="CO42" s="51">
        <f ca="1">AI22</f>
        <v>6.6363636363636367</v>
      </c>
      <c r="CP42" s="51"/>
      <c r="CQ42" s="51"/>
      <c r="CR42" s="51">
        <f ca="1">AL22</f>
        <v>6.4545454545454541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-33</v>
      </c>
      <c r="AV43" s="302">
        <f t="shared" si="38"/>
        <v>-33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79" t="str">
        <f>$AI$2</f>
        <v>MB</v>
      </c>
      <c r="AU44" s="309">
        <f t="shared" ca="1" si="37"/>
        <v>-33</v>
      </c>
      <c r="AV44" s="310">
        <f t="shared" si="38"/>
        <v>-33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["H","V","H","H","H","H","V","H","H","V","H","H","V","V"];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325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325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325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325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325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325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325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325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325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325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325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325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325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325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325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325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325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325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325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325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325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325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325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["53","46","50","42","62","38","52","48","50","44","52","38"];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2020-11-26T04:44:46Z</dcterms:modified>
</cp:coreProperties>
</file>