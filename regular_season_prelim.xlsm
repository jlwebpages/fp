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0F0B4957-6E8F-4C45-B6D3-2F24BA7571C3}" xr6:coauthVersionLast="45" xr6:coauthVersionMax="45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8" i="16" l="1"/>
  <c r="AT36" i="16"/>
  <c r="AT37" i="16"/>
  <c r="AT44" i="16"/>
  <c r="AT43" i="16"/>
  <c r="AT35" i="16"/>
  <c r="AT42" i="16"/>
  <c r="AT41" i="16"/>
  <c r="AT40" i="16"/>
  <c r="AT39" i="16"/>
  <c r="AT34" i="16"/>
  <c r="AT33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9" i="23" s="1"/>
  <c r="G47" i="23"/>
  <c r="AJ2" i="23"/>
  <c r="BO7" i="23" s="1"/>
  <c r="AG2" i="23"/>
  <c r="BJ5" i="23" s="1"/>
  <c r="AD2" i="23"/>
  <c r="BF11" i="23" s="1"/>
  <c r="AA2" i="23"/>
  <c r="BJ12" i="23" s="1"/>
  <c r="X2" i="23"/>
  <c r="U2" i="23"/>
  <c r="BJ14" i="23" s="1"/>
  <c r="R2" i="23"/>
  <c r="BF8" i="23" s="1"/>
  <c r="O2" i="23"/>
  <c r="BF7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Z25" i="23" s="1"/>
  <c r="Z38" i="23" s="1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N34" i="32"/>
  <c r="Q34" i="32"/>
  <c r="BG5" i="35"/>
  <c r="BF4" i="23"/>
  <c r="BG5" i="36"/>
  <c r="BG9" i="36"/>
  <c r="BG10" i="24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P56" i="24"/>
  <c r="P53" i="24" s="1"/>
  <c r="AE56" i="29"/>
  <c r="AH56" i="30"/>
  <c r="AH53" i="30" s="1"/>
  <c r="AT9" i="35"/>
  <c r="AT9" i="34"/>
  <c r="AT18" i="36"/>
  <c r="AT17" i="35"/>
  <c r="AT9" i="36"/>
  <c r="AT5" i="32"/>
  <c r="AI25" i="23" l="1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G14" i="24"/>
  <c r="BJ9" i="23"/>
  <c r="BG14" i="32"/>
  <c r="AT10" i="24"/>
  <c r="AY14" i="24"/>
  <c r="AT14" i="23"/>
  <c r="AY10" i="24"/>
  <c r="AT14" i="28"/>
  <c r="BF10" i="36"/>
  <c r="BF7" i="35"/>
  <c r="BF14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S56" i="26"/>
  <c r="S55" i="26" s="1"/>
  <c r="AV38" i="16"/>
  <c r="AV37" i="16"/>
  <c r="AV43" i="16"/>
  <c r="AV42" i="16"/>
  <c r="AV40" i="16"/>
  <c r="AV34" i="16"/>
  <c r="AV36" i="16"/>
  <c r="AV44" i="16"/>
  <c r="AV35" i="16"/>
  <c r="AV41" i="16"/>
  <c r="AV39" i="16"/>
  <c r="AV33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11" i="23"/>
  <c r="BJ6" i="28"/>
  <c r="BO9" i="33"/>
  <c r="BF5" i="33"/>
  <c r="BO5" i="29"/>
  <c r="BF5" i="25"/>
  <c r="BO14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10" i="20"/>
  <c r="BJ11" i="27"/>
  <c r="BJ10" i="23"/>
  <c r="BF11" i="35"/>
  <c r="BF9" i="20"/>
  <c r="BJ9" i="25"/>
  <c r="BJ6" i="24"/>
  <c r="BF13" i="25"/>
  <c r="BO6" i="36"/>
  <c r="BF12" i="34"/>
  <c r="BO15" i="29"/>
  <c r="BJ11" i="35"/>
  <c r="BF6" i="28"/>
  <c r="AT19" i="34"/>
  <c r="BJ7" i="27"/>
  <c r="BF8" i="34"/>
  <c r="BF15" i="20"/>
  <c r="BJ10" i="36"/>
  <c r="BJ14" i="24"/>
  <c r="BJ10" i="24"/>
  <c r="BO9" i="29"/>
  <c r="BO10" i="28"/>
  <c r="BF8" i="30"/>
  <c r="BJ10" i="32"/>
  <c r="BO14" i="23"/>
  <c r="BJ6" i="32"/>
  <c r="BO6" i="24"/>
  <c r="BJ5" i="29"/>
  <c r="BO15" i="21"/>
  <c r="BF15" i="29"/>
  <c r="BF6" i="36"/>
  <c r="BO7" i="35"/>
  <c r="BO15" i="20"/>
  <c r="BF10" i="23"/>
  <c r="BO13" i="20"/>
  <c r="BJ15" i="25"/>
  <c r="BO8" i="26"/>
  <c r="BJ13" i="21"/>
  <c r="BJ13" i="33"/>
  <c r="BO11" i="27"/>
  <c r="BJ9" i="33"/>
  <c r="BF15" i="25"/>
  <c r="BJ7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9" i="24"/>
  <c r="BO5" i="28"/>
  <c r="BJ14" i="27"/>
  <c r="H5" i="16"/>
  <c r="BP5" i="16" s="1"/>
  <c r="R16" i="16"/>
  <c r="BX36" i="16" s="1"/>
  <c r="BJ12" i="20"/>
  <c r="BJ9" i="1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6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AK25" i="29"/>
  <c r="AK41" i="29" s="1"/>
  <c r="AT11" i="31"/>
  <c r="AT19" i="24"/>
  <c r="AT15" i="25"/>
  <c r="BF10" i="34"/>
  <c r="BO15" i="31"/>
  <c r="BF12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3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4" i="24"/>
  <c r="BF4" i="27"/>
  <c r="BO4" i="20"/>
  <c r="BJ4" i="31"/>
  <c r="BO4" i="25"/>
  <c r="BF5" i="1"/>
  <c r="BO4" i="28"/>
  <c r="BJ4" i="27"/>
  <c r="BJ4" i="25"/>
  <c r="BJ11" i="24"/>
  <c r="BO8" i="27"/>
  <c r="AK15" i="16"/>
  <c r="BF15" i="26"/>
  <c r="BF14" i="20"/>
  <c r="M13" i="16"/>
  <c r="AC15" i="16"/>
  <c r="CK15" i="16" s="1"/>
  <c r="BO15" i="23"/>
  <c r="BJ9" i="26"/>
  <c r="W13" i="16"/>
  <c r="CE13" i="16" s="1"/>
  <c r="AG13" i="16"/>
  <c r="CM33" i="16" s="1"/>
  <c r="BJ13" i="23"/>
  <c r="AT8" i="29"/>
  <c r="BF14" i="25"/>
  <c r="BO12" i="23"/>
  <c r="BO8" i="35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8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14" i="23"/>
  <c r="BO5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7" i="21"/>
  <c r="BF9" i="24"/>
  <c r="BO14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G25" i="23"/>
  <c r="G41" i="23" s="1"/>
  <c r="F7" i="16"/>
  <c r="BL27" i="16" s="1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5" i="21"/>
  <c r="BJ15" i="21"/>
  <c r="AH14" i="16"/>
  <c r="P25" i="23"/>
  <c r="P41" i="23" s="1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AN7" i="16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P7" i="16"/>
  <c r="BJ7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T7" i="16"/>
  <c r="CB7" i="16" s="1"/>
  <c r="AN25" i="23"/>
  <c r="AN41" i="23" s="1"/>
  <c r="M25" i="23"/>
  <c r="M41" i="23" s="1"/>
  <c r="BY6" i="33"/>
  <c r="CV374" i="16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11" i="21"/>
  <c r="BF5" i="21"/>
  <c r="BO10" i="23"/>
  <c r="BF6" i="23"/>
  <c r="BJ8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6" i="23"/>
  <c r="BF9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V53" i="23" l="1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AZ17" i="26"/>
  <c r="BA17" i="26" s="1"/>
  <c r="R4" i="16"/>
  <c r="BX24" i="16" s="1"/>
  <c r="AS4" i="16"/>
  <c r="D4" i="16"/>
  <c r="Y25" i="1" s="1"/>
  <c r="Y41" i="1" s="1"/>
  <c r="I4" i="16"/>
  <c r="K26" i="34" s="1"/>
  <c r="K39" i="34" s="1"/>
  <c r="X4" i="16"/>
  <c r="CD24" i="16" s="1"/>
  <c r="U4" i="16"/>
  <c r="CA24" i="16" s="1"/>
  <c r="AA4" i="16"/>
  <c r="O4" i="16"/>
  <c r="Q26" i="29" s="1"/>
  <c r="Q39" i="29" s="1"/>
  <c r="F4" i="16"/>
  <c r="AD4" i="16"/>
  <c r="CJ24" i="16" s="1"/>
  <c r="L4" i="16"/>
  <c r="AM4" i="16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P7" i="16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S7" i="16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AK54" i="24"/>
  <c r="AK53" i="24"/>
  <c r="CI8" i="16"/>
  <c r="CC8" i="16"/>
  <c r="AN53" i="24"/>
  <c r="AN54" i="24"/>
  <c r="BC8" i="23"/>
  <c r="AZ8" i="23" s="1"/>
  <c r="BA8" i="23" s="1"/>
  <c r="BC18" i="23"/>
  <c r="AZ18" i="23" s="1"/>
  <c r="BA18" i="23" s="1"/>
  <c r="CP27" i="16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N55" i="25"/>
  <c r="AN52" i="25" s="1"/>
  <c r="AN21" i="25" s="1"/>
  <c r="BE15" i="25" s="1"/>
  <c r="AN54" i="25"/>
  <c r="AN53" i="25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AK21" i="24"/>
  <c r="BE14" i="24" s="1"/>
  <c r="G45" i="24"/>
  <c r="B1" i="24" s="1"/>
  <c r="G21" i="24"/>
  <c r="BE4" i="24" s="1"/>
  <c r="AB21" i="24"/>
  <c r="BE11" i="24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V55" i="24"/>
  <c r="V52" i="24" s="1"/>
  <c r="V21" i="24" s="1"/>
  <c r="BE9" i="24" s="1"/>
  <c r="V53" i="24"/>
  <c r="V54" i="24"/>
  <c r="Y21" i="24"/>
  <c r="BE10" i="24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F34" i="23" l="1"/>
  <c r="AE56" i="23"/>
  <c r="BG11" i="23"/>
  <c r="Q21" i="23"/>
  <c r="Q34" i="23" s="1"/>
  <c r="AO21" i="23"/>
  <c r="T21" i="23"/>
  <c r="T34" i="23" s="1"/>
  <c r="N21" i="23"/>
  <c r="H21" i="23"/>
  <c r="BG4" i="23" s="1"/>
  <c r="AI21" i="23"/>
  <c r="AC21" i="23"/>
  <c r="AC34" i="23" s="1"/>
  <c r="K21" i="23"/>
  <c r="AL21" i="23"/>
  <c r="BG13" i="23" s="1"/>
  <c r="Z21" i="23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C7" i="16"/>
  <c r="CO7" i="16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58" i="24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J58" i="24"/>
  <c r="G58" i="24"/>
  <c r="S58" i="28"/>
  <c r="M58" i="28"/>
  <c r="G58" i="31"/>
  <c r="S58" i="25"/>
  <c r="V58" i="28"/>
  <c r="G58" i="28"/>
  <c r="CF14" i="16"/>
  <c r="Y58" i="35"/>
  <c r="V58" i="24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M58" i="24"/>
  <c r="Y58" i="24"/>
  <c r="S58" i="24"/>
  <c r="AK58" i="24"/>
  <c r="AE58" i="24"/>
  <c r="P58" i="24"/>
  <c r="AB58" i="24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E54" i="23" l="1"/>
  <c r="AE55" i="23"/>
  <c r="AE52" i="23" s="1"/>
  <c r="AE53" i="23"/>
  <c r="BG7" i="23"/>
  <c r="P56" i="23"/>
  <c r="P53" i="23" s="1"/>
  <c r="BG14" i="23"/>
  <c r="AN56" i="23"/>
  <c r="AO34" i="23"/>
  <c r="BG8" i="23"/>
  <c r="S56" i="23"/>
  <c r="S53" i="23" s="1"/>
  <c r="N34" i="23"/>
  <c r="M56" i="23"/>
  <c r="BG6" i="23"/>
  <c r="H34" i="23"/>
  <c r="G56" i="23"/>
  <c r="G54" i="23" s="1"/>
  <c r="AI34" i="23"/>
  <c r="AH56" i="23"/>
  <c r="BG12" i="23"/>
  <c r="AB56" i="23"/>
  <c r="AB53" i="23" s="1"/>
  <c r="BG10" i="23"/>
  <c r="K34" i="23"/>
  <c r="BG5" i="23"/>
  <c r="J56" i="23"/>
  <c r="AK56" i="23"/>
  <c r="AK54" i="23" s="1"/>
  <c r="AL34" i="23"/>
  <c r="Z34" i="23"/>
  <c r="Y56" i="23"/>
  <c r="BG9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C24" i="33" s="1"/>
  <c r="AC37" i="33" s="1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H24" i="27"/>
  <c r="H37" i="27" s="1"/>
  <c r="BQ15" i="27"/>
  <c r="BQ6" i="27"/>
  <c r="W24" i="27"/>
  <c r="W37" i="27" s="1"/>
  <c r="BQ9" i="27"/>
  <c r="BQ7" i="27"/>
  <c r="Q24" i="27"/>
  <c r="Q37" i="27" s="1"/>
  <c r="AH27" i="27"/>
  <c r="BQ13" i="27"/>
  <c r="Y27" i="27"/>
  <c r="BQ15" i="30"/>
  <c r="BQ5" i="30"/>
  <c r="Y27" i="30"/>
  <c r="BQ9" i="30"/>
  <c r="AH27" i="30"/>
  <c r="BQ12" i="30"/>
  <c r="Q24" i="30"/>
  <c r="Q37" i="30" s="1"/>
  <c r="W24" i="30"/>
  <c r="W37" i="30" s="1"/>
  <c r="BQ7" i="30"/>
  <c r="BQ14" i="30"/>
  <c r="AC24" i="30"/>
  <c r="AC37" i="30" s="1"/>
  <c r="BQ6" i="30"/>
  <c r="H24" i="30"/>
  <c r="H37" i="30" s="1"/>
  <c r="BQ4" i="30"/>
  <c r="BQ8" i="30"/>
  <c r="BQ13" i="30"/>
  <c r="BQ11" i="30"/>
  <c r="BQ10" i="30"/>
  <c r="AC24" i="25"/>
  <c r="AC37" i="25" s="1"/>
  <c r="Q24" i="25"/>
  <c r="Q37" i="25" s="1"/>
  <c r="BQ11" i="25"/>
  <c r="AH27" i="25"/>
  <c r="BQ6" i="25"/>
  <c r="BQ14" i="25"/>
  <c r="BQ9" i="25"/>
  <c r="BQ7" i="25"/>
  <c r="BQ8" i="25"/>
  <c r="H24" i="25"/>
  <c r="H37" i="25" s="1"/>
  <c r="BQ15" i="25"/>
  <c r="BQ12" i="25"/>
  <c r="BQ4" i="25"/>
  <c r="W24" i="25"/>
  <c r="W37" i="25" s="1"/>
  <c r="Y27" i="25"/>
  <c r="BQ13" i="25"/>
  <c r="BQ10" i="25"/>
  <c r="BQ5" i="25"/>
  <c r="BQ5" i="33"/>
  <c r="BQ6" i="33"/>
  <c r="Q24" i="33"/>
  <c r="Q37" i="33" s="1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H24" i="33"/>
  <c r="H37" i="33" s="1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Q24" i="28"/>
  <c r="Q37" i="28" s="1"/>
  <c r="AH27" i="28"/>
  <c r="BQ9" i="28"/>
  <c r="BQ15" i="28"/>
  <c r="BQ11" i="28"/>
  <c r="BQ10" i="28"/>
  <c r="BQ14" i="28"/>
  <c r="H24" i="28"/>
  <c r="H37" i="28" s="1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H24" i="34"/>
  <c r="H37" i="34" s="1"/>
  <c r="BQ12" i="34"/>
  <c r="BQ5" i="34"/>
  <c r="BQ9" i="34"/>
  <c r="Q24" i="34"/>
  <c r="Q37" i="34" s="1"/>
  <c r="W24" i="34"/>
  <c r="W37" i="34" s="1"/>
  <c r="BQ8" i="34"/>
  <c r="BQ13" i="35"/>
  <c r="BQ7" i="35"/>
  <c r="BQ10" i="35"/>
  <c r="BQ9" i="35"/>
  <c r="BQ15" i="35"/>
  <c r="H24" i="35"/>
  <c r="H37" i="35" s="1"/>
  <c r="Q24" i="35"/>
  <c r="Q37" i="35" s="1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Q24" i="36"/>
  <c r="Q37" i="36" s="1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H24" i="36"/>
  <c r="H37" i="36" s="1"/>
  <c r="BQ7" i="36"/>
  <c r="BQ13" i="36"/>
  <c r="BQ10" i="31"/>
  <c r="BQ11" i="31"/>
  <c r="BQ4" i="31"/>
  <c r="BQ12" i="31"/>
  <c r="BQ13" i="31"/>
  <c r="Q24" i="31"/>
  <c r="Q37" i="31" s="1"/>
  <c r="AH27" i="31"/>
  <c r="W24" i="31"/>
  <c r="W37" i="31" s="1"/>
  <c r="BQ8" i="31"/>
  <c r="BQ15" i="31"/>
  <c r="H24" i="31"/>
  <c r="H37" i="31" s="1"/>
  <c r="BQ6" i="31"/>
  <c r="BQ9" i="31"/>
  <c r="Y27" i="31"/>
  <c r="BQ5" i="31"/>
  <c r="BQ7" i="31"/>
  <c r="BQ14" i="31"/>
  <c r="AH26" i="27"/>
  <c r="AH42" i="27" s="1"/>
  <c r="Y26" i="27"/>
  <c r="Y42" i="27" s="1"/>
  <c r="BQ12" i="24"/>
  <c r="BQ10" i="24"/>
  <c r="BQ11" i="24"/>
  <c r="BQ8" i="24"/>
  <c r="BQ4" i="24"/>
  <c r="Y27" i="24"/>
  <c r="BQ15" i="24"/>
  <c r="AH27" i="24"/>
  <c r="BQ13" i="24"/>
  <c r="W24" i="24"/>
  <c r="W37" i="24" s="1"/>
  <c r="BQ14" i="24"/>
  <c r="H24" i="24"/>
  <c r="H37" i="24" s="1"/>
  <c r="BQ6" i="24"/>
  <c r="BQ5" i="24"/>
  <c r="BQ9" i="24"/>
  <c r="Q24" i="24"/>
  <c r="Q37" i="24" s="1"/>
  <c r="BQ7" i="24"/>
  <c r="BQ7" i="26"/>
  <c r="H24" i="26"/>
  <c r="H37" i="26" s="1"/>
  <c r="BQ15" i="26"/>
  <c r="BQ11" i="26"/>
  <c r="BQ4" i="26"/>
  <c r="AH27" i="26"/>
  <c r="Q24" i="26"/>
  <c r="Q37" i="26" s="1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H24" i="29"/>
  <c r="H37" i="29" s="1"/>
  <c r="BQ11" i="29"/>
  <c r="BQ12" i="29"/>
  <c r="BQ6" i="29"/>
  <c r="Q24" i="29"/>
  <c r="Q37" i="29" s="1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Q24" i="32"/>
  <c r="Q37" i="32" s="1"/>
  <c r="W24" i="32"/>
  <c r="W37" i="32" s="1"/>
  <c r="Y27" i="32"/>
  <c r="BQ8" i="32"/>
  <c r="BQ13" i="32"/>
  <c r="H24" i="32"/>
  <c r="H37" i="32" s="1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3" i="23"/>
  <c r="BQ9" i="23"/>
  <c r="Q24" i="23"/>
  <c r="Q37" i="23" s="1"/>
  <c r="BQ4" i="23"/>
  <c r="BQ10" i="23"/>
  <c r="BQ14" i="23"/>
  <c r="BQ11" i="23"/>
  <c r="BQ8" i="23"/>
  <c r="BQ6" i="23"/>
  <c r="BQ15" i="23"/>
  <c r="Y27" i="23"/>
  <c r="BQ7" i="23"/>
  <c r="BQ5" i="23"/>
  <c r="H24" i="23"/>
  <c r="H37" i="23" s="1"/>
  <c r="AH27" i="23"/>
  <c r="BQ12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P21" i="16"/>
  <c r="Q23" i="35"/>
  <c r="Q23" i="1"/>
  <c r="Q23" i="20"/>
  <c r="AO23" i="1"/>
  <c r="AL23" i="1"/>
  <c r="Y56" i="1"/>
  <c r="Y55" i="1" s="1"/>
  <c r="Y52" i="1" s="1"/>
  <c r="Y4" i="16"/>
  <c r="T34" i="1"/>
  <c r="S4" i="16"/>
  <c r="N34" i="1"/>
  <c r="M4" i="16"/>
  <c r="G21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K24" i="36" s="1"/>
  <c r="K37" i="36" s="1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P55" i="23" l="1"/>
  <c r="P52" i="23" s="1"/>
  <c r="P21" i="23" s="1"/>
  <c r="BE7" i="23" s="1"/>
  <c r="G55" i="23"/>
  <c r="G52" i="23" s="1"/>
  <c r="G21" i="23" s="1"/>
  <c r="BE4" i="23" s="1"/>
  <c r="S54" i="23"/>
  <c r="P54" i="23"/>
  <c r="AN54" i="23"/>
  <c r="AN55" i="23"/>
  <c r="AN52" i="23" s="1"/>
  <c r="AN21" i="23" s="1"/>
  <c r="BE14" i="23" s="1"/>
  <c r="AN53" i="23"/>
  <c r="S55" i="23"/>
  <c r="S52" i="23" s="1"/>
  <c r="S21" i="23" s="1"/>
  <c r="BE8" i="23" s="1"/>
  <c r="M55" i="23"/>
  <c r="M52" i="23" s="1"/>
  <c r="M21" i="23" s="1"/>
  <c r="BE6" i="23" s="1"/>
  <c r="M54" i="23"/>
  <c r="M53" i="23"/>
  <c r="G53" i="23"/>
  <c r="AH54" i="23"/>
  <c r="AH55" i="23"/>
  <c r="AH52" i="23" s="1"/>
  <c r="AH21" i="23" s="1"/>
  <c r="BE12" i="23" s="1"/>
  <c r="AH53" i="23"/>
  <c r="AU21" i="23"/>
  <c r="AB55" i="23"/>
  <c r="AB52" i="23" s="1"/>
  <c r="AB21" i="23" s="1"/>
  <c r="BE10" i="23" s="1"/>
  <c r="AB54" i="23"/>
  <c r="J53" i="23"/>
  <c r="J54" i="23"/>
  <c r="J55" i="23"/>
  <c r="J52" i="23" s="1"/>
  <c r="J21" i="23" s="1"/>
  <c r="BE5" i="23" s="1"/>
  <c r="AK55" i="23"/>
  <c r="AK52" i="23" s="1"/>
  <c r="AK21" i="23" s="1"/>
  <c r="BE13" i="23" s="1"/>
  <c r="AK53" i="23"/>
  <c r="AE21" i="23"/>
  <c r="BE11" i="23" s="1"/>
  <c r="V21" i="23"/>
  <c r="BE15" i="23" s="1"/>
  <c r="G45" i="23"/>
  <c r="B1" i="23" s="1"/>
  <c r="Y53" i="23"/>
  <c r="Y54" i="23"/>
  <c r="Y55" i="23"/>
  <c r="Y52" i="23" s="1"/>
  <c r="Y21" i="23" s="1"/>
  <c r="BE9" i="23" s="1"/>
  <c r="H23" i="27"/>
  <c r="BL4" i="27" s="1"/>
  <c r="Y55" i="21"/>
  <c r="Y52" i="21" s="1"/>
  <c r="Y21" i="21" s="1"/>
  <c r="W23" i="21"/>
  <c r="BL14" i="21" s="1"/>
  <c r="H23" i="24"/>
  <c r="H22" i="24" s="1"/>
  <c r="AF24" i="30"/>
  <c r="AF37" i="30" s="1"/>
  <c r="Z24" i="30"/>
  <c r="Z37" i="30" s="1"/>
  <c r="Q23" i="27"/>
  <c r="Q36" i="27" s="1"/>
  <c r="Q23" i="24"/>
  <c r="Q22" i="24" s="1"/>
  <c r="M53" i="21"/>
  <c r="H23" i="30"/>
  <c r="BL4" i="30" s="1"/>
  <c r="AL24" i="30"/>
  <c r="AL37" i="30" s="1"/>
  <c r="Q23" i="32"/>
  <c r="Q22" i="32" s="1"/>
  <c r="Y54" i="21"/>
  <c r="H23" i="23"/>
  <c r="H36" i="23" s="1"/>
  <c r="W23" i="35"/>
  <c r="W36" i="35" s="1"/>
  <c r="H23" i="36"/>
  <c r="H36" i="36" s="1"/>
  <c r="Q23" i="31"/>
  <c r="BL7" i="31" s="1"/>
  <c r="W23" i="28"/>
  <c r="BL9" i="28" s="1"/>
  <c r="W23" i="33"/>
  <c r="W36" i="33" s="1"/>
  <c r="W23" i="23"/>
  <c r="W36" i="23" s="1"/>
  <c r="W23" i="34"/>
  <c r="W36" i="34" s="1"/>
  <c r="H23" i="33"/>
  <c r="BL4" i="33" s="1"/>
  <c r="W23" i="24"/>
  <c r="BL9" i="24" s="1"/>
  <c r="Q23" i="21"/>
  <c r="Q22" i="21" s="1"/>
  <c r="Q23" i="28"/>
  <c r="BL7" i="28" s="1"/>
  <c r="H23" i="28"/>
  <c r="H22" i="28" s="1"/>
  <c r="Q23" i="30"/>
  <c r="BL7" i="30" s="1"/>
  <c r="Q23" i="33"/>
  <c r="BL7" i="33" s="1"/>
  <c r="H23" i="31"/>
  <c r="BL4" i="31" s="1"/>
  <c r="Q23" i="26"/>
  <c r="Q22" i="26" s="1"/>
  <c r="W23" i="32"/>
  <c r="BL9" i="32" s="1"/>
  <c r="Q23" i="23"/>
  <c r="Q22" i="23" s="1"/>
  <c r="W23" i="29"/>
  <c r="W36" i="29" s="1"/>
  <c r="H23" i="35"/>
  <c r="BL4" i="35" s="1"/>
  <c r="W23" i="25"/>
  <c r="W22" i="25" s="1"/>
  <c r="W23" i="30"/>
  <c r="BL9" i="30" s="1"/>
  <c r="W23" i="27"/>
  <c r="W22" i="27" s="1"/>
  <c r="W23" i="26"/>
  <c r="W36" i="26" s="1"/>
  <c r="H23" i="29"/>
  <c r="H22" i="29" s="1"/>
  <c r="H23" i="34"/>
  <c r="BL4" i="34" s="1"/>
  <c r="H23" i="32"/>
  <c r="H22" i="32" s="1"/>
  <c r="Q23" i="34"/>
  <c r="BL7" i="34" s="1"/>
  <c r="Q23" i="36"/>
  <c r="Q22" i="36" s="1"/>
  <c r="H23" i="21"/>
  <c r="BL9" i="21" s="1"/>
  <c r="W23" i="31"/>
  <c r="W36" i="31" s="1"/>
  <c r="W23" i="36"/>
  <c r="W36" i="36" s="1"/>
  <c r="H23" i="25"/>
  <c r="BL4" i="25" s="1"/>
  <c r="H23" i="26"/>
  <c r="H36" i="26" s="1"/>
  <c r="Q23" i="25"/>
  <c r="BL7" i="25" s="1"/>
  <c r="Q23" i="29"/>
  <c r="Q36" i="29" s="1"/>
  <c r="AN54" i="21"/>
  <c r="AN55" i="21"/>
  <c r="AN52" i="21" s="1"/>
  <c r="AN21" i="21" s="1"/>
  <c r="V55" i="21"/>
  <c r="V52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L23" i="30"/>
  <c r="BL14" i="30" s="1"/>
  <c r="AK21" i="16"/>
  <c r="CQ21" i="16" s="1"/>
  <c r="V21" i="21"/>
  <c r="G45" i="21"/>
  <c r="B1" i="21" s="1"/>
  <c r="AK21" i="21"/>
  <c r="AH53" i="21"/>
  <c r="AH54" i="21"/>
  <c r="AH55" i="21"/>
  <c r="AH52" i="21" s="1"/>
  <c r="AH21" i="21" s="1"/>
  <c r="AC23" i="25"/>
  <c r="AC36" i="25" s="1"/>
  <c r="AC24" i="23"/>
  <c r="AC37" i="23" s="1"/>
  <c r="AC23" i="20"/>
  <c r="AC36" i="20" s="1"/>
  <c r="AC24" i="31"/>
  <c r="AC37" i="31" s="1"/>
  <c r="AC24" i="36"/>
  <c r="AC37" i="36" s="1"/>
  <c r="AC23" i="33"/>
  <c r="BL11" i="33" s="1"/>
  <c r="N24" i="27"/>
  <c r="N37" i="27" s="1"/>
  <c r="AC24" i="26"/>
  <c r="AC37" i="26" s="1"/>
  <c r="AB21" i="16"/>
  <c r="AB22" i="16" s="1"/>
  <c r="AC24" i="21"/>
  <c r="AC37" i="21" s="1"/>
  <c r="AC23" i="30"/>
  <c r="AC22" i="30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3"/>
  <c r="BL6" i="23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Q36" i="35"/>
  <c r="BL7" i="35"/>
  <c r="Q22" i="35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3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BM21" i="16"/>
  <c r="G22" i="16"/>
  <c r="BV21" i="16"/>
  <c r="P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H22" i="27" l="1"/>
  <c r="H35" i="27" s="1"/>
  <c r="J58" i="23"/>
  <c r="H36" i="30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Q22" i="27"/>
  <c r="Q35" i="27" s="1"/>
  <c r="S58" i="23"/>
  <c r="V58" i="23"/>
  <c r="AH58" i="23"/>
  <c r="M58" i="23"/>
  <c r="AN58" i="23"/>
  <c r="W22" i="35"/>
  <c r="W35" i="35" s="1"/>
  <c r="H36" i="27"/>
  <c r="W22" i="34"/>
  <c r="BK9" i="34" s="1"/>
  <c r="BL7" i="27"/>
  <c r="BL9" i="33"/>
  <c r="Q36" i="36"/>
  <c r="W36" i="24"/>
  <c r="W22" i="32"/>
  <c r="W35" i="32" s="1"/>
  <c r="W22" i="24"/>
  <c r="W35" i="24" s="1"/>
  <c r="BL4" i="36"/>
  <c r="H36" i="24"/>
  <c r="BL9" i="25"/>
  <c r="Q36" i="30"/>
  <c r="H22" i="36"/>
  <c r="BK4" i="36" s="1"/>
  <c r="W22" i="23"/>
  <c r="BK14" i="23" s="1"/>
  <c r="BL9" i="35"/>
  <c r="BL10" i="21"/>
  <c r="W36" i="25"/>
  <c r="BL7" i="36"/>
  <c r="H36" i="25"/>
  <c r="Q36" i="21"/>
  <c r="Q36" i="32"/>
  <c r="BL7" i="24"/>
  <c r="BL4" i="32"/>
  <c r="W36" i="27"/>
  <c r="BL4" i="24"/>
  <c r="BL14" i="23"/>
  <c r="BL7" i="32"/>
  <c r="Q36" i="24"/>
  <c r="Q22" i="31"/>
  <c r="BK7" i="31" s="1"/>
  <c r="H22" i="31"/>
  <c r="H35" i="31" s="1"/>
  <c r="Q36" i="28"/>
  <c r="Q36" i="31"/>
  <c r="BL9" i="34"/>
  <c r="Q22" i="28"/>
  <c r="Q35" i="28" s="1"/>
  <c r="W22" i="29"/>
  <c r="W35" i="29" s="1"/>
  <c r="Q22" i="25"/>
  <c r="Q35" i="25" s="1"/>
  <c r="H36" i="31"/>
  <c r="W22" i="31"/>
  <c r="BK9" i="31" s="1"/>
  <c r="BL9" i="31"/>
  <c r="H36" i="32"/>
  <c r="BL9" i="29"/>
  <c r="Q36" i="25"/>
  <c r="BL9" i="27"/>
  <c r="AF23" i="30"/>
  <c r="AF36" i="30" s="1"/>
  <c r="H36" i="28"/>
  <c r="BL9" i="23"/>
  <c r="H22" i="23"/>
  <c r="BK9" i="23" s="1"/>
  <c r="Z23" i="30"/>
  <c r="BL10" i="30" s="1"/>
  <c r="BL7" i="26"/>
  <c r="Q36" i="26"/>
  <c r="H22" i="30"/>
  <c r="H35" i="30" s="1"/>
  <c r="W22" i="28"/>
  <c r="BK9" i="28" s="1"/>
  <c r="H36" i="33"/>
  <c r="BL4" i="28"/>
  <c r="H22" i="33"/>
  <c r="BK4" i="33" s="1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Q22" i="33"/>
  <c r="BK7" i="33" s="1"/>
  <c r="BL10" i="23"/>
  <c r="BL4" i="29"/>
  <c r="W36" i="32"/>
  <c r="Q36" i="33"/>
  <c r="Q22" i="30"/>
  <c r="BK7" i="30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Q36" i="23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Q22" i="34"/>
  <c r="Q35" i="34" s="1"/>
  <c r="Z23" i="27"/>
  <c r="Z22" i="27" s="1"/>
  <c r="AF23" i="34"/>
  <c r="AF36" i="34" s="1"/>
  <c r="Q36" i="34"/>
  <c r="BL7" i="29"/>
  <c r="T23" i="21"/>
  <c r="T22" i="21" s="1"/>
  <c r="H36" i="35"/>
  <c r="Z23" i="34"/>
  <c r="BL10" i="34" s="1"/>
  <c r="W22" i="36"/>
  <c r="W35" i="36" s="1"/>
  <c r="AF23" i="35"/>
  <c r="AF36" i="35" s="1"/>
  <c r="Q22" i="29"/>
  <c r="BK7" i="29" s="1"/>
  <c r="T23" i="31"/>
  <c r="T36" i="31" s="1"/>
  <c r="H22" i="35"/>
  <c r="H35" i="35" s="1"/>
  <c r="W22" i="26"/>
  <c r="BK9" i="26" s="1"/>
  <c r="K23" i="30"/>
  <c r="K36" i="30" s="1"/>
  <c r="BL9" i="36"/>
  <c r="AF23" i="28"/>
  <c r="AF22" i="28" s="1"/>
  <c r="N23" i="23"/>
  <c r="BL8" i="23" s="1"/>
  <c r="AI23" i="25"/>
  <c r="BL13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H36" i="34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H22" i="34"/>
  <c r="BK4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12" i="24" s="1"/>
  <c r="AO23" i="24"/>
  <c r="BL15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H36" i="29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8" i="24" s="1"/>
  <c r="K23" i="21"/>
  <c r="K36" i="21" s="1"/>
  <c r="K23" i="25"/>
  <c r="BL5" i="25" s="1"/>
  <c r="Z23" i="31"/>
  <c r="Z22" i="31" s="1"/>
  <c r="H22" i="25"/>
  <c r="H35" i="25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4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AL22" i="30"/>
  <c r="AL35" i="30" s="1"/>
  <c r="AL36" i="30"/>
  <c r="V58" i="21"/>
  <c r="AC22" i="25"/>
  <c r="BK11" i="25" s="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BL11" i="25"/>
  <c r="AC36" i="33"/>
  <c r="AC36" i="30"/>
  <c r="AC22" i="33"/>
  <c r="AC35" i="33" s="1"/>
  <c r="BL11" i="30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O22" i="23"/>
  <c r="BK6" i="23" s="1"/>
  <c r="AN22" i="16"/>
  <c r="AO36" i="20"/>
  <c r="BL11" i="20"/>
  <c r="AO36" i="23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K36" i="36"/>
  <c r="BL5" i="36"/>
  <c r="K22" i="36"/>
  <c r="Z22" i="1"/>
  <c r="Z36" i="1"/>
  <c r="BL7" i="1"/>
  <c r="BK7" i="26"/>
  <c r="Q35" i="26"/>
  <c r="BK8" i="20"/>
  <c r="Q35" i="20"/>
  <c r="BK6" i="1"/>
  <c r="AO35" i="1"/>
  <c r="H35" i="28"/>
  <c r="BK4" i="28"/>
  <c r="BK7" i="35"/>
  <c r="Q35" i="35"/>
  <c r="AF22" i="1"/>
  <c r="AF36" i="1"/>
  <c r="BL9" i="1"/>
  <c r="BL5" i="20"/>
  <c r="AF22" i="20"/>
  <c r="AF36" i="20"/>
  <c r="BE8" i="1"/>
  <c r="AF4" i="16"/>
  <c r="BE12" i="1"/>
  <c r="N4" i="16"/>
  <c r="BK10" i="23"/>
  <c r="Q35" i="23"/>
  <c r="W35" i="25"/>
  <c r="BK9" i="25"/>
  <c r="W35" i="21"/>
  <c r="BK7" i="36"/>
  <c r="Q35" i="36"/>
  <c r="BK4" i="20"/>
  <c r="H35" i="20"/>
  <c r="K36" i="20"/>
  <c r="K22" i="20"/>
  <c r="BL15" i="20"/>
  <c r="BK7" i="32"/>
  <c r="Q35" i="32"/>
  <c r="CE21" i="16"/>
  <c r="Y22" i="16"/>
  <c r="W35" i="1"/>
  <c r="BK11" i="1"/>
  <c r="Q35" i="24"/>
  <c r="BK7" i="24"/>
  <c r="BE15" i="1"/>
  <c r="E4" i="16"/>
  <c r="BE4" i="1"/>
  <c r="H4" i="16"/>
  <c r="BE14" i="1"/>
  <c r="Z4" i="16"/>
  <c r="BK4" i="32"/>
  <c r="H35" i="32"/>
  <c r="H35" i="29"/>
  <c r="BK4" i="29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30"/>
  <c r="BK11" i="3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H35" i="24"/>
  <c r="BK4" i="24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K7" i="27" l="1"/>
  <c r="BK4" i="27"/>
  <c r="W35" i="33"/>
  <c r="Q35" i="31"/>
  <c r="H35" i="36"/>
  <c r="BK9" i="35"/>
  <c r="BK9" i="32"/>
  <c r="W35" i="34"/>
  <c r="H35" i="23"/>
  <c r="AF22" i="32"/>
  <c r="BK12" i="32" s="1"/>
  <c r="W35" i="23"/>
  <c r="BL10" i="35"/>
  <c r="Q35" i="33"/>
  <c r="AL22" i="24"/>
  <c r="BK14" i="24" s="1"/>
  <c r="BK9" i="24"/>
  <c r="AC36" i="26"/>
  <c r="AI36" i="33"/>
  <c r="BL12" i="26"/>
  <c r="AL22" i="25"/>
  <c r="AL35" i="25" s="1"/>
  <c r="AF22" i="30"/>
  <c r="BK12" i="30" s="1"/>
  <c r="BK4" i="30"/>
  <c r="Z36" i="29"/>
  <c r="Z22" i="29"/>
  <c r="BK10" i="29" s="1"/>
  <c r="T36" i="36"/>
  <c r="H35" i="33"/>
  <c r="BK7" i="25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K4" i="31"/>
  <c r="BK7" i="28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Q35" i="30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BK7" i="34"/>
  <c r="AF22" i="27"/>
  <c r="BK12" i="27" s="1"/>
  <c r="BL5" i="33"/>
  <c r="BK9" i="36"/>
  <c r="AC35" i="31"/>
  <c r="N36" i="23"/>
  <c r="BL13" i="27"/>
  <c r="N22" i="27"/>
  <c r="BK6" i="27" s="1"/>
  <c r="BK15" i="25"/>
  <c r="K36" i="23"/>
  <c r="T36" i="35"/>
  <c r="BL6" i="33"/>
  <c r="AI36" i="35"/>
  <c r="N22" i="28"/>
  <c r="N35" i="28" s="1"/>
  <c r="Z36" i="28"/>
  <c r="W35" i="26"/>
  <c r="BK4" i="35"/>
  <c r="BL8" i="36"/>
  <c r="AI36" i="21"/>
  <c r="N22" i="23"/>
  <c r="BK8" i="23" s="1"/>
  <c r="N22" i="24"/>
  <c r="BK6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15" i="25"/>
  <c r="AL22" i="26"/>
  <c r="AL35" i="26" s="1"/>
  <c r="BL13" i="21"/>
  <c r="N36" i="33"/>
  <c r="BL12" i="25"/>
  <c r="BL13" i="35"/>
  <c r="Z22" i="23"/>
  <c r="Z35" i="23" s="1"/>
  <c r="AF22" i="35"/>
  <c r="BK12" i="35" s="1"/>
  <c r="Z36" i="27"/>
  <c r="BL15" i="33"/>
  <c r="BL14" i="26"/>
  <c r="AC36" i="27"/>
  <c r="BL14" i="24"/>
  <c r="BL11" i="27"/>
  <c r="AI36" i="25"/>
  <c r="BL12" i="34"/>
  <c r="K22" i="26"/>
  <c r="K35" i="26" s="1"/>
  <c r="BL8" i="26"/>
  <c r="BL13" i="28"/>
  <c r="H35" i="34"/>
  <c r="BL11" i="35"/>
  <c r="K36" i="29"/>
  <c r="AF22" i="24"/>
  <c r="BK12" i="24" s="1"/>
  <c r="K22" i="30"/>
  <c r="K35" i="30" s="1"/>
  <c r="AO22" i="21"/>
  <c r="BK6" i="21" s="1"/>
  <c r="BL11" i="24"/>
  <c r="K36" i="24"/>
  <c r="BL8" i="31"/>
  <c r="N22" i="36"/>
  <c r="N35" i="36" s="1"/>
  <c r="Z22" i="34"/>
  <c r="BK10" i="34" s="1"/>
  <c r="BL5" i="35"/>
  <c r="K22" i="21"/>
  <c r="K35" i="21" s="1"/>
  <c r="AO22" i="24"/>
  <c r="BK15" i="24" s="1"/>
  <c r="AO22" i="36"/>
  <c r="BK15" i="36" s="1"/>
  <c r="BL11" i="28"/>
  <c r="AF36" i="29"/>
  <c r="BL5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Q35" i="29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5" i="23"/>
  <c r="AL35" i="33"/>
  <c r="BL12" i="29"/>
  <c r="AC35" i="32"/>
  <c r="K22" i="34"/>
  <c r="K35" i="34" s="1"/>
  <c r="BL8" i="28"/>
  <c r="N36" i="31"/>
  <c r="Z22" i="32"/>
  <c r="BK10" i="32" s="1"/>
  <c r="BL13" i="24"/>
  <c r="BL13" i="30"/>
  <c r="BL10" i="26"/>
  <c r="BK15" i="26"/>
  <c r="BL15" i="26"/>
  <c r="AO36" i="31"/>
  <c r="BL15" i="36"/>
  <c r="AO36" i="26"/>
  <c r="AC36" i="34"/>
  <c r="BL14" i="25"/>
  <c r="Z22" i="26"/>
  <c r="BK10" i="26" s="1"/>
  <c r="BL10" i="25"/>
  <c r="T22" i="28"/>
  <c r="T35" i="28" s="1"/>
  <c r="AI36" i="30"/>
  <c r="BL10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K4" i="25"/>
  <c r="BL5" i="29"/>
  <c r="BK9" i="21"/>
  <c r="BL6" i="26"/>
  <c r="BL13" i="23"/>
  <c r="AI22" i="23"/>
  <c r="BK5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12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6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8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8" i="25"/>
  <c r="BL7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BK14" i="30"/>
  <c r="AC35" i="20"/>
  <c r="AC35" i="25"/>
  <c r="BK11" i="33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O35" i="23"/>
  <c r="AC21" i="16"/>
  <c r="AY44" i="16" s="1"/>
  <c r="Z21" i="16"/>
  <c r="AY43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5" i="23"/>
  <c r="BS5" i="23" s="1"/>
  <c r="BR5" i="24"/>
  <c r="BS5" i="24" s="1"/>
  <c r="BR5" i="29"/>
  <c r="BS5" i="29" s="1"/>
  <c r="H22" i="16"/>
  <c r="BN42" i="16" s="1"/>
  <c r="H23" i="16"/>
  <c r="AW34" i="16" s="1"/>
  <c r="AX34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7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5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10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AF35" i="32" l="1"/>
  <c r="Z35" i="30"/>
  <c r="AL35" i="24"/>
  <c r="BK8" i="31"/>
  <c r="AF35" i="35"/>
  <c r="V22" i="35" s="1"/>
  <c r="T35" i="30"/>
  <c r="BK14" i="27"/>
  <c r="BK11" i="36"/>
  <c r="BK11" i="26"/>
  <c r="BK11" i="34"/>
  <c r="BK11" i="21"/>
  <c r="BK14" i="25"/>
  <c r="AF35" i="30"/>
  <c r="AF35" i="34"/>
  <c r="Z35" i="29"/>
  <c r="BK10" i="33"/>
  <c r="BI4" i="33" s="1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13" i="25"/>
  <c r="AF35" i="31"/>
  <c r="V22" i="31" s="1"/>
  <c r="BK10" i="28"/>
  <c r="AO35" i="29"/>
  <c r="N35" i="32"/>
  <c r="BK5" i="30"/>
  <c r="BK13" i="24"/>
  <c r="BK15" i="21"/>
  <c r="BK5" i="34"/>
  <c r="BK8" i="32"/>
  <c r="BK8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BI11" i="32" s="1"/>
  <c r="T35" i="29"/>
  <c r="AI35" i="23"/>
  <c r="AH22" i="23" s="1"/>
  <c r="BT8" i="23" s="1"/>
  <c r="AF35" i="33"/>
  <c r="AK22" i="33" s="1"/>
  <c r="N35" i="26"/>
  <c r="AO35" i="36"/>
  <c r="AB22" i="36" s="1"/>
  <c r="AC35" i="28"/>
  <c r="BK12" i="23"/>
  <c r="BK10" i="24"/>
  <c r="AF35" i="25"/>
  <c r="BK15" i="27"/>
  <c r="T35" i="26"/>
  <c r="BK13" i="29"/>
  <c r="BK5" i="25"/>
  <c r="BK10" i="36"/>
  <c r="BK6" i="35"/>
  <c r="T35" i="27"/>
  <c r="BK8" i="28"/>
  <c r="AO35" i="34"/>
  <c r="BK14" i="31"/>
  <c r="AL35" i="34"/>
  <c r="AC35" i="21"/>
  <c r="BK4" i="21"/>
  <c r="BK11" i="24"/>
  <c r="AO35" i="28"/>
  <c r="BK14" i="36"/>
  <c r="AL35" i="28"/>
  <c r="BK14" i="28"/>
  <c r="BK4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44" i="16"/>
  <c r="BA43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5" i="16"/>
  <c r="AY35" i="16"/>
  <c r="BA42" i="16"/>
  <c r="BB42" i="16" s="1"/>
  <c r="AY42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36" i="16"/>
  <c r="AY36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37" i="16"/>
  <c r="BA37" i="16"/>
  <c r="BA34" i="16"/>
  <c r="AY34" i="16"/>
  <c r="AY39" i="16"/>
  <c r="BA39" i="16"/>
  <c r="BB39" i="16" s="1"/>
  <c r="BA33" i="16"/>
  <c r="AY33" i="16"/>
  <c r="CO4" i="16"/>
  <c r="BI11" i="20"/>
  <c r="BI6" i="1"/>
  <c r="Y22" i="20"/>
  <c r="BA38" i="16"/>
  <c r="AY38" i="16"/>
  <c r="CR4" i="16"/>
  <c r="BI12" i="20"/>
  <c r="BI10" i="20"/>
  <c r="BI7" i="31" l="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5" i="25"/>
  <c r="J22" i="29"/>
  <c r="BT5" i="29" s="1"/>
  <c r="AK22" i="24"/>
  <c r="BT14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9" i="25" s="1"/>
  <c r="BW9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4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10" i="24" s="1"/>
  <c r="BI11" i="26"/>
  <c r="AE22" i="24"/>
  <c r="AE40" i="24" s="1"/>
  <c r="V22" i="24"/>
  <c r="BV9" i="24" s="1"/>
  <c r="BW9" i="24" s="1"/>
  <c r="G22" i="24"/>
  <c r="BT4" i="24" s="1"/>
  <c r="BI6" i="26"/>
  <c r="BI15" i="29"/>
  <c r="BI8" i="26"/>
  <c r="BI11" i="25"/>
  <c r="BI6" i="36"/>
  <c r="G22" i="23"/>
  <c r="G40" i="23" s="1"/>
  <c r="G22" i="21"/>
  <c r="BV4" i="21" s="1"/>
  <c r="Y22" i="26"/>
  <c r="Y40" i="26" s="1"/>
  <c r="AN22" i="24"/>
  <c r="BV15" i="24" s="1"/>
  <c r="AK22" i="23"/>
  <c r="BT7" i="23" s="1"/>
  <c r="M22" i="25"/>
  <c r="BT6" i="25" s="1"/>
  <c r="BI10" i="21"/>
  <c r="AE22" i="36"/>
  <c r="BT12" i="36" s="1"/>
  <c r="Y22" i="23"/>
  <c r="BT6" i="23" s="1"/>
  <c r="Y22" i="25"/>
  <c r="BT10" i="25" s="1"/>
  <c r="AK22" i="36"/>
  <c r="BT14" i="36" s="1"/>
  <c r="V22" i="23"/>
  <c r="BV13" i="23" s="1"/>
  <c r="BW13" i="23" s="1"/>
  <c r="S22" i="23"/>
  <c r="S40" i="23" s="1"/>
  <c r="BI11" i="27"/>
  <c r="AN22" i="23"/>
  <c r="AN40" i="23" s="1"/>
  <c r="P22" i="24"/>
  <c r="BV7" i="24" s="1"/>
  <c r="BW7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12" i="25" s="1"/>
  <c r="S22" i="25"/>
  <c r="S40" i="25" s="1"/>
  <c r="AB22" i="25"/>
  <c r="BT11" i="25" s="1"/>
  <c r="G22" i="25"/>
  <c r="BV4" i="25" s="1"/>
  <c r="Y22" i="36"/>
  <c r="BV10" i="36" s="1"/>
  <c r="AH22" i="21"/>
  <c r="AH40" i="21" s="1"/>
  <c r="P22" i="23"/>
  <c r="BV11" i="23" s="1"/>
  <c r="BW11" i="23" s="1"/>
  <c r="J22" i="23"/>
  <c r="J40" i="23" s="1"/>
  <c r="AN22" i="25"/>
  <c r="BT15" i="25" s="1"/>
  <c r="BI9" i="28"/>
  <c r="S22" i="24"/>
  <c r="S40" i="24" s="1"/>
  <c r="BI9" i="27"/>
  <c r="BI14" i="25"/>
  <c r="AN22" i="27"/>
  <c r="BV15" i="27" s="1"/>
  <c r="BI9" i="32"/>
  <c r="BI11" i="24"/>
  <c r="BI5" i="32"/>
  <c r="Y22" i="27"/>
  <c r="BT10" i="27" s="1"/>
  <c r="P22" i="26"/>
  <c r="BV7" i="26" s="1"/>
  <c r="BW7" i="26" s="1"/>
  <c r="G22" i="27"/>
  <c r="BV4" i="27" s="1"/>
  <c r="BB37" i="16"/>
  <c r="BI5" i="23"/>
  <c r="BI9" i="24"/>
  <c r="BI7" i="23"/>
  <c r="AH22" i="26"/>
  <c r="BT13" i="26" s="1"/>
  <c r="BI15" i="32"/>
  <c r="BI4" i="29"/>
  <c r="BI14" i="29"/>
  <c r="BI11" i="23"/>
  <c r="BI7" i="32"/>
  <c r="BI7" i="24"/>
  <c r="AH22" i="27"/>
  <c r="AH40" i="27" s="1"/>
  <c r="AE22" i="26"/>
  <c r="BV12" i="26" s="1"/>
  <c r="BI8" i="29"/>
  <c r="BI15" i="23"/>
  <c r="BI12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5" i="24"/>
  <c r="BI10" i="32"/>
  <c r="BI12" i="32"/>
  <c r="BI13" i="32"/>
  <c r="J22" i="27"/>
  <c r="BT5" i="27" s="1"/>
  <c r="BI4" i="32"/>
  <c r="BI10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8" i="23"/>
  <c r="S22" i="27"/>
  <c r="BT8" i="27" s="1"/>
  <c r="BI6" i="23"/>
  <c r="BI10" i="29"/>
  <c r="M22" i="26"/>
  <c r="BV6" i="26" s="1"/>
  <c r="BW6" i="26" s="1"/>
  <c r="BI14" i="32"/>
  <c r="BI15" i="24"/>
  <c r="P22" i="27"/>
  <c r="BT7" i="27" s="1"/>
  <c r="BI9" i="29"/>
  <c r="AK22" i="26"/>
  <c r="BV14" i="26" s="1"/>
  <c r="BI14" i="24"/>
  <c r="BI8" i="32"/>
  <c r="V22" i="26"/>
  <c r="BT9" i="26" s="1"/>
  <c r="BI12" i="28"/>
  <c r="BI13" i="27"/>
  <c r="BI6" i="21"/>
  <c r="BI5" i="27"/>
  <c r="BI4" i="23"/>
  <c r="BI8" i="36"/>
  <c r="BI7" i="29"/>
  <c r="V22" i="27"/>
  <c r="BT9" i="27" s="1"/>
  <c r="BI10" i="23"/>
  <c r="BI4" i="24"/>
  <c r="AB22" i="27"/>
  <c r="BV11" i="27" s="1"/>
  <c r="BI8" i="27"/>
  <c r="BI14" i="27"/>
  <c r="BI10" i="36"/>
  <c r="BI6" i="27"/>
  <c r="BI9" i="36"/>
  <c r="BI7" i="36"/>
  <c r="BI14" i="36"/>
  <c r="BI12" i="27"/>
  <c r="BI13" i="24"/>
  <c r="BI15" i="27"/>
  <c r="BI7" i="27"/>
  <c r="BI12" i="23"/>
  <c r="BI8" i="24"/>
  <c r="BI15" i="28"/>
  <c r="BI7" i="25"/>
  <c r="BI15" i="25"/>
  <c r="BI6" i="25"/>
  <c r="BI10" i="25"/>
  <c r="AK22" i="21"/>
  <c r="BV7" i="21" s="1"/>
  <c r="J22" i="21"/>
  <c r="BV5" i="21" s="1"/>
  <c r="BI7" i="28"/>
  <c r="BI8" i="25"/>
  <c r="P22" i="21"/>
  <c r="BT11" i="21" s="1"/>
  <c r="M22" i="21"/>
  <c r="M40" i="21" s="1"/>
  <c r="BI9" i="25"/>
  <c r="AE22" i="21"/>
  <c r="BV15" i="21" s="1"/>
  <c r="BI5" i="28"/>
  <c r="Y22" i="21"/>
  <c r="Y40" i="21" s="1"/>
  <c r="BI4" i="25"/>
  <c r="BI13" i="25"/>
  <c r="S22" i="21"/>
  <c r="BT12" i="21" s="1"/>
  <c r="AB22" i="21"/>
  <c r="BT14" i="21" s="1"/>
  <c r="BI14" i="28"/>
  <c r="BI5" i="36"/>
  <c r="BI12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3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37" i="16" s="1"/>
  <c r="AX37" i="16" s="1"/>
  <c r="BR13" i="26"/>
  <c r="BS13" i="26" s="1"/>
  <c r="BR13" i="25"/>
  <c r="BS13" i="25" s="1"/>
  <c r="BR13" i="24"/>
  <c r="BS13" i="24" s="1"/>
  <c r="BR13" i="32"/>
  <c r="BS13" i="32" s="1"/>
  <c r="BR13" i="31"/>
  <c r="BS13" i="31" s="1"/>
  <c r="BR8" i="21"/>
  <c r="BS8" i="21" s="1"/>
  <c r="BR13" i="30"/>
  <c r="BS13" i="30" s="1"/>
  <c r="BR8" i="23"/>
  <c r="BS8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6" i="21"/>
  <c r="BS6" i="21" s="1"/>
  <c r="W23" i="16"/>
  <c r="AW35" i="16" s="1"/>
  <c r="AX35" i="16" s="1"/>
  <c r="BR10" i="34"/>
  <c r="BS10" i="34" s="1"/>
  <c r="BR6" i="23"/>
  <c r="BS6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10" i="24"/>
  <c r="BS10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42" i="16" s="1"/>
  <c r="AX42" i="16" s="1"/>
  <c r="T27" i="16"/>
  <c r="BR9" i="28"/>
  <c r="BS9" i="28" s="1"/>
  <c r="BR9" i="35"/>
  <c r="BS9" i="35" s="1"/>
  <c r="BR9" i="34"/>
  <c r="BS9" i="34" s="1"/>
  <c r="BR9" i="33"/>
  <c r="BS9" i="33" s="1"/>
  <c r="T25" i="16"/>
  <c r="BR9" i="24"/>
  <c r="BS9" i="24" s="1"/>
  <c r="BR13" i="23"/>
  <c r="BS13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8" i="16" s="1"/>
  <c r="AX38" i="16" s="1"/>
  <c r="BR15" i="25"/>
  <c r="BS15" i="25" s="1"/>
  <c r="AL24" i="16"/>
  <c r="AL22" i="16"/>
  <c r="CR42" i="16" s="1"/>
  <c r="BR9" i="23"/>
  <c r="BS9" i="23" s="1"/>
  <c r="AL27" i="16"/>
  <c r="BR15" i="26"/>
  <c r="BS15" i="26" s="1"/>
  <c r="BR15" i="35"/>
  <c r="BS15" i="35" s="1"/>
  <c r="BR15" i="24"/>
  <c r="BS15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1" i="16" s="1"/>
  <c r="AX41" i="16" s="1"/>
  <c r="BR8" i="29"/>
  <c r="BS8" i="29" s="1"/>
  <c r="BR8" i="31"/>
  <c r="BS8" i="31" s="1"/>
  <c r="BR12" i="21"/>
  <c r="BS12" i="21" s="1"/>
  <c r="BR8" i="27"/>
  <c r="BS8" i="27" s="1"/>
  <c r="BR8" i="24"/>
  <c r="BS8" i="24" s="1"/>
  <c r="BR8" i="30"/>
  <c r="BS8" i="30" s="1"/>
  <c r="BR8" i="32"/>
  <c r="BS8" i="32" s="1"/>
  <c r="BR8" i="25"/>
  <c r="BS8" i="25" s="1"/>
  <c r="BR8" i="28"/>
  <c r="BS8" i="28" s="1"/>
  <c r="BR12" i="23"/>
  <c r="BS12" i="23" s="1"/>
  <c r="Q27" i="16"/>
  <c r="Q22" i="16"/>
  <c r="BW42" i="16" s="1"/>
  <c r="CQ5" i="16"/>
  <c r="BR7" i="21"/>
  <c r="BS7" i="21" s="1"/>
  <c r="BR7" i="23"/>
  <c r="BS7" i="23" s="1"/>
  <c r="BR14" i="29"/>
  <c r="BS14" i="29" s="1"/>
  <c r="BR14" i="20"/>
  <c r="BS14" i="20" s="1"/>
  <c r="BR14" i="31"/>
  <c r="BS14" i="31" s="1"/>
  <c r="BR14" i="24"/>
  <c r="BS14" i="24" s="1"/>
  <c r="BR14" i="36"/>
  <c r="BS14" i="36" s="1"/>
  <c r="BR14" i="26"/>
  <c r="BS14" i="26" s="1"/>
  <c r="BR14" i="27"/>
  <c r="BS14" i="27" s="1"/>
  <c r="BR14" i="34"/>
  <c r="BS14" i="34" s="1"/>
  <c r="AI23" i="16"/>
  <c r="AW36" i="16" s="1"/>
  <c r="AX36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6" i="24"/>
  <c r="BS6" i="24" s="1"/>
  <c r="BR6" i="31"/>
  <c r="BS6" i="31" s="1"/>
  <c r="BR6" i="25"/>
  <c r="BS6" i="25" s="1"/>
  <c r="BR10" i="23"/>
  <c r="BS10" i="23" s="1"/>
  <c r="BR6" i="34"/>
  <c r="BS6" i="34" s="1"/>
  <c r="BE5" i="20"/>
  <c r="AC5" i="16"/>
  <c r="E5" i="16"/>
  <c r="BE4" i="20"/>
  <c r="BV5" i="16"/>
  <c r="BR11" i="23"/>
  <c r="BS11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40" i="16" s="1"/>
  <c r="AX40" i="16" s="1"/>
  <c r="BR7" i="32"/>
  <c r="BS7" i="32" s="1"/>
  <c r="N27" i="16"/>
  <c r="BR7" i="31"/>
  <c r="BS7" i="31" s="1"/>
  <c r="BR7" i="24"/>
  <c r="BS7" i="24" s="1"/>
  <c r="BR7" i="30"/>
  <c r="BS7" i="30" s="1"/>
  <c r="BR7" i="26"/>
  <c r="BS7" i="26" s="1"/>
  <c r="BR7" i="33"/>
  <c r="BS7" i="33" s="1"/>
  <c r="BR11" i="21"/>
  <c r="BS11" i="21" s="1"/>
  <c r="N25" i="16"/>
  <c r="CH5" i="16"/>
  <c r="BR11" i="25"/>
  <c r="BS11" i="25" s="1"/>
  <c r="BR11" i="24"/>
  <c r="BS11" i="24" s="1"/>
  <c r="BR11" i="33"/>
  <c r="BS11" i="33" s="1"/>
  <c r="BR11" i="35"/>
  <c r="BS11" i="35" s="1"/>
  <c r="BR11" i="36"/>
  <c r="BS11" i="36" s="1"/>
  <c r="BR14" i="23"/>
  <c r="BS14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3" i="16" s="1"/>
  <c r="AX43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36" i="16"/>
  <c r="BB38" i="16"/>
  <c r="BV6" i="1"/>
  <c r="BB34" i="16"/>
  <c r="BT6" i="1"/>
  <c r="AH40" i="23"/>
  <c r="BV8" i="23"/>
  <c r="BB35" i="16"/>
  <c r="BB44" i="16"/>
  <c r="BB43" i="16"/>
  <c r="AZ43" i="16"/>
  <c r="AZ36" i="16"/>
  <c r="BV11" i="20"/>
  <c r="BT11" i="20"/>
  <c r="Y40" i="20"/>
  <c r="AB40" i="1"/>
  <c r="BT13" i="1"/>
  <c r="BV13" i="1"/>
  <c r="AE40" i="1"/>
  <c r="BV14" i="1"/>
  <c r="BT14" i="1"/>
  <c r="AZ42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8" i="16"/>
  <c r="AZ39" i="16"/>
  <c r="AZ34" i="16"/>
  <c r="AZ37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BT9" i="35"/>
  <c r="V40" i="35"/>
  <c r="BV9" i="35"/>
  <c r="BW9" i="35" s="1"/>
  <c r="AZ41" i="16"/>
  <c r="BT4" i="1"/>
  <c r="BV4" i="1"/>
  <c r="BW4" i="1" s="1"/>
  <c r="J40" i="1"/>
  <c r="AZ35" i="16"/>
  <c r="AK40" i="20"/>
  <c r="BV14" i="20"/>
  <c r="BT14" i="20"/>
  <c r="BT12" i="20"/>
  <c r="BV12" i="20"/>
  <c r="AB40" i="20"/>
  <c r="AK40" i="33"/>
  <c r="BV14" i="33"/>
  <c r="BT14" i="33"/>
  <c r="BT8" i="1"/>
  <c r="BV8" i="1"/>
  <c r="BW8" i="1" s="1"/>
  <c r="M40" i="1"/>
  <c r="AZ33" i="16"/>
  <c r="BV12" i="1"/>
  <c r="Y40" i="1"/>
  <c r="BT12" i="1"/>
  <c r="AZ44" i="16"/>
  <c r="AZ40" i="16"/>
  <c r="BV12" i="30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V9" i="31"/>
  <c r="BW9" i="31" s="1"/>
  <c r="V40" i="31"/>
  <c r="BT9" i="31"/>
  <c r="V40" i="30" l="1"/>
  <c r="Y40" i="35"/>
  <c r="BV8" i="30"/>
  <c r="BW8" i="30" s="1"/>
  <c r="BV14" i="35"/>
  <c r="BW14" i="35" s="1"/>
  <c r="BV14" i="30"/>
  <c r="BW14" i="30" s="1"/>
  <c r="S40" i="35"/>
  <c r="S40" i="30"/>
  <c r="BT14" i="35"/>
  <c r="BT12" i="30"/>
  <c r="BU12" i="30" s="1"/>
  <c r="BT8" i="35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U12" i="35" s="1"/>
  <c r="BT5" i="31"/>
  <c r="BU5" i="31" s="1"/>
  <c r="BT5" i="35"/>
  <c r="BT15" i="30"/>
  <c r="BU15" i="30" s="1"/>
  <c r="BV5" i="30"/>
  <c r="BW5" i="30" s="1"/>
  <c r="BV6" i="30"/>
  <c r="BW6" i="30" s="1"/>
  <c r="AH40" i="30"/>
  <c r="BV15" i="30"/>
  <c r="BT4" i="30"/>
  <c r="BU4" i="30" s="1"/>
  <c r="BT13" i="30"/>
  <c r="BU13" i="30" s="1"/>
  <c r="BV9" i="21"/>
  <c r="BT6" i="30"/>
  <c r="BU6" i="30" s="1"/>
  <c r="J40" i="35"/>
  <c r="BV12" i="31"/>
  <c r="G40" i="30"/>
  <c r="Y40" i="32"/>
  <c r="BT13" i="25"/>
  <c r="BU13" i="25" s="1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U15" i="27" s="1"/>
  <c r="BT4" i="29"/>
  <c r="BU4" i="29" s="1"/>
  <c r="BT12" i="27"/>
  <c r="BU12" i="27" s="1"/>
  <c r="BV14" i="32"/>
  <c r="BW14" i="32" s="1"/>
  <c r="BT7" i="25"/>
  <c r="BU7" i="25" s="1"/>
  <c r="BT10" i="31"/>
  <c r="BU10" i="31" s="1"/>
  <c r="BV4" i="36"/>
  <c r="BW4" i="36" s="1"/>
  <c r="BT13" i="31"/>
  <c r="BU13" i="31" s="1"/>
  <c r="BT10" i="33"/>
  <c r="BU10" i="33" s="1"/>
  <c r="BV8" i="29"/>
  <c r="BW8" i="29" s="1"/>
  <c r="BV13" i="31"/>
  <c r="BT15" i="24"/>
  <c r="BU15" i="24" s="1"/>
  <c r="BV11" i="33"/>
  <c r="BW11" i="33" s="1"/>
  <c r="BT7" i="32"/>
  <c r="BU7" i="32" s="1"/>
  <c r="BT15" i="32"/>
  <c r="BU15" i="32" s="1"/>
  <c r="J40" i="33"/>
  <c r="BT15" i="33"/>
  <c r="BU15" i="33" s="1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BU13" i="28" s="1"/>
  <c r="AH40" i="34"/>
  <c r="BV13" i="27"/>
  <c r="BT9" i="21"/>
  <c r="BU9" i="21" s="1"/>
  <c r="AN40" i="32"/>
  <c r="BV4" i="31"/>
  <c r="BW4" i="31" s="1"/>
  <c r="BT15" i="34"/>
  <c r="BU15" i="34" s="1"/>
  <c r="S40" i="29"/>
  <c r="Y40" i="33"/>
  <c r="BT12" i="31"/>
  <c r="BU12" i="31" s="1"/>
  <c r="BT6" i="31"/>
  <c r="BU6" i="31" s="1"/>
  <c r="BP6" i="31" s="1"/>
  <c r="BT13" i="33"/>
  <c r="BU13" i="33" s="1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15" i="23"/>
  <c r="V40" i="27"/>
  <c r="BT6" i="26"/>
  <c r="BU6" i="26" s="1"/>
  <c r="BP6" i="26" s="1"/>
  <c r="BT5" i="23"/>
  <c r="BU5" i="23" s="1"/>
  <c r="BV12" i="29"/>
  <c r="BV10" i="31"/>
  <c r="BW10" i="31" s="1"/>
  <c r="BT13" i="32"/>
  <c r="BU13" i="32" s="1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6" i="24"/>
  <c r="BW6" i="24" s="1"/>
  <c r="AB40" i="32"/>
  <c r="AK40" i="24"/>
  <c r="BV14" i="23"/>
  <c r="BW14" i="23" s="1"/>
  <c r="BT11" i="23"/>
  <c r="BU11" i="23" s="1"/>
  <c r="BP11" i="23" s="1"/>
  <c r="Y40" i="24"/>
  <c r="BV14" i="24"/>
  <c r="BW14" i="24" s="1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7" i="25"/>
  <c r="BW7" i="25" s="1"/>
  <c r="BT6" i="33"/>
  <c r="V40" i="33"/>
  <c r="BV14" i="25"/>
  <c r="BW14" i="25" s="1"/>
  <c r="BT14" i="31"/>
  <c r="BV8" i="32"/>
  <c r="BW8" i="32" s="1"/>
  <c r="BV9" i="29"/>
  <c r="BW9" i="29" s="1"/>
  <c r="BV10" i="23"/>
  <c r="BW10" i="23" s="1"/>
  <c r="BV5" i="25"/>
  <c r="BW5" i="25" s="1"/>
  <c r="BV14" i="31"/>
  <c r="BT5" i="25"/>
  <c r="BT7" i="31"/>
  <c r="BU7" i="31" s="1"/>
  <c r="BP7" i="31" s="1"/>
  <c r="BT9" i="25"/>
  <c r="BU9" i="25" s="1"/>
  <c r="BP9" i="25" s="1"/>
  <c r="BV6" i="33"/>
  <c r="BW6" i="33" s="1"/>
  <c r="BV13" i="25"/>
  <c r="BT14" i="27"/>
  <c r="BT7" i="28"/>
  <c r="BU7" i="28" s="1"/>
  <c r="BP7" i="28" s="1"/>
  <c r="S40" i="31"/>
  <c r="BV9" i="36"/>
  <c r="BW9" i="36" s="1"/>
  <c r="BV12" i="24"/>
  <c r="BT10" i="32"/>
  <c r="BU10" i="32" s="1"/>
  <c r="BT10" i="23"/>
  <c r="BU10" i="23" s="1"/>
  <c r="BT12" i="32"/>
  <c r="BU12" i="32" s="1"/>
  <c r="BT4" i="21"/>
  <c r="BU4" i="21" s="1"/>
  <c r="BT11" i="28"/>
  <c r="BU11" i="28" s="1"/>
  <c r="G40" i="29"/>
  <c r="S40" i="32"/>
  <c r="BT9" i="24"/>
  <c r="BU9" i="24" s="1"/>
  <c r="BP9" i="24" s="1"/>
  <c r="BT9" i="33"/>
  <c r="BU9" i="33" s="1"/>
  <c r="BP9" i="33" s="1"/>
  <c r="AH40" i="36"/>
  <c r="J40" i="29"/>
  <c r="BT15" i="29"/>
  <c r="BU15" i="29" s="1"/>
  <c r="BV5" i="32"/>
  <c r="BW5" i="32" s="1"/>
  <c r="P40" i="36"/>
  <c r="Y40" i="27"/>
  <c r="P40" i="29"/>
  <c r="M40" i="29"/>
  <c r="BV8" i="25"/>
  <c r="BW8" i="25" s="1"/>
  <c r="BV6" i="25"/>
  <c r="BW6" i="25" s="1"/>
  <c r="BV13" i="32"/>
  <c r="V40" i="25"/>
  <c r="BV13" i="29"/>
  <c r="BT11" i="29"/>
  <c r="BU11" i="29" s="1"/>
  <c r="BV5" i="24"/>
  <c r="BW5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W14" i="27" s="1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U13" i="36" s="1"/>
  <c r="BV5" i="26"/>
  <c r="BW5" i="26" s="1"/>
  <c r="BV5" i="29"/>
  <c r="BW5" i="29" s="1"/>
  <c r="BT5" i="32"/>
  <c r="BU5" i="32" s="1"/>
  <c r="M40" i="27"/>
  <c r="BV14" i="34"/>
  <c r="BW14" i="34" s="1"/>
  <c r="BT7" i="21"/>
  <c r="BV10" i="25"/>
  <c r="BW10" i="25" s="1"/>
  <c r="BV7" i="29"/>
  <c r="BW7" i="29" s="1"/>
  <c r="BV12" i="21"/>
  <c r="BW12" i="21" s="1"/>
  <c r="BV11" i="34"/>
  <c r="BW11" i="34" s="1"/>
  <c r="BT8" i="25"/>
  <c r="BU8" i="25" s="1"/>
  <c r="M40" i="25"/>
  <c r="V40" i="34"/>
  <c r="V40" i="24"/>
  <c r="M40" i="36"/>
  <c r="J40" i="26"/>
  <c r="AN40" i="29"/>
  <c r="AK40" i="34"/>
  <c r="V40" i="36"/>
  <c r="BV11" i="21"/>
  <c r="BW11" i="21" s="1"/>
  <c r="P40" i="21"/>
  <c r="BT6" i="24"/>
  <c r="BU6" i="24" s="1"/>
  <c r="BP6" i="24" s="1"/>
  <c r="BT8" i="36"/>
  <c r="BU8" i="36" s="1"/>
  <c r="BP8" i="36" s="1"/>
  <c r="BV4" i="24"/>
  <c r="BW4" i="24" s="1"/>
  <c r="BV4" i="33"/>
  <c r="BW4" i="33" s="1"/>
  <c r="BT14" i="23"/>
  <c r="BU14" i="23" s="1"/>
  <c r="BT11" i="24"/>
  <c r="BU11" i="24" s="1"/>
  <c r="AB40" i="26"/>
  <c r="AN40" i="36"/>
  <c r="BT15" i="36"/>
  <c r="BU15" i="36" s="1"/>
  <c r="P40" i="33"/>
  <c r="Y40" i="36"/>
  <c r="BT8" i="26"/>
  <c r="BU8" i="26" s="1"/>
  <c r="BP8" i="26" s="1"/>
  <c r="BV6" i="34"/>
  <c r="BW6" i="34" s="1"/>
  <c r="BV13" i="26"/>
  <c r="AK40" i="23"/>
  <c r="BV12" i="23"/>
  <c r="BW12" i="23" s="1"/>
  <c r="BT14" i="26"/>
  <c r="BV4" i="23"/>
  <c r="BW4" i="23" s="1"/>
  <c r="BT12" i="23"/>
  <c r="BU12" i="23" s="1"/>
  <c r="BT7" i="36"/>
  <c r="BU7" i="36" s="1"/>
  <c r="BP7" i="36" s="1"/>
  <c r="BT4" i="23"/>
  <c r="BV15" i="28"/>
  <c r="AN40" i="25"/>
  <c r="BV7" i="23"/>
  <c r="BW7" i="23" s="1"/>
  <c r="BT6" i="28"/>
  <c r="BU6" i="28" s="1"/>
  <c r="AU37" i="16"/>
  <c r="BT12" i="25"/>
  <c r="AB40" i="28"/>
  <c r="Y40" i="23"/>
  <c r="BV8" i="24"/>
  <c r="BW8" i="24" s="1"/>
  <c r="BT6" i="32"/>
  <c r="BU6" i="32" s="1"/>
  <c r="BP6" i="32" s="1"/>
  <c r="BV11" i="25"/>
  <c r="BW11" i="25" s="1"/>
  <c r="BV8" i="28"/>
  <c r="BW8" i="28" s="1"/>
  <c r="BT7" i="26"/>
  <c r="BU7" i="26" s="1"/>
  <c r="BP7" i="26" s="1"/>
  <c r="BV14" i="36"/>
  <c r="BW14" i="36" s="1"/>
  <c r="BV8" i="33"/>
  <c r="BW8" i="33" s="1"/>
  <c r="BV5" i="36"/>
  <c r="BW5" i="36" s="1"/>
  <c r="BT10" i="24"/>
  <c r="BU10" i="24" s="1"/>
  <c r="G40" i="24"/>
  <c r="BV10" i="26"/>
  <c r="BW10" i="26" s="1"/>
  <c r="BV9" i="23"/>
  <c r="S40" i="36"/>
  <c r="BV11" i="24"/>
  <c r="BW11" i="24" s="1"/>
  <c r="BV11" i="26"/>
  <c r="BV5" i="34"/>
  <c r="BW5" i="34" s="1"/>
  <c r="BT10" i="21"/>
  <c r="BU10" i="21" s="1"/>
  <c r="P40" i="34"/>
  <c r="BT9" i="23"/>
  <c r="BU9" i="23" s="1"/>
  <c r="BV7" i="27"/>
  <c r="BW7" i="27" s="1"/>
  <c r="AK40" i="36"/>
  <c r="BV13" i="24"/>
  <c r="AB40" i="27"/>
  <c r="BT12" i="24"/>
  <c r="AH40" i="26"/>
  <c r="BV8" i="27"/>
  <c r="BW8" i="27" s="1"/>
  <c r="BT5" i="24"/>
  <c r="BU5" i="24" s="1"/>
  <c r="BV15" i="25"/>
  <c r="BV6" i="23"/>
  <c r="BW6" i="23" s="1"/>
  <c r="AE40" i="25"/>
  <c r="S40" i="26"/>
  <c r="BT4" i="26"/>
  <c r="BU4" i="26" s="1"/>
  <c r="BV10" i="28"/>
  <c r="BW10" i="28" s="1"/>
  <c r="G40" i="27"/>
  <c r="BV14" i="29"/>
  <c r="BW14" i="29" s="1"/>
  <c r="BT8" i="24"/>
  <c r="BU8" i="24" s="1"/>
  <c r="BT5" i="21"/>
  <c r="BU5" i="21" s="1"/>
  <c r="BT13" i="27"/>
  <c r="BU13" i="27" s="1"/>
  <c r="M40" i="26"/>
  <c r="BT4" i="34"/>
  <c r="J40" i="27"/>
  <c r="BT4" i="27"/>
  <c r="BU4" i="27" s="1"/>
  <c r="G40" i="25"/>
  <c r="BV5" i="23"/>
  <c r="BW5" i="23" s="1"/>
  <c r="P40" i="23"/>
  <c r="AE40" i="36"/>
  <c r="BT5" i="36"/>
  <c r="BT13" i="24"/>
  <c r="BU13" i="24" s="1"/>
  <c r="BT13" i="23"/>
  <c r="BU13" i="23" s="1"/>
  <c r="BP13" i="23" s="1"/>
  <c r="BT10" i="29"/>
  <c r="BU10" i="29" s="1"/>
  <c r="BT13" i="34"/>
  <c r="BU13" i="34" s="1"/>
  <c r="BT15" i="23"/>
  <c r="BV9" i="27"/>
  <c r="BW9" i="27" s="1"/>
  <c r="BT7" i="24"/>
  <c r="BU7" i="24" s="1"/>
  <c r="BP7" i="24" s="1"/>
  <c r="BT4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W14" i="28" s="1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4" i="16"/>
  <c r="BV4" i="34"/>
  <c r="G40" i="28"/>
  <c r="AU42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4" i="25"/>
  <c r="AU41" i="16"/>
  <c r="AU39" i="16"/>
  <c r="AU40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12" i="24"/>
  <c r="BS12" i="24" s="1"/>
  <c r="BR12" i="31"/>
  <c r="BS12" i="31" s="1"/>
  <c r="BR12" i="25"/>
  <c r="BS12" i="25" s="1"/>
  <c r="AC23" i="16"/>
  <c r="AW44" i="16" s="1"/>
  <c r="AX44" i="16" s="1"/>
  <c r="AU44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15" i="23"/>
  <c r="BS15" i="23" s="1"/>
  <c r="BM5" i="16"/>
  <c r="E22" i="16"/>
  <c r="BK42" i="16" s="1"/>
  <c r="BR4" i="30"/>
  <c r="BS4" i="30" s="1"/>
  <c r="BR4" i="23"/>
  <c r="BS4" i="23" s="1"/>
  <c r="BR4" i="35"/>
  <c r="BS4" i="35" s="1"/>
  <c r="BR4" i="34"/>
  <c r="BS4" i="34" s="1"/>
  <c r="BR4" i="29"/>
  <c r="BS4" i="29" s="1"/>
  <c r="E25" i="16"/>
  <c r="E27" i="16"/>
  <c r="BR4" i="27"/>
  <c r="BS4" i="27" s="1"/>
  <c r="BR4" i="24"/>
  <c r="BS4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3" i="16" s="1"/>
  <c r="AX33" i="16" s="1"/>
  <c r="AU33" i="16" s="1"/>
  <c r="BR4" i="31"/>
  <c r="BS4" i="31" s="1"/>
  <c r="BR4" i="25"/>
  <c r="BS4" i="25" s="1"/>
  <c r="BU9" i="26"/>
  <c r="BP9" i="26" s="1"/>
  <c r="BU6" i="34"/>
  <c r="AU36" i="16"/>
  <c r="AU38" i="16"/>
  <c r="BW7" i="21"/>
  <c r="BW14" i="33"/>
  <c r="BW6" i="1"/>
  <c r="BW14" i="20"/>
  <c r="BW15" i="20"/>
  <c r="BW14" i="26"/>
  <c r="BW5" i="1"/>
  <c r="BW5" i="35"/>
  <c r="BW5" i="28"/>
  <c r="BW5" i="33"/>
  <c r="BW5" i="21"/>
  <c r="BW5" i="20"/>
  <c r="BW12" i="30"/>
  <c r="BU10" i="27"/>
  <c r="BW12" i="35"/>
  <c r="BU10" i="25"/>
  <c r="AU35" i="16"/>
  <c r="BW12" i="1"/>
  <c r="BW10" i="24"/>
  <c r="BW10" i="36"/>
  <c r="BW10" i="33"/>
  <c r="BW10" i="30"/>
  <c r="BW10" i="34"/>
  <c r="BW10" i="32"/>
  <c r="BW11" i="20"/>
  <c r="BW14" i="1"/>
  <c r="BU11" i="36"/>
  <c r="BP11" i="36" s="1"/>
  <c r="AU43" i="16"/>
  <c r="BW6" i="20"/>
  <c r="BW12" i="20"/>
  <c r="BW11" i="28"/>
  <c r="BW13" i="1"/>
  <c r="BW11" i="30"/>
  <c r="BW11" i="27"/>
  <c r="BU10" i="28"/>
  <c r="BU8" i="1"/>
  <c r="BP8" i="1" s="1"/>
  <c r="BU8" i="20"/>
  <c r="BP8" i="20" s="1"/>
  <c r="BU8" i="23"/>
  <c r="BU13" i="29"/>
  <c r="BU12" i="33"/>
  <c r="BU12" i="20"/>
  <c r="BU11" i="1"/>
  <c r="BP11" i="1" s="1"/>
  <c r="BU8" i="28"/>
  <c r="BU8" i="35"/>
  <c r="BP8" i="35" s="1"/>
  <c r="BU15" i="25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13" i="35"/>
  <c r="BU9" i="1"/>
  <c r="BP9" i="1" s="1"/>
  <c r="BU14" i="1"/>
  <c r="BU8" i="27"/>
  <c r="BU15" i="31"/>
  <c r="BU11" i="33"/>
  <c r="BU15" i="26"/>
  <c r="BU11" i="25"/>
  <c r="BU12" i="1"/>
  <c r="BU10" i="35"/>
  <c r="BU12" i="21"/>
  <c r="BU8" i="30"/>
  <c r="BU6" i="20"/>
  <c r="BU11" i="34"/>
  <c r="BU8" i="29"/>
  <c r="BU6" i="25"/>
  <c r="BU9" i="34"/>
  <c r="AR40" i="1"/>
  <c r="AR41" i="1"/>
  <c r="BU14" i="21"/>
  <c r="BU5" i="20"/>
  <c r="BU5" i="26"/>
  <c r="BU6" i="27"/>
  <c r="BU9" i="36"/>
  <c r="BU7" i="27"/>
  <c r="BU4" i="1"/>
  <c r="BP4" i="1" s="1"/>
  <c r="BU4" i="24"/>
  <c r="BU15" i="20"/>
  <c r="BU8" i="32"/>
  <c r="BU15" i="1"/>
  <c r="BP15" i="1" s="1"/>
  <c r="BU6" i="1"/>
  <c r="BU6" i="23"/>
  <c r="BU10" i="20"/>
  <c r="BP10" i="20" s="1"/>
  <c r="BU13" i="20"/>
  <c r="BP13" i="20" s="1"/>
  <c r="BU10" i="1"/>
  <c r="BP10" i="1" s="1"/>
  <c r="BU7" i="29"/>
  <c r="BU9" i="27"/>
  <c r="BU14" i="20"/>
  <c r="BU9" i="35"/>
  <c r="BP9" i="35" s="1"/>
  <c r="BU7" i="20"/>
  <c r="BP7" i="20" s="1"/>
  <c r="BU8" i="33"/>
  <c r="BU5" i="27"/>
  <c r="BU11" i="27"/>
  <c r="BU9" i="31"/>
  <c r="BP9" i="31" s="1"/>
  <c r="BU15" i="28"/>
  <c r="BU11" i="21"/>
  <c r="BU11" i="32"/>
  <c r="BU13" i="26"/>
  <c r="BU15" i="35"/>
  <c r="BU9" i="30"/>
  <c r="BU9" i="20"/>
  <c r="BP9" i="20" s="1"/>
  <c r="AR41" i="20"/>
  <c r="AR40" i="20"/>
  <c r="BU13" i="1"/>
  <c r="BP8" i="30" l="1"/>
  <c r="BP7" i="35"/>
  <c r="BP9" i="30"/>
  <c r="BW15" i="35"/>
  <c r="BP15" i="35" s="1"/>
  <c r="BU14" i="35"/>
  <c r="BP14" i="35" s="1"/>
  <c r="BU5" i="35"/>
  <c r="BP5" i="35" s="1"/>
  <c r="BW13" i="35"/>
  <c r="BP13" i="35" s="1"/>
  <c r="AR40" i="35"/>
  <c r="AK2" i="35" s="1"/>
  <c r="AR41" i="35"/>
  <c r="AN2" i="35" s="1"/>
  <c r="BP7" i="30"/>
  <c r="BP6" i="30"/>
  <c r="AR41" i="30"/>
  <c r="AN2" i="30" s="1"/>
  <c r="BU14" i="30"/>
  <c r="BP14" i="30" s="1"/>
  <c r="BW13" i="30"/>
  <c r="BP13" i="30" s="1"/>
  <c r="AR40" i="30"/>
  <c r="M2" i="30" s="1"/>
  <c r="BW15" i="30"/>
  <c r="BP15" i="30" s="1"/>
  <c r="BP7" i="32"/>
  <c r="BP8" i="29"/>
  <c r="BP8" i="27"/>
  <c r="BP7" i="25"/>
  <c r="BP12" i="21"/>
  <c r="BP9" i="28"/>
  <c r="BU14" i="27"/>
  <c r="BP14" i="27" s="1"/>
  <c r="BW13" i="31"/>
  <c r="BP13" i="31" s="1"/>
  <c r="BP10" i="23"/>
  <c r="BW12" i="31"/>
  <c r="BP12" i="31" s="1"/>
  <c r="BP11" i="21"/>
  <c r="BP7" i="29"/>
  <c r="BU14" i="31"/>
  <c r="BW15" i="31"/>
  <c r="BP15" i="31" s="1"/>
  <c r="BP6" i="27"/>
  <c r="BP9" i="34"/>
  <c r="BW12" i="32"/>
  <c r="BP12" i="32" s="1"/>
  <c r="BP8" i="32"/>
  <c r="BW15" i="26"/>
  <c r="BP15" i="26" s="1"/>
  <c r="BP11" i="29"/>
  <c r="AR40" i="32"/>
  <c r="AK2" i="32" s="1"/>
  <c r="AR40" i="31"/>
  <c r="AK2" i="31" s="1"/>
  <c r="BW12" i="26"/>
  <c r="BU14" i="34"/>
  <c r="BP14" i="34" s="1"/>
  <c r="AR40" i="24"/>
  <c r="AK2" i="24" s="1"/>
  <c r="BW9" i="21"/>
  <c r="BP9" i="21" s="1"/>
  <c r="AR40" i="29"/>
  <c r="AK2" i="29" s="1"/>
  <c r="BU14" i="33"/>
  <c r="BP14" i="33" s="1"/>
  <c r="BU14" i="32"/>
  <c r="BP14" i="32" s="1"/>
  <c r="BW15" i="34"/>
  <c r="BP15" i="34" s="1"/>
  <c r="BW12" i="24"/>
  <c r="BW15" i="21"/>
  <c r="BW15" i="32"/>
  <c r="BP15" i="32" s="1"/>
  <c r="BW14" i="31"/>
  <c r="BU6" i="33"/>
  <c r="BP6" i="33" s="1"/>
  <c r="BW13" i="32"/>
  <c r="BP13" i="32" s="1"/>
  <c r="BW12" i="34"/>
  <c r="BW15" i="36"/>
  <c r="BP15" i="36" s="1"/>
  <c r="BW15" i="24"/>
  <c r="BP15" i="24" s="1"/>
  <c r="BW12" i="28"/>
  <c r="AR41" i="33"/>
  <c r="AN2" i="33" s="1"/>
  <c r="BP8" i="25"/>
  <c r="AR41" i="29"/>
  <c r="AE2" i="29" s="1"/>
  <c r="BU14" i="25"/>
  <c r="BP14" i="25" s="1"/>
  <c r="BW15" i="33"/>
  <c r="BP15" i="33" s="1"/>
  <c r="AR40" i="33"/>
  <c r="AK2" i="33" s="1"/>
  <c r="BU7" i="23"/>
  <c r="BP7" i="23" s="1"/>
  <c r="BW12" i="33"/>
  <c r="BP12" i="33" s="1"/>
  <c r="BW15" i="25"/>
  <c r="BP15" i="25" s="1"/>
  <c r="BU14" i="26"/>
  <c r="BP14" i="26" s="1"/>
  <c r="BU7" i="21"/>
  <c r="BP7" i="21" s="1"/>
  <c r="AR41" i="32"/>
  <c r="AN2" i="32" s="1"/>
  <c r="BU14" i="36"/>
  <c r="BP14" i="36" s="1"/>
  <c r="BW12" i="27"/>
  <c r="BP12" i="27" s="1"/>
  <c r="BW9" i="23"/>
  <c r="BP9" i="23" s="1"/>
  <c r="BU14" i="29"/>
  <c r="BP14" i="29" s="1"/>
  <c r="BP6" i="36"/>
  <c r="BW12" i="29"/>
  <c r="BW12" i="36"/>
  <c r="BW15" i="23"/>
  <c r="BW15" i="27"/>
  <c r="BP15" i="27" s="1"/>
  <c r="BW15" i="28"/>
  <c r="BP15" i="28" s="1"/>
  <c r="BW15" i="29"/>
  <c r="BP15" i="29" s="1"/>
  <c r="BU14" i="24"/>
  <c r="BP14" i="24" s="1"/>
  <c r="BP9" i="36"/>
  <c r="BP6" i="25"/>
  <c r="BP9" i="29"/>
  <c r="BP6" i="29"/>
  <c r="BU5" i="25"/>
  <c r="BP5" i="25" s="1"/>
  <c r="BW12" i="25"/>
  <c r="BU14" i="28"/>
  <c r="BP14" i="28" s="1"/>
  <c r="BU4" i="34"/>
  <c r="BU4" i="28"/>
  <c r="AR41" i="31"/>
  <c r="AN2" i="31" s="1"/>
  <c r="BU12" i="25"/>
  <c r="BU4" i="23"/>
  <c r="BP4" i="23" s="1"/>
  <c r="BU4" i="36"/>
  <c r="BP4" i="36" s="1"/>
  <c r="BU12" i="36"/>
  <c r="AR40" i="25"/>
  <c r="AK2" i="25" s="1"/>
  <c r="BW13" i="33"/>
  <c r="BP13" i="33" s="1"/>
  <c r="BP6" i="34"/>
  <c r="AR41" i="24"/>
  <c r="AN2" i="24" s="1"/>
  <c r="AR40" i="23"/>
  <c r="AK2" i="23" s="1"/>
  <c r="BU4" i="25"/>
  <c r="BP4" i="25" s="1"/>
  <c r="BU5" i="36"/>
  <c r="BP5" i="36" s="1"/>
  <c r="BP12" i="23"/>
  <c r="BP8" i="33"/>
  <c r="BU12" i="26"/>
  <c r="BP8" i="24"/>
  <c r="AR41" i="23"/>
  <c r="AN2" i="23" s="1"/>
  <c r="BW13" i="24"/>
  <c r="BP13" i="24" s="1"/>
  <c r="AR41" i="27"/>
  <c r="AN2" i="27" s="1"/>
  <c r="AR41" i="25"/>
  <c r="AH2" i="25" s="1"/>
  <c r="BW13" i="34"/>
  <c r="BP13" i="34" s="1"/>
  <c r="AR40" i="36"/>
  <c r="G2" i="36" s="1"/>
  <c r="BW8" i="23"/>
  <c r="BP8" i="23" s="1"/>
  <c r="BW13" i="26"/>
  <c r="BP13" i="26" s="1"/>
  <c r="BW13" i="36"/>
  <c r="BP13" i="36" s="1"/>
  <c r="AR41" i="26"/>
  <c r="AH2" i="26" s="1"/>
  <c r="AR41" i="28"/>
  <c r="AN2" i="28" s="1"/>
  <c r="BW13" i="25"/>
  <c r="BP13" i="25" s="1"/>
  <c r="BP7" i="27"/>
  <c r="BP8" i="28"/>
  <c r="BU12" i="29"/>
  <c r="AR40" i="34"/>
  <c r="AK2" i="34" s="1"/>
  <c r="BU15" i="23"/>
  <c r="BP6" i="28"/>
  <c r="BP10" i="21"/>
  <c r="BU12" i="24"/>
  <c r="BW11" i="26"/>
  <c r="BP11" i="26" s="1"/>
  <c r="BU15" i="21"/>
  <c r="BW13" i="27"/>
  <c r="BP13" i="27" s="1"/>
  <c r="BW13" i="29"/>
  <c r="BP13" i="29" s="1"/>
  <c r="AR41" i="36"/>
  <c r="AH2" i="36" s="1"/>
  <c r="BW4" i="34"/>
  <c r="BW13" i="28"/>
  <c r="BP13" i="28" s="1"/>
  <c r="AR40" i="27"/>
  <c r="AR40" i="28"/>
  <c r="AK2" i="28" s="1"/>
  <c r="BW8" i="21"/>
  <c r="BP8" i="21" s="1"/>
  <c r="BW4" i="26"/>
  <c r="BP4" i="26" s="1"/>
  <c r="AR40" i="21"/>
  <c r="AK2" i="21" s="1"/>
  <c r="BP9" i="27"/>
  <c r="BW10" i="29"/>
  <c r="BP10" i="29" s="1"/>
  <c r="AR40" i="26"/>
  <c r="AK2" i="26" s="1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4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BP12" i="30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5" i="26"/>
  <c r="BP10" i="28"/>
  <c r="BP5" i="32"/>
  <c r="BP5" i="21"/>
  <c r="BP10" i="30"/>
  <c r="BP14" i="1"/>
  <c r="BP5" i="29"/>
  <c r="BP5" i="23"/>
  <c r="BP6" i="23"/>
  <c r="BP5" i="33"/>
  <c r="BP5" i="30"/>
  <c r="BP5" i="34"/>
  <c r="BP12" i="35"/>
  <c r="BP5" i="31"/>
  <c r="BP11" i="20"/>
  <c r="BP14" i="23"/>
  <c r="BP10" i="32"/>
  <c r="BP6" i="20"/>
  <c r="BP5" i="28"/>
  <c r="Y2" i="23"/>
  <c r="BP11" i="25"/>
  <c r="BP5" i="24"/>
  <c r="J2" i="23"/>
  <c r="BP11" i="32"/>
  <c r="BP5" i="27"/>
  <c r="BP5" i="20"/>
  <c r="BP11" i="27"/>
  <c r="BP14" i="21"/>
  <c r="BP10" i="27"/>
  <c r="BP10" i="25"/>
  <c r="BP10" i="34"/>
  <c r="BP11" i="31"/>
  <c r="BP11" i="34"/>
  <c r="BP12" i="20"/>
  <c r="BP10" i="24"/>
  <c r="BP10" i="35"/>
  <c r="BP12" i="1"/>
  <c r="BP10" i="26"/>
  <c r="BP13" i="1"/>
  <c r="BP10" i="36"/>
  <c r="AB2" i="23"/>
  <c r="BP10" i="31"/>
  <c r="BP10" i="33"/>
  <c r="BP11" i="24"/>
  <c r="BP11" i="28"/>
  <c r="BP11" i="30"/>
  <c r="BP11" i="33"/>
  <c r="BP11" i="35"/>
  <c r="AB2" i="30"/>
  <c r="Y2" i="30"/>
  <c r="J2" i="30"/>
  <c r="AE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AE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AE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O2" i="16"/>
  <c r="I2" i="16"/>
  <c r="AG2" i="16"/>
  <c r="R2" i="16"/>
  <c r="AA2" i="16"/>
  <c r="L2" i="16"/>
  <c r="F2" i="16"/>
  <c r="U2" i="16"/>
  <c r="X2" i="16"/>
  <c r="BP15" i="21" l="1"/>
  <c r="BN8" i="21" s="1"/>
  <c r="AH2" i="35"/>
  <c r="AH2" i="30"/>
  <c r="AK2" i="30"/>
  <c r="BP12" i="26"/>
  <c r="BN6" i="26" s="1"/>
  <c r="AH2" i="31"/>
  <c r="AN2" i="29"/>
  <c r="AH2" i="32"/>
  <c r="BP14" i="31"/>
  <c r="BN5" i="31" s="1"/>
  <c r="AN2" i="36"/>
  <c r="AE2" i="36"/>
  <c r="BP12" i="28"/>
  <c r="AH2" i="28"/>
  <c r="AH2" i="24"/>
  <c r="AE2" i="27"/>
  <c r="BP12" i="34"/>
  <c r="BP15" i="23"/>
  <c r="BN4" i="23" s="1"/>
  <c r="AH2" i="33"/>
  <c r="AE2" i="33"/>
  <c r="AK2" i="36"/>
  <c r="AH2" i="27"/>
  <c r="BP12" i="24"/>
  <c r="BN14" i="24" s="1"/>
  <c r="BP12" i="36"/>
  <c r="BN12" i="36" s="1"/>
  <c r="AH2" i="29"/>
  <c r="AN2" i="26"/>
  <c r="AK2" i="27"/>
  <c r="AE2" i="28"/>
  <c r="AE2" i="26"/>
  <c r="AE2" i="31"/>
  <c r="AE2" i="24"/>
  <c r="AH2" i="23"/>
  <c r="BP12" i="29"/>
  <c r="BN11" i="29" s="1"/>
  <c r="AN2" i="34"/>
  <c r="AE2" i="34"/>
  <c r="AE2" i="23"/>
  <c r="BP12" i="25"/>
  <c r="BN6" i="25" s="1"/>
  <c r="AN2" i="21"/>
  <c r="BP4" i="28"/>
  <c r="AE2" i="21"/>
  <c r="AE2" i="25"/>
  <c r="AN2" i="25"/>
  <c r="BP4" i="34"/>
  <c r="G2" i="26"/>
  <c r="AH2" i="34"/>
  <c r="BN13" i="30"/>
  <c r="BN10" i="20"/>
  <c r="BN12" i="1"/>
  <c r="BN6" i="20"/>
  <c r="BN12" i="27"/>
  <c r="BN11" i="27"/>
  <c r="BN6" i="35"/>
  <c r="BN13" i="1"/>
  <c r="BN4" i="20"/>
  <c r="BN15" i="20"/>
  <c r="BN15" i="27"/>
  <c r="BN8" i="30"/>
  <c r="BN11" i="35"/>
  <c r="BN14" i="30"/>
  <c r="BN6" i="32"/>
  <c r="BN6" i="30"/>
  <c r="BN9" i="32"/>
  <c r="BN13" i="27"/>
  <c r="BN10" i="27"/>
  <c r="BN7" i="27"/>
  <c r="BN7" i="35"/>
  <c r="BN4" i="30"/>
  <c r="BN8" i="27"/>
  <c r="BN8" i="32"/>
  <c r="BN5" i="32"/>
  <c r="BN11" i="30"/>
  <c r="BN9" i="27"/>
  <c r="BN15" i="30"/>
  <c r="BN13" i="33"/>
  <c r="BN6" i="27"/>
  <c r="BN5" i="30"/>
  <c r="BN5" i="27"/>
  <c r="BN10" i="30"/>
  <c r="BN14" i="27"/>
  <c r="BN12" i="30"/>
  <c r="BN4" i="27"/>
  <c r="BN9" i="30"/>
  <c r="BN7" i="30"/>
  <c r="BN10" i="32"/>
  <c r="BN11" i="20"/>
  <c r="BN5" i="20"/>
  <c r="BN9" i="20"/>
  <c r="BN12" i="20"/>
  <c r="BN5" i="33"/>
  <c r="BN14" i="20"/>
  <c r="BN13" i="20"/>
  <c r="BN9" i="1"/>
  <c r="BN7" i="20"/>
  <c r="BN8" i="20"/>
  <c r="BN5" i="1"/>
  <c r="BN6" i="1"/>
  <c r="BN15" i="33"/>
  <c r="BN4" i="1"/>
  <c r="BN6" i="33"/>
  <c r="BN15" i="1"/>
  <c r="BN12" i="35"/>
  <c r="BN4" i="32"/>
  <c r="BN15" i="32"/>
  <c r="BN7" i="1"/>
  <c r="BN11" i="33"/>
  <c r="BN11" i="32"/>
  <c r="BN12" i="33"/>
  <c r="BN8" i="35"/>
  <c r="BN8" i="1"/>
  <c r="BN9" i="35"/>
  <c r="BN14" i="32"/>
  <c r="BN11" i="1"/>
  <c r="BN4" i="33"/>
  <c r="BN10" i="1"/>
  <c r="BN7" i="32"/>
  <c r="BN14" i="1"/>
  <c r="BN15" i="35"/>
  <c r="BN13" i="35"/>
  <c r="BN9" i="33"/>
  <c r="BN10" i="35"/>
  <c r="BN7" i="33"/>
  <c r="BN4" i="35"/>
  <c r="BN8" i="33"/>
  <c r="BN12" i="32"/>
  <c r="BN14" i="35"/>
  <c r="BN13" i="32"/>
  <c r="BN5" i="35"/>
  <c r="BN14" i="33"/>
  <c r="BN10" i="33"/>
  <c r="AJ2" i="16"/>
  <c r="AM2" i="16"/>
  <c r="AD2" i="16"/>
  <c r="BN7" i="21" l="1"/>
  <c r="BN10" i="21"/>
  <c r="BN5" i="21"/>
  <c r="BN11" i="21"/>
  <c r="BN4" i="2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6" i="24"/>
  <c r="BN8" i="24"/>
  <c r="BN10" i="24"/>
  <c r="BN5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9" i="24"/>
  <c r="BN13" i="24"/>
  <c r="BN11" i="24"/>
  <c r="BN15" i="24"/>
  <c r="BN4" i="24"/>
  <c r="BN12" i="23"/>
  <c r="BN15" i="34"/>
  <c r="BN11" i="28"/>
  <c r="BN5" i="28"/>
  <c r="BN6" i="28"/>
  <c r="BN7" i="34"/>
  <c r="BN11" i="34"/>
  <c r="BN7" i="24"/>
  <c r="BN12" i="34"/>
  <c r="BN10" i="23"/>
  <c r="BN6" i="23"/>
  <c r="BN5" i="23"/>
  <c r="BN15" i="23"/>
  <c r="BN14" i="23"/>
  <c r="BN12" i="24"/>
  <c r="BN13" i="34"/>
  <c r="BN6" i="29"/>
  <c r="BN8" i="23"/>
  <c r="BN11" i="23"/>
  <c r="BN13" i="23"/>
  <c r="BN9" i="23"/>
  <c r="BN7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4" i="25"/>
  <c r="BN13" i="29"/>
  <c r="BN10" i="25"/>
  <c r="BN7" i="25"/>
  <c r="BN9" i="29"/>
  <c r="BN15" i="29"/>
  <c r="BN14" i="25"/>
  <c r="BN8" i="29"/>
  <c r="BN11" i="25"/>
  <c r="BN12" i="25"/>
  <c r="BN5" i="29"/>
  <c r="BN13" i="25"/>
  <c r="BN9" i="25"/>
  <c r="BN5" i="25"/>
  <c r="BN14" i="29"/>
  <c r="BN4" i="29"/>
  <c r="BN12" i="29"/>
  <c r="BN15" i="25"/>
  <c r="BN7" i="29"/>
  <c r="BN8" i="25"/>
  <c r="BN10" i="29"/>
</calcChain>
</file>

<file path=xl/sharedStrings.xml><?xml version="1.0" encoding="utf-8"?>
<sst xmlns="http://schemas.openxmlformats.org/spreadsheetml/2006/main" count="4194" uniqueCount="748">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</sst>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1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7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9">
        <f ca="1">$J$21</f>
        <v>1</v>
      </c>
      <c r="BF4" s="98" t="str">
        <f>$I$2</f>
        <v>CK</v>
      </c>
      <c r="BG4" s="99">
        <f ca="1">$K$21</f>
        <v>99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8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8">
        <f ca="1">$AK$21</f>
        <v>2</v>
      </c>
      <c r="BF5" s="100" t="str">
        <f>$AJ$2</f>
        <v>MB</v>
      </c>
      <c r="BG5" s="101">
        <f ca="1">$AL$21</f>
        <v>98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8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8">
        <f ca="1">$AN$21</f>
        <v>2</v>
      </c>
      <c r="BF6" s="100" t="str">
        <f>$AM$2</f>
        <v>RR</v>
      </c>
      <c r="BG6" s="101">
        <f ca="1">$AO$21</f>
        <v>98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8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8">
        <f ca="1">$Y$21</f>
        <v>4</v>
      </c>
      <c r="BF7" s="100" t="str">
        <f>$X$2</f>
        <v>JH</v>
      </c>
      <c r="BG7" s="101">
        <f ca="1">$Z$21</f>
        <v>97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8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8">
        <f ca="1">$AH$21</f>
        <v>4</v>
      </c>
      <c r="BF8" s="100" t="str">
        <f>$AG$2</f>
        <v>KK</v>
      </c>
      <c r="BG8" s="101">
        <f ca="1">$AI$21</f>
        <v>97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8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8">
        <f ca="1">$AE$21</f>
        <v>6</v>
      </c>
      <c r="BF9" s="100" t="str">
        <f>$AD$2</f>
        <v>KC</v>
      </c>
      <c r="BG9" s="101">
        <f ca="1">$AF$21</f>
        <v>87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8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8">
        <f ca="1">$M$21</f>
        <v>7</v>
      </c>
      <c r="BF10" s="100" t="str">
        <f>$L$2</f>
        <v>CP</v>
      </c>
      <c r="BG10" s="101">
        <f ca="1">$N$21</f>
        <v>86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8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8">
        <f ca="1">$V$21</f>
        <v>8</v>
      </c>
      <c r="BF11" s="100" t="str">
        <f>$U$2</f>
        <v>JG</v>
      </c>
      <c r="BG11" s="101">
        <f ca="1">$W$21</f>
        <v>78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8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8">
        <f ca="1">$P$21</f>
        <v>9</v>
      </c>
      <c r="BF12" s="100" t="str">
        <f>$O$2</f>
        <v>DC</v>
      </c>
      <c r="BG12" s="101">
        <f ca="1">$Q$21</f>
        <v>77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8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8">
        <f ca="1">$S$21</f>
        <v>10</v>
      </c>
      <c r="BF13" s="100" t="str">
        <f>$R$2</f>
        <v>DH</v>
      </c>
      <c r="BG13" s="101">
        <f ca="1">$T$21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8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8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8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6">
        <f ca="1">$G$21</f>
        <v>12</v>
      </c>
      <c r="BF15" s="102" t="str">
        <f>$F$2</f>
        <v>BM</v>
      </c>
      <c r="BG15" s="103">
        <f ca="1">$H$21</f>
        <v>68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8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8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8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8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43</v>
      </c>
      <c r="H20" s="147"/>
      <c r="I20" s="365" t="s">
        <v>747</v>
      </c>
      <c r="J20" s="110">
        <v>49</v>
      </c>
      <c r="K20" s="147"/>
      <c r="L20" s="365" t="s">
        <v>747</v>
      </c>
      <c r="M20" s="110">
        <v>50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37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37</v>
      </c>
      <c r="Z20" s="147"/>
      <c r="AA20" s="365" t="s">
        <v>747</v>
      </c>
      <c r="AB20" s="110">
        <v>47</v>
      </c>
      <c r="AC20" s="147"/>
      <c r="AD20" s="365" t="s">
        <v>747</v>
      </c>
      <c r="AE20" s="110">
        <v>50</v>
      </c>
      <c r="AF20" s="147"/>
      <c r="AG20" s="365" t="s">
        <v>747</v>
      </c>
      <c r="AH20" s="110">
        <v>56</v>
      </c>
      <c r="AI20" s="147"/>
      <c r="AJ20" s="365" t="s">
        <v>747</v>
      </c>
      <c r="AK20" s="110">
        <v>38</v>
      </c>
      <c r="AL20" s="147"/>
      <c r="AM20" s="365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2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7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130</v>
      </c>
      <c r="BH4" s="177"/>
      <c r="BI4" s="340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30</v>
      </c>
      <c r="BQ4" s="343">
        <f ca="1">-$AR$3*'Season Summary'!$AO$3</f>
        <v>-6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>✓</v>
      </c>
      <c r="BU4" s="345">
        <f t="shared" ref="BU4:BU15" ca="1" si="20">IF(BT4="✓",IF(COUNTIF(BT$4:BT$15,"✓")&gt;1,($Y$27+$AH$27)/COUNTIF(BT$4:BT$15,"✓"),$Y$27  ),"")</f>
        <v>5</v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8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8">
        <f ca="1">$AE$21</f>
        <v>2</v>
      </c>
      <c r="BF5" s="100" t="str">
        <f>$AD$2</f>
        <v>KC</v>
      </c>
      <c r="BG5" s="101">
        <f ca="1">$AF$21</f>
        <v>130</v>
      </c>
      <c r="BH5" s="177"/>
      <c r="BI5" s="349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9">
        <f t="shared" ca="1" si="18"/>
        <v>2</v>
      </c>
      <c r="BO5" s="85" t="str">
        <f>$I$2</f>
        <v>CK</v>
      </c>
      <c r="BP5" s="350">
        <f t="shared" ca="1" si="19"/>
        <v>25</v>
      </c>
      <c r="BQ5" s="351">
        <f ca="1">-$AR$3*'Season Summary'!$AO$3</f>
        <v>-6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8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8">
        <f ca="1">$M$21</f>
        <v>3</v>
      </c>
      <c r="BF6" s="100" t="str">
        <f>$L$2</f>
        <v>CP</v>
      </c>
      <c r="BG6" s="101">
        <f ca="1">$N$21</f>
        <v>128</v>
      </c>
      <c r="BH6" s="177"/>
      <c r="BI6" s="349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9">
        <f t="shared" ca="1" si="18"/>
        <v>3</v>
      </c>
      <c r="BO6" s="85" t="str">
        <f>$AD$2</f>
        <v>KC</v>
      </c>
      <c r="BP6" s="350">
        <f t="shared" ca="1" si="19"/>
        <v>-1</v>
      </c>
      <c r="BQ6" s="351">
        <f ca="1">-$AR$3*'Season Summary'!$AO$3</f>
        <v>-6</v>
      </c>
      <c r="BR6" s="352" t="str">
        <f ca="1">IF(COUNTIF('Season Summary'!AC$3:OFFSET('Season Summary'!AC$3,$C$2+$AR$2,0),"=1")&gt;0,COUNTIF('Season Summary'!AC$3:OFFSET('Season Summary'!AC$3,$C$2+$AR$2,0),"=1"),"")</f>
        <v/>
      </c>
      <c r="BS6" s="353" t="str">
        <f ca="1">IF(BR6="","",BR6*'Season Summary'!$AO$6)</f>
        <v/>
      </c>
      <c r="BT6" s="354" t="str">
        <f ca="1">IF($AE$22=1,"✓","")</f>
        <v>✓</v>
      </c>
      <c r="BU6" s="353">
        <f t="shared" ca="1" si="20"/>
        <v>5</v>
      </c>
      <c r="BV6" s="354" t="str">
        <f ca="1">IF($AE$22=2,"✓","")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8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8">
        <f ca="1">$AK$21</f>
        <v>4</v>
      </c>
      <c r="BF7" s="100" t="str">
        <f>$AJ$2</f>
        <v>MB</v>
      </c>
      <c r="BG7" s="101">
        <f ca="1">$AL$21</f>
        <v>127</v>
      </c>
      <c r="BH7" s="177"/>
      <c r="BI7" s="349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9">
        <f t="shared" ca="1" si="18"/>
        <v>4</v>
      </c>
      <c r="BO7" s="85" t="str">
        <f>$L$2</f>
        <v>CP</v>
      </c>
      <c r="BP7" s="350">
        <f t="shared" ca="1" si="19"/>
        <v>-6</v>
      </c>
      <c r="BQ7" s="351">
        <f ca="1">-$AR$3*'Season Summary'!$AO$3</f>
        <v>-6</v>
      </c>
      <c r="BR7" s="352" t="str">
        <f ca="1">IF(COUNTIF('Season Summary'!K$3:OFFSET('Season Summary'!K$3,$C$2+$AR$2,0),"=1")&gt;0,COUNTIF('Season Summary'!K$3:OFFSET('Season Summary'!K$3,$C$2+$AR$2,0),"=1"),"")</f>
        <v/>
      </c>
      <c r="BS7" s="353" t="str">
        <f ca="1">IF(BR7="","",BR7*'Season Summary'!$AO$6)</f>
        <v/>
      </c>
      <c r="BT7" s="354" t="str">
        <f ca="1">IF($M$22=1,"✓","")</f>
        <v/>
      </c>
      <c r="BU7" s="353" t="str">
        <f t="shared" ca="1" si="20"/>
        <v/>
      </c>
      <c r="BV7" s="354" t="str">
        <f ca="1">IF($M$22=2,"✓","")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8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8">
        <f ca="1">$P$21</f>
        <v>5</v>
      </c>
      <c r="BF8" s="100" t="str">
        <f>$O$2</f>
        <v>DC</v>
      </c>
      <c r="BG8" s="101">
        <f ca="1">$Q$21</f>
        <v>124</v>
      </c>
      <c r="BH8" s="177"/>
      <c r="BI8" s="349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9">
        <f t="shared" ca="1" si="18"/>
        <v>4</v>
      </c>
      <c r="BO8" s="85" t="str">
        <f>$O$2</f>
        <v>DC</v>
      </c>
      <c r="BP8" s="350">
        <f t="shared" ca="1" si="19"/>
        <v>-6</v>
      </c>
      <c r="BQ8" s="351">
        <f ca="1">-$AR$3*'Season Summary'!$AO$3</f>
        <v>-6</v>
      </c>
      <c r="BR8" s="352" t="str">
        <f ca="1">IF(COUNTIF('Season Summary'!N$3:OFFSET('Season Summary'!N$3,$C$2+$AR$2,0),"=1")&gt;0,COUNTIF('Season Summary'!N$3:OFFSET('Season Summary'!N$3,$C$2+$AR$2,0),"=1"),"")</f>
        <v/>
      </c>
      <c r="BS8" s="353" t="str">
        <f ca="1">IF(BR8="","",BR8*'Season Summary'!$AO$6)</f>
        <v/>
      </c>
      <c r="BT8" s="354" t="str">
        <f ca="1">IF($P$22=1,"✓","")</f>
        <v/>
      </c>
      <c r="BU8" s="353" t="str">
        <f t="shared" ca="1" si="20"/>
        <v/>
      </c>
      <c r="BV8" s="354" t="str">
        <f ca="1">IF($P$22=2,"✓","")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8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8">
        <f ca="1">$AH$21</f>
        <v>5</v>
      </c>
      <c r="BF9" s="100" t="str">
        <f>$AG$2</f>
        <v>KK</v>
      </c>
      <c r="BG9" s="101">
        <f ca="1">$AI$21</f>
        <v>124</v>
      </c>
      <c r="BH9" s="177"/>
      <c r="BI9" s="349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9">
        <f t="shared" ca="1" si="18"/>
        <v>4</v>
      </c>
      <c r="BO9" s="85" t="str">
        <f>$R$2</f>
        <v>DH</v>
      </c>
      <c r="BP9" s="350">
        <f t="shared" ca="1" si="19"/>
        <v>-6</v>
      </c>
      <c r="BQ9" s="351">
        <f ca="1">-$AR$3*'Season Summary'!$AO$3</f>
        <v>-6</v>
      </c>
      <c r="BR9" s="352" t="str">
        <f ca="1">IF(COUNTIF('Season Summary'!Q$3:OFFSET('Season Summary'!Q$3,$C$2+$AR$2,0),"=1")&gt;0,COUNTIF('Season Summary'!Q$3:OFFSET('Season Summary'!Q$3,$C$2+$AR$2,0),"=1"),"")</f>
        <v/>
      </c>
      <c r="BS9" s="353" t="str">
        <f ca="1">IF(BR9="","",BR9*'Season Summary'!$AO$6)</f>
        <v/>
      </c>
      <c r="BT9" s="354" t="str">
        <f ca="1">IF($S$22=1,"✓","")</f>
        <v/>
      </c>
      <c r="BU9" s="353" t="str">
        <f t="shared" ca="1" si="20"/>
        <v/>
      </c>
      <c r="BV9" s="354" t="str">
        <f ca="1">IF($S$22=2,"✓","")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8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8">
        <f ca="1">$S$21</f>
        <v>7</v>
      </c>
      <c r="BF10" s="100" t="str">
        <f>$R$2</f>
        <v>DH</v>
      </c>
      <c r="BG10" s="101">
        <f ca="1">$T$21</f>
        <v>123</v>
      </c>
      <c r="BH10" s="177"/>
      <c r="BI10" s="349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9">
        <f t="shared" ca="1" si="18"/>
        <v>4</v>
      </c>
      <c r="BO10" s="85" t="str">
        <f>$U$2</f>
        <v>JG</v>
      </c>
      <c r="BP10" s="350">
        <f t="shared" ca="1" si="19"/>
        <v>-6</v>
      </c>
      <c r="BQ10" s="351">
        <f ca="1">-$AR$3*'Season Summary'!$AO$3</f>
        <v>-6</v>
      </c>
      <c r="BR10" s="352" t="str">
        <f ca="1">IF(COUNTIF('Season Summary'!T$3:OFFSET('Season Summary'!T$3,$C$2+$AR$2,0),"=1")&gt;0,COUNTIF('Season Summary'!T$3:OFFSET('Season Summary'!T$3,$C$2+$AR$2,0),"=1"),"")</f>
        <v/>
      </c>
      <c r="BS10" s="353" t="str">
        <f ca="1">IF(BR10="","",BR10*'Season Summary'!$AO$6)</f>
        <v/>
      </c>
      <c r="BT10" s="354" t="str">
        <f ca="1">IF($V$22=1,"✓","")</f>
        <v/>
      </c>
      <c r="BU10" s="353" t="str">
        <f t="shared" ca="1" si="20"/>
        <v/>
      </c>
      <c r="BV10" s="354" t="str">
        <f ca="1">IF($V$22=2,"✓","")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8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8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9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9">
        <f t="shared" ca="1" si="18"/>
        <v>4</v>
      </c>
      <c r="BO11" s="85" t="str">
        <f>$X$2</f>
        <v>JH</v>
      </c>
      <c r="BP11" s="350">
        <f t="shared" ca="1" si="19"/>
        <v>-6</v>
      </c>
      <c r="BQ11" s="351">
        <f ca="1">-$AR$3*'Season Summary'!$AO$3</f>
        <v>-6</v>
      </c>
      <c r="BR11" s="352" t="str">
        <f ca="1">IF(COUNTIF('Season Summary'!W$3:OFFSET('Season Summary'!W$3,$C$2+$AR$2,0),"=1")&gt;0,COUNTIF('Season Summary'!W$3:OFFSET('Season Summary'!W$3,$C$2+$AR$2,0),"=1"),"")</f>
        <v/>
      </c>
      <c r="BS11" s="353" t="str">
        <f ca="1">IF(BR11="","",BR11*'Season Summary'!$AO$6)</f>
        <v/>
      </c>
      <c r="BT11" s="354" t="str">
        <f ca="1">IF($Y$22=1,"✓","")</f>
        <v/>
      </c>
      <c r="BU11" s="353" t="str">
        <f t="shared" ca="1" si="20"/>
        <v/>
      </c>
      <c r="BV11" s="354" t="str">
        <f ca="1">IF($Y$22=2,"✓","")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8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8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9">
        <f t="shared" ca="1" si="18"/>
        <v>4</v>
      </c>
      <c r="BO12" s="85" t="str">
        <f>$AA$2</f>
        <v>JL</v>
      </c>
      <c r="BP12" s="350">
        <f t="shared" ca="1" si="19"/>
        <v>-6</v>
      </c>
      <c r="BQ12" s="351">
        <f ca="1">-$AR$3*'Season Summary'!$AO$3</f>
        <v>-6</v>
      </c>
      <c r="BR12" s="352" t="str">
        <f ca="1">IF(COUNTIF('Season Summary'!Z$3:OFFSET('Season Summary'!Z$3,$C$2+$AR$2,0),"=1")&gt;0,COUNTIF('Season Summary'!Z$3:OFFSET('Season Summary'!Z$3,$C$2+$AR$2,0),"=1"),"")</f>
        <v/>
      </c>
      <c r="BS12" s="353" t="str">
        <f ca="1">IF(BR12="","",BR12*'Season Summary'!$AO$6)</f>
        <v/>
      </c>
      <c r="BT12" s="354" t="str">
        <f ca="1">IF($AB$22=1,"✓","")</f>
        <v/>
      </c>
      <c r="BU12" s="353" t="str">
        <f t="shared" ca="1" si="20"/>
        <v/>
      </c>
      <c r="BV12" s="354" t="str">
        <f ca="1">IF($AB$22=2,"✓","")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8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8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9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9">
        <f t="shared" ca="1" si="18"/>
        <v>4</v>
      </c>
      <c r="BO13" s="85" t="str">
        <f>$AG$2</f>
        <v>KK</v>
      </c>
      <c r="BP13" s="350">
        <f t="shared" ca="1" si="19"/>
        <v>-6</v>
      </c>
      <c r="BQ13" s="351">
        <f ca="1">-$AR$3*'Season Summary'!$AO$3</f>
        <v>-6</v>
      </c>
      <c r="BR13" s="352" t="str">
        <f ca="1">IF(COUNTIF('Season Summary'!AF$3:OFFSET('Season Summary'!AF$3,$C$2+$AR$2,0),"=1")&gt;0,COUNTIF('Season Summary'!AF$3:OFFSET('Season Summary'!AF$3,$C$2+$AR$2,0),"=1"),"")</f>
        <v/>
      </c>
      <c r="BS13" s="353" t="str">
        <f ca="1">IF(BR13="","",BR13*'Season Summary'!$AO$6)</f>
        <v/>
      </c>
      <c r="BT13" s="354" t="str">
        <f ca="1">IF($AH$22=1,"✓","")</f>
        <v/>
      </c>
      <c r="BU13" s="353" t="str">
        <f t="shared" ca="1" si="20"/>
        <v/>
      </c>
      <c r="BV13" s="354" t="str">
        <f ca="1">IF($AH$22=2,"✓","")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8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8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9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9">
        <f t="shared" ca="1" si="18"/>
        <v>4</v>
      </c>
      <c r="BO14" s="85" t="str">
        <f>$AJ$2</f>
        <v>MB</v>
      </c>
      <c r="BP14" s="350">
        <f t="shared" ca="1" si="19"/>
        <v>-6</v>
      </c>
      <c r="BQ14" s="351">
        <f ca="1">-$AR$3*'Season Summary'!$AO$3</f>
        <v>-6</v>
      </c>
      <c r="BR14" s="352" t="str">
        <f ca="1">IF(COUNTIF('Season Summary'!AI$3:OFFSET('Season Summary'!AI$3,$C$2+$AR$2,0),"=1")&gt;0,COUNTIF('Season Summary'!AI$3:OFFSET('Season Summary'!AI$3,$C$2+$AR$2,0),"=1"),"")</f>
        <v/>
      </c>
      <c r="BS14" s="353" t="str">
        <f ca="1">IF(BR14="","",BR14*'Season Summary'!$AO$6)</f>
        <v/>
      </c>
      <c r="BT14" s="354" t="str">
        <f ca="1">IF($AK$22=1,"✓","")</f>
        <v/>
      </c>
      <c r="BU14" s="353" t="str">
        <f t="shared" ca="1" si="20"/>
        <v/>
      </c>
      <c r="BV14" s="354" t="str">
        <f ca="1">IF($AK$22=2,"✓","")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8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6">
        <f ca="1">$J$21</f>
        <v>12</v>
      </c>
      <c r="BF15" s="102" t="str">
        <f>$I$2</f>
        <v>CK</v>
      </c>
      <c r="BG15" s="103">
        <f>$K$21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7">
        <f t="shared" ca="1" si="18"/>
        <v>4</v>
      </c>
      <c r="BO15" s="86" t="str">
        <f>$AM$2</f>
        <v>RR</v>
      </c>
      <c r="BP15" s="358">
        <f t="shared" ca="1" si="19"/>
        <v>-6</v>
      </c>
      <c r="BQ15" s="359">
        <f ca="1">-$AR$3*'Season Summary'!$AO$3</f>
        <v>-6</v>
      </c>
      <c r="BR15" s="360" t="str">
        <f ca="1">IF(COUNTIF('Season Summary'!AL$3:OFFSET('Season Summary'!AL$3,$C$2+$AR$2,0),"=1")&gt;0,COUNTIF('Season Summary'!AL$3:OFFSET('Season Summary'!AL$3,$C$2+$AR$2,0),"=1"),"")</f>
        <v/>
      </c>
      <c r="BS15" s="361" t="str">
        <f ca="1">IF(BR15="","",BR15*'Season Summary'!$AO$6)</f>
        <v/>
      </c>
      <c r="BT15" s="362" t="str">
        <f ca="1">IF($AN$22=1,"✓","")</f>
        <v/>
      </c>
      <c r="BU15" s="361" t="str">
        <f t="shared" ca="1" si="20"/>
        <v/>
      </c>
      <c r="BV15" s="362" t="str">
        <f ca="1">IF($AN$22=2,"✓","")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8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8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8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8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51</v>
      </c>
      <c r="H20" s="147"/>
      <c r="I20" s="365" t="s">
        <v>3</v>
      </c>
      <c r="J20" s="110"/>
      <c r="K20" s="147"/>
      <c r="L20" s="365" t="s">
        <v>747</v>
      </c>
      <c r="M20" s="110">
        <v>49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41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44</v>
      </c>
      <c r="Z20" s="147"/>
      <c r="AA20" s="365" t="s">
        <v>747</v>
      </c>
      <c r="AB20" s="110">
        <v>50</v>
      </c>
      <c r="AC20" s="147"/>
      <c r="AD20" s="365" t="s">
        <v>747</v>
      </c>
      <c r="AE20" s="110">
        <v>47</v>
      </c>
      <c r="AF20" s="147"/>
      <c r="AG20" s="365" t="s">
        <v>747</v>
      </c>
      <c r="AH20" s="110">
        <v>52</v>
      </c>
      <c r="AI20" s="147"/>
      <c r="AJ20" s="365" t="s">
        <v>747</v>
      </c>
      <c r="AK20" s="110">
        <v>47</v>
      </c>
      <c r="AL20" s="147"/>
      <c r="AM20" s="365" t="s">
        <v>747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3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7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9">
        <f ca="1">$Y$21</f>
        <v>1</v>
      </c>
      <c r="BF4" s="98" t="str">
        <f>$X$2</f>
        <v>JH</v>
      </c>
      <c r="BG4" s="99">
        <f ca="1">$Z$21</f>
        <v>92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8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8">
        <f ca="1">$P$21</f>
        <v>2</v>
      </c>
      <c r="BF5" s="100" t="str">
        <f>$O$2</f>
        <v>DC</v>
      </c>
      <c r="BG5" s="101">
        <f ca="1">$Q$21</f>
        <v>83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8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8">
        <f ca="1">$V$21</f>
        <v>3</v>
      </c>
      <c r="BF6" s="100" t="str">
        <f>$U$2</f>
        <v>JG</v>
      </c>
      <c r="BG6" s="101">
        <f ca="1">$W$21</f>
        <v>82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8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8">
        <f ca="1">$AE$21</f>
        <v>3</v>
      </c>
      <c r="BF7" s="100" t="str">
        <f>$AD$2</f>
        <v>KC</v>
      </c>
      <c r="BG7" s="101">
        <f ca="1">$AF$21</f>
        <v>82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8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8">
        <f ca="1">$G$21</f>
        <v>5</v>
      </c>
      <c r="BF8" s="100" t="str">
        <f>$F$2</f>
        <v>BM</v>
      </c>
      <c r="BG8" s="101">
        <f ca="1">$H$21</f>
        <v>81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8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8">
        <f ca="1">$M$21</f>
        <v>5</v>
      </c>
      <c r="BF9" s="100" t="str">
        <f>$L$2</f>
        <v>CP</v>
      </c>
      <c r="BG9" s="101">
        <f ca="1">$N$21</f>
        <v>81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8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8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8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8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8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8">
        <f ca="1">$J$21</f>
        <v>9</v>
      </c>
      <c r="BF12" s="100" t="str">
        <f>$I$2</f>
        <v>CK</v>
      </c>
      <c r="BG12" s="101">
        <f ca="1">$K$21</f>
        <v>73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8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8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8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8">
        <f ca="1">$S$21</f>
        <v>11</v>
      </c>
      <c r="BF14" s="100" t="str">
        <f>$R$2</f>
        <v>DH</v>
      </c>
      <c r="BG14" s="101">
        <f ca="1">$T$21</f>
        <v>68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8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6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8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8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8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8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58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54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57</v>
      </c>
      <c r="T20" s="147"/>
      <c r="U20" s="365" t="s">
        <v>747</v>
      </c>
      <c r="V20" s="110">
        <v>54</v>
      </c>
      <c r="W20" s="147"/>
      <c r="X20" s="365" t="s">
        <v>747</v>
      </c>
      <c r="Y20" s="110">
        <v>58</v>
      </c>
      <c r="Z20" s="147"/>
      <c r="AA20" s="365" t="s">
        <v>747</v>
      </c>
      <c r="AB20" s="110">
        <v>52</v>
      </c>
      <c r="AC20" s="147"/>
      <c r="AD20" s="365" t="s">
        <v>747</v>
      </c>
      <c r="AE20" s="110">
        <v>54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62</v>
      </c>
      <c r="AL20" s="147"/>
      <c r="AM20" s="365" t="s">
        <v>747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1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4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229" t="s">
        <v>44</v>
      </c>
      <c r="G4" s="198">
        <v>6</v>
      </c>
      <c r="H4" s="194" t="str">
        <f>IF(G4&gt;0,IF(ISTEXT($E4),IF($E4&lt;&gt;F4,G4-2*G4,""),""),"")</f>
        <v/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135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["H","V","V","H","H","V","V","V","H","V","H","H","V","H","H",];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38" t="s">
        <v>45</v>
      </c>
      <c r="G5" s="209">
        <v>7</v>
      </c>
      <c r="H5" s="205" t="str">
        <f>IF(G5&gt;0,IF(ISTEXT($E5),IF($E5&lt;&gt;F5,G5-2*G5,""),""),"")</f>
        <v/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 t="str">
        <f>IF(Y5&gt;0,IF(ISTEXT($E5),IF($E5&lt;&gt;X5,Y5-2*Y5,""),""),"")</f>
        <v/>
      </c>
      <c r="AA5" s="241" t="s">
        <v>45</v>
      </c>
      <c r="AB5" s="209">
        <v>4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45</v>
      </c>
      <c r="AN5" s="209">
        <v>8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8">
        <f ca="1">$J$21</f>
        <v>1</v>
      </c>
      <c r="BF5" s="100" t="str">
        <f>$I$2</f>
        <v>CK</v>
      </c>
      <c r="BG5" s="101">
        <f ca="1">$K$21</f>
        <v>135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["H","H","H","H","H","V","H","V","H","V","H","H","V","H","H",];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 t="str">
        <f t="shared" si="0"/>
        <v/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 t="str">
        <f t="shared" si="3"/>
        <v/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 t="str">
        <f t="shared" si="5"/>
        <v/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8">
        <f ca="1">$M$21</f>
        <v>1</v>
      </c>
      <c r="BF6" s="100" t="str">
        <f>$L$2</f>
        <v>CP</v>
      </c>
      <c r="BG6" s="101">
        <f ca="1">$N$21</f>
        <v>135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["H","V","V","H","H","V","H","V","H","V","H","H","V","H","H",];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 t="str">
        <f t="shared" si="8"/>
        <v/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8">
        <f ca="1">$P$21</f>
        <v>1</v>
      </c>
      <c r="BF7" s="100" t="str">
        <f>$O$2</f>
        <v>DC</v>
      </c>
      <c r="BG7" s="101">
        <f ca="1">$Q$21</f>
        <v>135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["H","V","V","H","H","V","H","V","H","V","H","H","V","H","H",];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38" t="s">
        <v>44</v>
      </c>
      <c r="G8" s="209">
        <v>9</v>
      </c>
      <c r="H8" s="205" t="str">
        <f t="shared" si="23"/>
        <v/>
      </c>
      <c r="I8" s="241" t="s">
        <v>44</v>
      </c>
      <c r="J8" s="209">
        <v>9</v>
      </c>
      <c r="K8" s="205" t="str">
        <f t="shared" si="0"/>
        <v/>
      </c>
      <c r="L8" s="241" t="s">
        <v>44</v>
      </c>
      <c r="M8" s="209">
        <v>9</v>
      </c>
      <c r="N8" s="205" t="str">
        <f t="shared" si="1"/>
        <v/>
      </c>
      <c r="O8" s="241" t="s">
        <v>44</v>
      </c>
      <c r="P8" s="209">
        <v>9</v>
      </c>
      <c r="Q8" s="205" t="str">
        <f t="shared" si="2"/>
        <v/>
      </c>
      <c r="R8" s="241" t="s">
        <v>44</v>
      </c>
      <c r="S8" s="209">
        <v>13</v>
      </c>
      <c r="T8" s="205" t="str">
        <f t="shared" si="3"/>
        <v/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 t="str">
        <f t="shared" si="5"/>
        <v/>
      </c>
      <c r="AA8" s="241" t="s">
        <v>44</v>
      </c>
      <c r="AB8" s="209">
        <v>7</v>
      </c>
      <c r="AC8" s="205" t="str">
        <f t="shared" si="6"/>
        <v/>
      </c>
      <c r="AD8" s="241" t="s">
        <v>44</v>
      </c>
      <c r="AE8" s="209">
        <v>9</v>
      </c>
      <c r="AF8" s="205" t="str">
        <f t="shared" si="7"/>
        <v/>
      </c>
      <c r="AG8" s="241" t="s">
        <v>44</v>
      </c>
      <c r="AH8" s="209">
        <v>8</v>
      </c>
      <c r="AI8" s="205" t="str">
        <f t="shared" si="8"/>
        <v/>
      </c>
      <c r="AJ8" s="241" t="s">
        <v>44</v>
      </c>
      <c r="AK8" s="209">
        <v>13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8">
        <f ca="1">$S$21</f>
        <v>1</v>
      </c>
      <c r="BF8" s="100" t="str">
        <f>$R$2</f>
        <v>DH</v>
      </c>
      <c r="BG8" s="101">
        <f ca="1">$T$21</f>
        <v>135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["H","H","H","H","H","H","H","V","H","V","H","H","V","H","H",];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 t="str">
        <f t="shared" si="3"/>
        <v/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8">
        <f ca="1">$Y$21</f>
        <v>1</v>
      </c>
      <c r="BF9" s="100" t="str">
        <f>$X$2</f>
        <v>JH</v>
      </c>
      <c r="BG9" s="101">
        <f ca="1">$Z$21</f>
        <v>135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 t="str">
        <f t="shared" si="0"/>
        <v/>
      </c>
      <c r="L10" s="241" t="s">
        <v>44</v>
      </c>
      <c r="M10" s="209">
        <v>2</v>
      </c>
      <c r="N10" s="205" t="str">
        <f t="shared" si="1"/>
        <v/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9</v>
      </c>
      <c r="T10" s="205" t="str">
        <f t="shared" si="3"/>
        <v/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 t="str">
        <f t="shared" si="6"/>
        <v/>
      </c>
      <c r="AD10" s="241" t="s">
        <v>44</v>
      </c>
      <c r="AE10" s="209">
        <v>2</v>
      </c>
      <c r="AF10" s="205" t="str">
        <f t="shared" si="7"/>
        <v/>
      </c>
      <c r="AG10" s="241" t="s">
        <v>44</v>
      </c>
      <c r="AH10" s="209">
        <v>9</v>
      </c>
      <c r="AI10" s="205" t="str">
        <f t="shared" si="8"/>
        <v/>
      </c>
      <c r="AJ10" s="241" t="s">
        <v>44</v>
      </c>
      <c r="AK10" s="209">
        <v>5</v>
      </c>
      <c r="AL10" s="205" t="str">
        <f t="shared" si="9"/>
        <v/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8">
        <f ca="1">$AB$21</f>
        <v>1</v>
      </c>
      <c r="BF10" s="100" t="str">
        <f>$AA$2</f>
        <v>JL</v>
      </c>
      <c r="BG10" s="101">
        <f ca="1">$AC$21</f>
        <v>135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["H","V","H","H","H","V","V","V","H","V","H","H","H","H","H",];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8">
        <f ca="1">$AE$21</f>
        <v>1</v>
      </c>
      <c r="BF11" s="100" t="str">
        <f>$AD$2</f>
        <v>KC</v>
      </c>
      <c r="BG11" s="101">
        <f ca="1">$AF$21</f>
        <v>135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["V","V","V","V","H","V","H","V","H","V","H","H","H","H","H",];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8">
        <f ca="1">$AH$21</f>
        <v>1</v>
      </c>
      <c r="BF12" s="100" t="str">
        <f>$AG$2</f>
        <v>KK</v>
      </c>
      <c r="BG12" s="101">
        <f ca="1">$AI$21</f>
        <v>135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["H","V","V","H","H","V","H","V","H","V","H","H","V","H","H",];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202"/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8">
        <f ca="1">$AK$21</f>
        <v>1</v>
      </c>
      <c r="BF13" s="100" t="str">
        <f>$AJ$2</f>
        <v>MB</v>
      </c>
      <c r="BG13" s="101">
        <f ca="1">$AL$21</f>
        <v>135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["V","V","V","V","H","V","H","V","H","V","H","H","V","H","H",];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202"/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8">
        <f ca="1">$AN$21</f>
        <v>1</v>
      </c>
      <c r="BF14" s="100" t="str">
        <f>$AM$2</f>
        <v>RR</v>
      </c>
      <c r="BG14" s="101">
        <f ca="1">$AO$21</f>
        <v>135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["V","V","V","H","H","V","H","V","H","V","H","H","H","H","H",];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202"/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6">
        <f ca="1">$V$21</f>
        <v>12</v>
      </c>
      <c r="BF15" s="102" t="str">
        <f>$U$2</f>
        <v>JG</v>
      </c>
      <c r="BG15" s="103">
        <f>$W$21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["H","V","V","H","H","V","V","V","H","V","H","H","V","H","H",];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202"/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 t="str">
        <f t="shared" si="5"/>
        <v/>
      </c>
      <c r="AA16" s="241" t="s">
        <v>44</v>
      </c>
      <c r="AB16" s="209">
        <v>2</v>
      </c>
      <c r="AC16" s="205" t="str">
        <f t="shared" si="6"/>
        <v/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 t="str">
        <f t="shared" si="9"/>
        <v/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["6","7","4","3","9","10","2","11","13","16","15","5","12","8","14",];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202"/>
      <c r="F17" s="238" t="s">
        <v>44</v>
      </c>
      <c r="G17" s="209">
        <v>8</v>
      </c>
      <c r="H17" s="205" t="str">
        <f t="shared" si="23"/>
        <v/>
      </c>
      <c r="I17" s="241" t="s">
        <v>44</v>
      </c>
      <c r="J17" s="209">
        <v>3</v>
      </c>
      <c r="K17" s="205" t="str">
        <f t="shared" si="0"/>
        <v/>
      </c>
      <c r="L17" s="241" t="s">
        <v>44</v>
      </c>
      <c r="M17" s="209">
        <v>11</v>
      </c>
      <c r="N17" s="205" t="str">
        <f t="shared" si="1"/>
        <v/>
      </c>
      <c r="O17" s="241" t="s">
        <v>44</v>
      </c>
      <c r="P17" s="209">
        <v>11</v>
      </c>
      <c r="Q17" s="205" t="str">
        <f t="shared" si="2"/>
        <v/>
      </c>
      <c r="R17" s="241" t="s">
        <v>44</v>
      </c>
      <c r="S17" s="209">
        <v>10</v>
      </c>
      <c r="T17" s="205" t="str">
        <f t="shared" si="3"/>
        <v/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 t="str">
        <f t="shared" si="5"/>
        <v/>
      </c>
      <c r="AA17" s="241" t="s">
        <v>44</v>
      </c>
      <c r="AB17" s="209">
        <v>15</v>
      </c>
      <c r="AC17" s="205" t="str">
        <f t="shared" si="6"/>
        <v/>
      </c>
      <c r="AD17" s="241" t="s">
        <v>44</v>
      </c>
      <c r="AE17" s="209">
        <v>11</v>
      </c>
      <c r="AF17" s="205" t="str">
        <f t="shared" si="7"/>
        <v/>
      </c>
      <c r="AG17" s="241" t="s">
        <v>44</v>
      </c>
      <c r="AH17" s="209">
        <v>11</v>
      </c>
      <c r="AI17" s="205" t="str">
        <f t="shared" si="8"/>
        <v/>
      </c>
      <c r="AJ17" s="241" t="s">
        <v>44</v>
      </c>
      <c r="AK17" s="209">
        <v>10</v>
      </c>
      <c r="AL17" s="205" t="str">
        <f t="shared" si="9"/>
        <v/>
      </c>
      <c r="AM17" s="241" t="s">
        <v>44</v>
      </c>
      <c r="AN17" s="209">
        <v>3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11</v>
      </c>
      <c r="AV17" s="207" t="str">
        <f t="shared" ca="1" si="13"/>
        <v/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["5","11","12","13","9","10","8","7","14","6","16","15","4","3","2",];</v>
      </c>
    </row>
    <row r="18" spans="1:77" ht="18" customHeight="1" x14ac:dyDescent="0.2">
      <c r="B18" s="200" t="str">
        <f>IF('NFL Schedule'!A76="","",'NFL Schedule'!A76)</f>
        <v>Falcons</v>
      </c>
      <c r="C18" s="201" t="str">
        <f>IF('NFL Schedule'!B76="","",'NFL Schedule'!B76)</f>
        <v>at</v>
      </c>
      <c r="D18" s="201" t="str">
        <f>IF('NFL Schedule'!C76="","",'NFL Schedule'!C76)</f>
        <v>Packers</v>
      </c>
      <c r="E18" s="202"/>
      <c r="F18" s="238" t="s">
        <v>44</v>
      </c>
      <c r="G18" s="209">
        <v>14</v>
      </c>
      <c r="H18" s="205" t="str">
        <f t="shared" si="23"/>
        <v/>
      </c>
      <c r="I18" s="241" t="s">
        <v>44</v>
      </c>
      <c r="J18" s="209">
        <v>2</v>
      </c>
      <c r="K18" s="205" t="str">
        <f t="shared" si="0"/>
        <v/>
      </c>
      <c r="L18" s="241" t="s">
        <v>44</v>
      </c>
      <c r="M18" s="209">
        <v>14</v>
      </c>
      <c r="N18" s="205" t="str">
        <f t="shared" si="1"/>
        <v/>
      </c>
      <c r="O18" s="241" t="s">
        <v>44</v>
      </c>
      <c r="P18" s="209">
        <v>14</v>
      </c>
      <c r="Q18" s="205" t="str">
        <f t="shared" si="2"/>
        <v/>
      </c>
      <c r="R18" s="241" t="s">
        <v>44</v>
      </c>
      <c r="S18" s="209">
        <v>14</v>
      </c>
      <c r="T18" s="205" t="str">
        <f t="shared" si="3"/>
        <v/>
      </c>
      <c r="U18" s="241"/>
      <c r="V18" s="209"/>
      <c r="W18" s="205" t="str">
        <f t="shared" si="4"/>
        <v/>
      </c>
      <c r="X18" s="241" t="s">
        <v>44</v>
      </c>
      <c r="Y18" s="209">
        <v>14</v>
      </c>
      <c r="Z18" s="205" t="str">
        <f t="shared" si="5"/>
        <v/>
      </c>
      <c r="AA18" s="241" t="s">
        <v>44</v>
      </c>
      <c r="AB18" s="209">
        <v>12</v>
      </c>
      <c r="AC18" s="205" t="str">
        <f t="shared" si="6"/>
        <v/>
      </c>
      <c r="AD18" s="241" t="s">
        <v>44</v>
      </c>
      <c r="AE18" s="209">
        <v>14</v>
      </c>
      <c r="AF18" s="205" t="str">
        <f t="shared" si="7"/>
        <v/>
      </c>
      <c r="AG18" s="241" t="s">
        <v>44</v>
      </c>
      <c r="AH18" s="209">
        <v>13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14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14</v>
      </c>
      <c r="AV18" s="207" t="str">
        <f t="shared" ca="1" si="13"/>
        <v/>
      </c>
      <c r="AX18" s="4">
        <f t="shared" si="14"/>
        <v>136</v>
      </c>
      <c r="AY18" s="4">
        <f t="shared" si="22"/>
        <v>136</v>
      </c>
      <c r="AZ18" s="4">
        <f t="shared" ca="1" si="15"/>
        <v>136</v>
      </c>
      <c r="BA18" s="4">
        <f t="shared" ca="1" si="16"/>
        <v>136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["3","7","6","5","9","8","2","13","12","15","16","10","4","11","14",];</v>
      </c>
    </row>
    <row r="19" spans="1:77" ht="18" customHeight="1" x14ac:dyDescent="0.2">
      <c r="B19" s="200" t="str">
        <f>IF('NFL Schedule'!A77="","",'NFL Schedule'!A77)</f>
        <v/>
      </c>
      <c r="C19" s="201" t="str">
        <f>IF('NFL Schedule'!B77="","",'NFL Schedule'!B77)</f>
        <v/>
      </c>
      <c r="D19" s="201" t="str">
        <f>IF('NFL Schedule'!C77="","",'NFL Schedule'!C77)</f>
        <v/>
      </c>
      <c r="E19" s="202"/>
      <c r="F19" s="238"/>
      <c r="G19" s="209"/>
      <c r="H19" s="205" t="str">
        <f t="shared" si="23"/>
        <v/>
      </c>
      <c r="I19" s="241"/>
      <c r="J19" s="209"/>
      <c r="K19" s="205" t="str">
        <f t="shared" si="0"/>
        <v/>
      </c>
      <c r="L19" s="241"/>
      <c r="M19" s="209"/>
      <c r="N19" s="205" t="str">
        <f t="shared" si="1"/>
        <v/>
      </c>
      <c r="O19" s="241"/>
      <c r="P19" s="209"/>
      <c r="Q19" s="205" t="str">
        <f t="shared" si="2"/>
        <v/>
      </c>
      <c r="R19" s="241"/>
      <c r="S19" s="209"/>
      <c r="T19" s="205" t="str">
        <f t="shared" si="3"/>
        <v/>
      </c>
      <c r="U19" s="241"/>
      <c r="V19" s="209"/>
      <c r="W19" s="205" t="str">
        <f t="shared" si="4"/>
        <v/>
      </c>
      <c r="X19" s="241"/>
      <c r="Y19" s="209"/>
      <c r="Z19" s="205" t="str">
        <f t="shared" si="5"/>
        <v/>
      </c>
      <c r="AA19" s="241"/>
      <c r="AB19" s="209"/>
      <c r="AC19" s="205" t="str">
        <f t="shared" si="6"/>
        <v/>
      </c>
      <c r="AD19" s="241"/>
      <c r="AE19" s="209"/>
      <c r="AF19" s="205" t="str">
        <f t="shared" si="7"/>
        <v/>
      </c>
      <c r="AG19" s="241"/>
      <c r="AH19" s="209"/>
      <c r="AI19" s="205" t="str">
        <f t="shared" si="8"/>
        <v/>
      </c>
      <c r="AJ19" s="241"/>
      <c r="AK19" s="209"/>
      <c r="AL19" s="205" t="str">
        <f t="shared" si="9"/>
        <v/>
      </c>
      <c r="AM19" s="241"/>
      <c r="AN19" s="209"/>
      <c r="AO19" s="207" t="str">
        <f t="shared" si="10"/>
        <v/>
      </c>
      <c r="AT19" s="208" t="str">
        <f>IF($B19="","",IF(AX19&lt;0,"V","H"))</f>
        <v/>
      </c>
      <c r="AU19" s="209" t="str">
        <f>IF($B19="","",RANK(BA19,BA$4:BA$19,1))</f>
        <v/>
      </c>
      <c r="AV19" s="207" t="str">
        <f t="shared" si="13"/>
        <v/>
      </c>
      <c r="AX19" s="4">
        <f t="shared" si="14"/>
        <v>0</v>
      </c>
      <c r="AY19" s="4">
        <f t="shared" si="22"/>
        <v>-0.1</v>
      </c>
      <c r="AZ19" s="4">
        <f t="shared" si="15"/>
        <v>-0.1</v>
      </c>
      <c r="BA19" s="4">
        <f t="shared" si="16"/>
        <v>-0.1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["2","6","4","3","9","8","7","10","12","15","16","13","5","11","14",];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56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57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63</v>
      </c>
      <c r="T20" s="147"/>
      <c r="U20" s="365" t="s">
        <v>3</v>
      </c>
      <c r="V20" s="110"/>
      <c r="W20" s="147"/>
      <c r="X20" s="365" t="s">
        <v>747</v>
      </c>
      <c r="Y20" s="110">
        <v>50</v>
      </c>
      <c r="Z20" s="147"/>
      <c r="AA20" s="365" t="s">
        <v>747</v>
      </c>
      <c r="AB20" s="110">
        <v>59</v>
      </c>
      <c r="AC20" s="147"/>
      <c r="AD20" s="365" t="s">
        <v>747</v>
      </c>
      <c r="AE20" s="110">
        <v>57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60</v>
      </c>
      <c r="AL20" s="147"/>
      <c r="AM20" s="365" t="s">
        <v>747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["3","4","8","12","13","5","9","11","7","15","16","2","6","10","14",];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135</v>
      </c>
      <c r="I21" s="219"/>
      <c r="J21" s="217">
        <f ca="1">RANK(K21,$H34:$AO34,0)+J52</f>
        <v>1</v>
      </c>
      <c r="K21" s="218">
        <f ca="1">IF(SUM(J4:J19)&gt;0,SUM(K4:K19)+$F$31,0)</f>
        <v>135</v>
      </c>
      <c r="L21" s="219"/>
      <c r="M21" s="217">
        <f ca="1">RANK(N21,$H34:$AO34,0)+M52</f>
        <v>1</v>
      </c>
      <c r="N21" s="218">
        <f ca="1">IF(SUM(M4:M19)&gt;0,SUM(N4:N19)+$F$31,0)</f>
        <v>135</v>
      </c>
      <c r="O21" s="219"/>
      <c r="P21" s="217">
        <f ca="1">RANK(Q21,$H34:$AO34,0)+P52</f>
        <v>1</v>
      </c>
      <c r="Q21" s="218">
        <f ca="1">IF(SUM(P4:P19)&gt;0,SUM(Q4:Q19)+$F$31,0)</f>
        <v>135</v>
      </c>
      <c r="R21" s="219"/>
      <c r="S21" s="217">
        <f ca="1">RANK(T21,$H34:$AO34,0)+S52</f>
        <v>1</v>
      </c>
      <c r="T21" s="218">
        <f ca="1">IF(SUM(S4:S19)&gt;0,SUM(T4:T19)+$F$31,0)</f>
        <v>135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1</v>
      </c>
      <c r="Z21" s="218">
        <f ca="1">IF(SUM(Y4:Y19)&gt;0,SUM(Z4:Z19)+$F$31,0)</f>
        <v>135</v>
      </c>
      <c r="AA21" s="219"/>
      <c r="AB21" s="217">
        <f ca="1">RANK(AC21,$H34:$AO34,0)+AB52</f>
        <v>1</v>
      </c>
      <c r="AC21" s="218">
        <f ca="1">IF(SUM(AB4:AB19)&gt;0,SUM(AC4:AC19)+$F$31,0)</f>
        <v>135</v>
      </c>
      <c r="AD21" s="219"/>
      <c r="AE21" s="217">
        <f ca="1">RANK(AF21,$H34:$AO34,0)+AE52</f>
        <v>1</v>
      </c>
      <c r="AF21" s="218">
        <f ca="1">IF(SUM(AE4:AE19)&gt;0,SUM(AF4:AF19)+$F$31,0)</f>
        <v>135</v>
      </c>
      <c r="AG21" s="219"/>
      <c r="AH21" s="217">
        <f ca="1">RANK(AI21,$H34:$AO34,0)+AH52</f>
        <v>1</v>
      </c>
      <c r="AI21" s="218">
        <f ca="1">IF(SUM(AH4:AH19)&gt;0,SUM(AI4:AI19)+$F$31,0)</f>
        <v>135</v>
      </c>
      <c r="AJ21" s="219"/>
      <c r="AK21" s="217">
        <f ca="1">RANK(AL21,$H34:$AO34,0)+AK52</f>
        <v>1</v>
      </c>
      <c r="AL21" s="218">
        <f ca="1">IF(SUM(AK4:AK19)&gt;0,SUM(AL4:AL19)+$F$31,0)</f>
        <v>135</v>
      </c>
      <c r="AM21" s="219"/>
      <c r="AN21" s="217">
        <f ca="1">RANK(AO21,$H34:$AO34,0)+AN52</f>
        <v>1</v>
      </c>
      <c r="AO21" s="220">
        <f ca="1">IF(SUM(AN4:AN19)&gt;0,SUM(AO4:AO19)+$F$31,0)</f>
        <v>135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["3","8","2","4","9","10","5","11","12","16","15","7","6","13","14",];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["8","4","11","6","7","3","5","16","10","13","14","9","2","15","12",];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["3","7","4","6","9","8","2","13","12","15","16","10","5","11","14",];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["2","6","5","4","8","7","9","10","12","14","15","16","3","11","13",];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["8","12","6","4","13","9","5","14","15","7","16","2","3","10","11",];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["4","8","7","6","10","9","2","12","13","15","16","11","5","3","14",];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135</v>
      </c>
      <c r="I34" s="26"/>
      <c r="J34" s="26"/>
      <c r="K34" s="26">
        <f t="shared" ref="K34:K39" ca="1" si="25">K21</f>
        <v>135</v>
      </c>
      <c r="L34" s="26"/>
      <c r="M34" s="26"/>
      <c r="N34" s="26">
        <f t="shared" ref="N34:N39" ca="1" si="26">N21</f>
        <v>135</v>
      </c>
      <c r="Q34" s="26">
        <f t="shared" ref="Q34:Q39" ca="1" si="27">Q21</f>
        <v>135</v>
      </c>
      <c r="T34" s="26">
        <f t="shared" ref="T34:T39" ca="1" si="28">T21</f>
        <v>135</v>
      </c>
      <c r="W34" s="26">
        <f t="shared" ref="W34:W39" si="29">W21</f>
        <v>0</v>
      </c>
      <c r="Z34" s="26">
        <f t="shared" ref="Z34:Z39" ca="1" si="30">Z21</f>
        <v>135</v>
      </c>
      <c r="AC34" s="26">
        <f t="shared" ref="AC34:AC39" ca="1" si="31">AC21</f>
        <v>135</v>
      </c>
      <c r="AF34" s="26">
        <f t="shared" ref="AF34:AF39" ca="1" si="32">AF21</f>
        <v>135</v>
      </c>
      <c r="AI34" s="26">
        <f t="shared" ref="AI34:AI39" ca="1" si="33">AI21</f>
        <v>135</v>
      </c>
      <c r="AL34" s="26">
        <f t="shared" ref="AL34:AL39" ca="1" si="34">AL21</f>
        <v>135</v>
      </c>
      <c r="AO34" s="26">
        <f t="shared" ref="AO34:AO39" ca="1" si="35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8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9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10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11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12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3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3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13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14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7" t="str">
        <f ca="1">$AR$12</f>
        <v>Week 3 Final</v>
      </c>
      <c r="C2" s="388" t="str">
        <f ca="1">$AR$12</f>
        <v>Week 3 Final</v>
      </c>
      <c r="D2" s="389"/>
      <c r="E2" s="122" t="s">
        <v>678</v>
      </c>
      <c r="F2" s="123">
        <f ca="1">INDIRECT("'"&amp;INDEX(worksheet_names,_xlfn.SHEET()-1)&amp;"'!G2")</f>
        <v>22</v>
      </c>
      <c r="G2" s="124"/>
      <c r="H2" s="122" t="s">
        <v>679</v>
      </c>
      <c r="I2" s="123">
        <f ca="1">INDIRECT("'"&amp;INDEX(worksheet_names,_xlfn.SHEET()-1)&amp;"'!J2")</f>
        <v>22</v>
      </c>
      <c r="J2" s="124"/>
      <c r="K2" s="122" t="s">
        <v>680</v>
      </c>
      <c r="L2" s="123">
        <f ca="1">INDIRECT("'"&amp;INDEX(worksheet_names,_xlfn.SHEET()-1)&amp;"'!M2")</f>
        <v>-9</v>
      </c>
      <c r="M2" s="124"/>
      <c r="N2" s="122" t="s">
        <v>681</v>
      </c>
      <c r="O2" s="123">
        <f ca="1">INDIRECT("'"&amp;INDEX(worksheet_names,_xlfn.SHEET()-1)&amp;"'!P2")</f>
        <v>-9</v>
      </c>
      <c r="P2" s="124"/>
      <c r="Q2" s="122" t="s">
        <v>682</v>
      </c>
      <c r="R2" s="123">
        <f ca="1">INDIRECT("'"&amp;INDEX(worksheet_names,_xlfn.SHEET()-1)&amp;"'!S2")</f>
        <v>-9</v>
      </c>
      <c r="S2" s="124"/>
      <c r="T2" s="122" t="s">
        <v>683</v>
      </c>
      <c r="U2" s="123">
        <f ca="1">INDIRECT("'"&amp;INDEX(worksheet_names,_xlfn.SHEET()-1)&amp;"'!V2")</f>
        <v>-9</v>
      </c>
      <c r="V2" s="124"/>
      <c r="W2" s="122" t="s">
        <v>684</v>
      </c>
      <c r="X2" s="123">
        <f ca="1">INDIRECT("'"&amp;INDEX(worksheet_names,_xlfn.SHEET()-1)&amp;"'!Y2")</f>
        <v>22</v>
      </c>
      <c r="Y2" s="124"/>
      <c r="Z2" s="122" t="s">
        <v>685</v>
      </c>
      <c r="AA2" s="123">
        <f ca="1">INDIRECT("'"&amp;INDEX(worksheet_names,_xlfn.SHEET()-1)&amp;"'!AB2")</f>
        <v>-9</v>
      </c>
      <c r="AB2" s="124"/>
      <c r="AC2" s="122" t="s">
        <v>686</v>
      </c>
      <c r="AD2" s="123">
        <f ca="1">INDIRECT("'"&amp;INDEX(worksheet_names,_xlfn.SHEET()-1)&amp;"'!AE2")</f>
        <v>-9</v>
      </c>
      <c r="AE2" s="124"/>
      <c r="AF2" s="122" t="s">
        <v>687</v>
      </c>
      <c r="AG2" s="123">
        <f ca="1">INDIRECT("'"&amp;INDEX(worksheet_names,_xlfn.SHEET()-1)&amp;"'!AH2")</f>
        <v>-6</v>
      </c>
      <c r="AH2" s="124"/>
      <c r="AI2" s="122" t="s">
        <v>688</v>
      </c>
      <c r="AJ2" s="123">
        <f ca="1">INDIRECT("'"&amp;INDEX(worksheet_names,_xlfn.SHEET()-1)&amp;"'!AK2")</f>
        <v>0</v>
      </c>
      <c r="AK2" s="124"/>
      <c r="AL2" s="122" t="s">
        <v>689</v>
      </c>
      <c r="AM2" s="123">
        <f ca="1">INDIRECT("'"&amp;INDEX(worksheet_names,_xlfn.SHEET()-1)&amp;"'!AN2")</f>
        <v>-6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3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4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3'!$B$2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3'!$C$2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3'!$D$2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3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48</v>
      </c>
      <c r="E21" s="259">
        <f ca="1">IF($AQ$2=0,"",RANK(G21,$BM21:$CT21,0))</f>
        <v>6</v>
      </c>
      <c r="F21" s="260">
        <f>IF($AQ$2=0,"",SUM(F4:F20))</f>
        <v>30</v>
      </c>
      <c r="G21" s="261">
        <f ca="1">IF($AQ$2=0,"",IF($AQ$2=1,SUM(G4:G20),SUM(G4:G20)-MIN(G4:G20)))</f>
        <v>211</v>
      </c>
      <c r="H21" s="262">
        <f ca="1">IF($AQ$2=0,"",RANK(J21,$BM21:$CT21,0))</f>
        <v>12</v>
      </c>
      <c r="I21" s="260">
        <f>IF($AQ$2=0,"",SUM(I4:I20))</f>
        <v>17</v>
      </c>
      <c r="J21" s="261">
        <f ca="1">IF($AQ$2=0,"",IF($AQ$2=1,SUM(J4:J20),SUM(J4:J20)-MIN(J4:J20)))</f>
        <v>172</v>
      </c>
      <c r="K21" s="262">
        <f ca="1">IF($AQ$2=0,"",RANK(M21,$BM21:$CT21,0))</f>
        <v>5</v>
      </c>
      <c r="L21" s="260">
        <f>IF($AQ$2=0,"",SUM(L4:L20))</f>
        <v>33</v>
      </c>
      <c r="M21" s="261">
        <f ca="1">IF($AQ$2=0,"",IF($AQ$2=1,SUM(M4:M20),SUM(M4:M20)-MIN(M4:M20)))</f>
        <v>214</v>
      </c>
      <c r="N21" s="262">
        <f ca="1">IF($AQ$2=0,"",RANK(P21,$BM21:$CT21,0))</f>
        <v>7</v>
      </c>
      <c r="O21" s="260">
        <f>IF($AQ$2=0,"",SUM(O4:O20))</f>
        <v>28</v>
      </c>
      <c r="P21" s="261">
        <f ca="1">IF($AQ$2=0,"",IF($AQ$2=1,SUM(P4:P20),SUM(P4:P20)-MIN(P4:P20)))</f>
        <v>207</v>
      </c>
      <c r="Q21" s="262">
        <f ca="1">IF($AQ$2=0,"",RANK(S21,$BM21:$CT21,0))</f>
        <v>10</v>
      </c>
      <c r="R21" s="260">
        <f>IF($AQ$2=0,"",SUM(R4:R20))</f>
        <v>30</v>
      </c>
      <c r="S21" s="261">
        <f ca="1">IF($AQ$2=0,"",IF($AQ$2=1,SUM(S4:S20),SUM(S4:S20)-MIN(S4:S20)))</f>
        <v>196</v>
      </c>
      <c r="T21" s="262">
        <f ca="1">IF($AQ$2=0,"",RANK(V21,$BM21:$CT21,0))</f>
        <v>10</v>
      </c>
      <c r="U21" s="260">
        <f>IF($AQ$2=0,"",SUM(U4:U20))</f>
        <v>30</v>
      </c>
      <c r="V21" s="261">
        <f ca="1">IF($AQ$2=0,"",IF($AQ$2=1,SUM(V4:V20),SUM(V4:V20)-MIN(V4:V20)))</f>
        <v>196</v>
      </c>
      <c r="W21" s="262">
        <f ca="1">IF($AQ$2=0,"",RANK(Y21,$BM21:$CT21,0))</f>
        <v>8</v>
      </c>
      <c r="X21" s="260">
        <f>IF($AQ$2=0,"",SUM(X4:X20))</f>
        <v>34</v>
      </c>
      <c r="Y21" s="261">
        <f ca="1">IF($AQ$2=0,"",IF($AQ$2=1,SUM(Y4:Y20),SUM(Y4:Y20)-MIN(Y4:Y20)))</f>
        <v>206</v>
      </c>
      <c r="Z21" s="262">
        <f ca="1">IF($AQ$2=0,"",RANK(AB21,$BM21:$CT21,0))</f>
        <v>9</v>
      </c>
      <c r="AA21" s="260">
        <f>IF($AQ$2=0,"",SUM(AA4:AA20))</f>
        <v>31</v>
      </c>
      <c r="AB21" s="261">
        <f ca="1">IF($AQ$2=0,"",IF($AQ$2=1,SUM(AB4:AB20),SUM(AB4:AB20)-MIN(AB4:AB20)))</f>
        <v>197</v>
      </c>
      <c r="AC21" s="262">
        <f ca="1">IF($AQ$2=0,"",RANK(AE21,$BM21:$CT21,0))</f>
        <v>4</v>
      </c>
      <c r="AD21" s="260">
        <f>IF($AQ$2=0,"",SUM(AD4:AD20))</f>
        <v>33</v>
      </c>
      <c r="AE21" s="261">
        <f ca="1">IF($AQ$2=0,"",IF($AQ$2=1,SUM(AE4:AE20),SUM(AE4:AE20)-MIN(AE4:AE20)))</f>
        <v>217</v>
      </c>
      <c r="AF21" s="262">
        <f ca="1">IF($AQ$2=0,"",RANK(AH21,$BM21:$CT21,0))</f>
        <v>2</v>
      </c>
      <c r="AG21" s="260">
        <f>IF($AQ$2=0,"",SUM(AG4:AG20))</f>
        <v>36</v>
      </c>
      <c r="AH21" s="261">
        <f ca="1">IF($AQ$2=0,"",IF($AQ$2=1,SUM(AH4:AH20),SUM(AH4:AH20)-MIN(AH4:AH20)))</f>
        <v>221</v>
      </c>
      <c r="AI21" s="262">
        <f ca="1">IF($AQ$2=0,"",RANK(AK21,$BM21:$CT21,0))</f>
        <v>1</v>
      </c>
      <c r="AJ21" s="260">
        <f>IF($AQ$2=0,"",SUM(AJ4:AJ20))</f>
        <v>32</v>
      </c>
      <c r="AK21" s="261">
        <f ca="1">IF($AQ$2=0,"",IF($AQ$2=1,SUM(AK4:AK20),SUM(AK4:AK20)-MIN(AK4:AK20)))</f>
        <v>225</v>
      </c>
      <c r="AL21" s="262">
        <f ca="1">IF($AQ$2=0,"",RANK(AN21,$BM21:$CT21,0))</f>
        <v>2</v>
      </c>
      <c r="AM21" s="260">
        <f>IF($AQ$2=0,"",SUM(AM4:AM20))</f>
        <v>30</v>
      </c>
      <c r="AN21" s="263">
        <f ca="1">IF($AQ$2=0,"",IF($AQ$2=1,SUM(AN4:AN20),SUM(AN4:AN20)-MIN(AN4:AN20)))</f>
        <v>221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211</v>
      </c>
      <c r="BN21" s="4"/>
      <c r="BO21" s="4"/>
      <c r="BP21" s="4">
        <f ca="1">J21</f>
        <v>172</v>
      </c>
      <c r="BQ21" s="4"/>
      <c r="BR21" s="4"/>
      <c r="BS21" s="4">
        <f ca="1">M21</f>
        <v>214</v>
      </c>
      <c r="BT21" s="4"/>
      <c r="BU21" s="4"/>
      <c r="BV21" s="4">
        <f ca="1">P21</f>
        <v>207</v>
      </c>
      <c r="BW21" s="4"/>
      <c r="BX21" s="4"/>
      <c r="BY21" s="4">
        <f ca="1">S21</f>
        <v>196</v>
      </c>
      <c r="BZ21" s="4"/>
      <c r="CA21" s="4"/>
      <c r="CB21" s="4">
        <f ca="1">V21</f>
        <v>196</v>
      </c>
      <c r="CC21" s="4"/>
      <c r="CD21" s="4"/>
      <c r="CE21" s="4">
        <f ca="1">Y21</f>
        <v>206</v>
      </c>
      <c r="CF21" s="4"/>
      <c r="CG21" s="4"/>
      <c r="CH21" s="4">
        <f ca="1">AB21</f>
        <v>197</v>
      </c>
      <c r="CI21" s="4"/>
      <c r="CJ21" s="4"/>
      <c r="CK21" s="4">
        <f ca="1">AE21</f>
        <v>217</v>
      </c>
      <c r="CL21" s="4"/>
      <c r="CM21" s="4"/>
      <c r="CN21" s="4">
        <f ca="1">AH21</f>
        <v>221</v>
      </c>
      <c r="CO21" s="4"/>
      <c r="CP21" s="4"/>
      <c r="CQ21" s="4">
        <f ca="1">AK21</f>
        <v>225</v>
      </c>
      <c r="CR21" s="4"/>
      <c r="CS21" s="4"/>
      <c r="CT21" s="4">
        <f ca="1">AN21</f>
        <v>221</v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>
        <f ca="1">IF(COUNTIF(E4:E20,"&gt;0")&gt;0,SUM(E4:E20)/COUNTIF(E4:E20,"&gt;0"),"")</f>
        <v>6</v>
      </c>
      <c r="F22" s="268">
        <f ca="1">IF($AQ$2=0,"",F21/(COUNTIF($D$4:OFFSET($D$4,$AQ$2-1,0),"&lt;&gt;""")))</f>
        <v>10</v>
      </c>
      <c r="G22" s="269">
        <f ca="1">IF($AQ$2=0,"",IF($AQ$2=1,G21/((COUNTIF($D$4:OFFSET($D$4,$AQ$2-1,0),"&lt;&gt;"""))),G21/((COUNTIF($D$4:OFFSET($D$4,$AQ$2-1,0),"&lt;&gt;"""))-1)))</f>
        <v>105.5</v>
      </c>
      <c r="H22" s="270">
        <f ca="1">IF(COUNTIF(H4:H20,"&gt;0")&gt;0,SUM(H4:H20)/COUNTIF(H4:H20,"&gt;0"),"")</f>
        <v>5</v>
      </c>
      <c r="I22" s="268">
        <f ca="1">IF($AQ$2=0,"",I21/(COUNTIF($D$4:OFFSET($D$4,$AQ$2-1,0),"&lt;&gt;""")))</f>
        <v>5.666666666666667</v>
      </c>
      <c r="J22" s="269">
        <f ca="1">IF($AQ$2=0,"",IF($AQ$2=1,J21/((COUNTIF($D$4:OFFSET($D$4,$AQ$2-1,0),"&lt;&gt;"""))),J21/((COUNTIF($D$4:OFFSET($D$4,$AQ$2-1,0),"&lt;&gt;"""))-1)))</f>
        <v>86</v>
      </c>
      <c r="K22" s="270">
        <f ca="1">IF(COUNTIF(K4:K20,"&gt;0")&gt;0,SUM(K4:K20)/COUNTIF(K4:K20,"&gt;0"),"")</f>
        <v>5</v>
      </c>
      <c r="L22" s="268">
        <f ca="1">IF($AQ$2=0,"",L21/(COUNTIF($D$4:OFFSET($D$4,$AQ$2-1,0),"&lt;&gt;""")))</f>
        <v>11</v>
      </c>
      <c r="M22" s="269">
        <f ca="1">IF($AQ$2=0,"",IF($AQ$2=1,M21/((COUNTIF($D$4:OFFSET($D$4,$AQ$2-1,0),"&lt;&gt;"""))),M21/((COUNTIF($D$4:OFFSET($D$4,$AQ$2-1,0),"&lt;&gt;"""))-1)))</f>
        <v>107</v>
      </c>
      <c r="N22" s="270">
        <f ca="1">IF(COUNTIF(N4:N20,"&gt;0")&gt;0,SUM(N4:N20)/COUNTIF(N4:N20,"&gt;0"),"")</f>
        <v>5.333333333333333</v>
      </c>
      <c r="O22" s="268">
        <f ca="1">IF($AQ$2=0,"",O21/(COUNTIF($D$4:OFFSET($D$4,$AQ$2-1,0),"&lt;&gt;""")))</f>
        <v>9.3333333333333339</v>
      </c>
      <c r="P22" s="269">
        <f ca="1">IF($AQ$2=0,"",IF($AQ$2=1,P21/((COUNTIF($D$4:OFFSET($D$4,$AQ$2-1,0),"&lt;&gt;"""))),P21/((COUNTIF($D$4:OFFSET($D$4,$AQ$2-1,0),"&lt;&gt;"""))-1)))</f>
        <v>103.5</v>
      </c>
      <c r="Q22" s="270">
        <f ca="1">IF(COUNTIF(Q4:Q20,"&gt;0")&gt;0,SUM(Q4:Q20)/COUNTIF(Q4:Q20,"&gt;0"),"")</f>
        <v>9.3333333333333339</v>
      </c>
      <c r="R22" s="268">
        <f ca="1">IF($AQ$2=0,"",R21/(COUNTIF($D$4:OFFSET($D$4,$AQ$2-1,0),"&lt;&gt;""")))</f>
        <v>10</v>
      </c>
      <c r="S22" s="269">
        <f ca="1">IF($AQ$2=0,"",IF($AQ$2=1,S21/((COUNTIF($D$4:OFFSET($D$4,$AQ$2-1,0),"&lt;&gt;"""))),S21/((COUNTIF($D$4:OFFSET($D$4,$AQ$2-1,0),"&lt;&gt;"""))-1)))</f>
        <v>98</v>
      </c>
      <c r="T22" s="270">
        <f ca="1">IF(COUNTIF(T4:T20,"&gt;0")&gt;0,SUM(T4:T20)/COUNTIF(T4:T20,"&gt;0"),"")</f>
        <v>7</v>
      </c>
      <c r="U22" s="268">
        <f ca="1">IF($AQ$2=0,"",U21/(COUNTIF($D$4:OFFSET($D$4,$AQ$2-1,0),"&lt;&gt;""")))</f>
        <v>10</v>
      </c>
      <c r="V22" s="269">
        <f ca="1">IF($AQ$2=0,"",IF($AQ$2=1,V21/((COUNTIF($D$4:OFFSET($D$4,$AQ$2-1,0),"&lt;&gt;"""))),V21/((COUNTIF($D$4:OFFSET($D$4,$AQ$2-1,0),"&lt;&gt;"""))-1)))</f>
        <v>98</v>
      </c>
      <c r="W22" s="270">
        <f ca="1">IF(COUNTIF(W4:W20,"&gt;0")&gt;0,SUM(W4:W20)/COUNTIF(W4:W20,"&gt;0"),"")</f>
        <v>5.333333333333333</v>
      </c>
      <c r="X22" s="268">
        <f ca="1">IF($AQ$2=0,"",X21/(COUNTIF($D$4:OFFSET($D$4,$AQ$2-1,0),"&lt;&gt;""")))</f>
        <v>11.333333333333334</v>
      </c>
      <c r="Y22" s="269">
        <f ca="1">IF($AQ$2=0,"",IF($AQ$2=1,Y21/((COUNTIF($D$4:OFFSET($D$4,$AQ$2-1,0),"&lt;&gt;"""))),Y21/((COUNTIF($D$4:OFFSET($D$4,$AQ$2-1,0),"&lt;&gt;"""))-1)))</f>
        <v>103</v>
      </c>
      <c r="Z22" s="270">
        <f ca="1">IF(COUNTIF(Z4:Z20,"&gt;0")&gt;0,SUM(Z4:Z20)/COUNTIF(Z4:Z20,"&gt;0"),"")</f>
        <v>9</v>
      </c>
      <c r="AA22" s="268">
        <f ca="1">IF($AQ$2=0,"",AA21/(COUNTIF($D$4:OFFSET($D$4,$AQ$2-1,0),"&lt;&gt;""")))</f>
        <v>10.333333333333334</v>
      </c>
      <c r="AB22" s="269">
        <f ca="1">IF($AQ$2=0,"",IF($AQ$2=1,AB21/((COUNTIF($D$4:OFFSET($D$4,$AQ$2-1,0),"&lt;&gt;"""))),AB21/((COUNTIF($D$4:OFFSET($D$4,$AQ$2-1,0),"&lt;&gt;"""))-1)))</f>
        <v>98.5</v>
      </c>
      <c r="AC22" s="270">
        <f ca="1">IF(COUNTIF(AC4:AC20,"&gt;0")&gt;0,SUM(AC4:AC20)/COUNTIF(AC4:AC20,"&gt;0"),"")</f>
        <v>3.6666666666666665</v>
      </c>
      <c r="AD22" s="268">
        <f ca="1">IF($AQ$2=0,"",AD21/(COUNTIF($D$4:OFFSET($D$4,$AQ$2-1,0),"&lt;&gt;""")))</f>
        <v>11</v>
      </c>
      <c r="AE22" s="269">
        <f ca="1">IF($AQ$2=0,"",IF($AQ$2=1,AE21/((COUNTIF($D$4:OFFSET($D$4,$AQ$2-1,0),"&lt;&gt;"""))),AE21/((COUNTIF($D$4:OFFSET($D$4,$AQ$2-1,0),"&lt;&gt;"""))-1)))</f>
        <v>108.5</v>
      </c>
      <c r="AF22" s="270">
        <f ca="1">IF(COUNTIF(AF4:AF20,"&gt;0")&gt;0,SUM(AF4:AF20)/COUNTIF(AF4:AF20,"&gt;0"),"")</f>
        <v>5.333333333333333</v>
      </c>
      <c r="AG22" s="268">
        <f ca="1">IF($AQ$2=0,"",AG21/(COUNTIF($D$4:OFFSET($D$4,$AQ$2-1,0),"&lt;&gt;""")))</f>
        <v>12</v>
      </c>
      <c r="AH22" s="269">
        <f ca="1">IF($AQ$2=0,"",IF($AQ$2=1,AH21/((COUNTIF($D$4:OFFSET($D$4,$AQ$2-1,0),"&lt;&gt;"""))),AH21/((COUNTIF($D$4:OFFSET($D$4,$AQ$2-1,0),"&lt;&gt;"""))-1)))</f>
        <v>110.5</v>
      </c>
      <c r="AI22" s="270">
        <f ca="1">IF(COUNTIF(AI4:AI20,"&gt;0")&gt;0,SUM(AI4:AI20)/COUNTIF(AI4:AI20,"&gt;0"),"")</f>
        <v>5</v>
      </c>
      <c r="AJ22" s="268">
        <f ca="1">IF($AQ$2=0,"",AJ21/(COUNTIF($D$4:OFFSET($D$4,$AQ$2-1,0),"&lt;&gt;""")))</f>
        <v>10.666666666666666</v>
      </c>
      <c r="AK22" s="269">
        <f ca="1">IF($AQ$2=0,"",IF($AQ$2=1,AK21/((COUNTIF($D$4:OFFSET($D$4,$AQ$2-1,0),"&lt;&gt;"""))),AK21/((COUNTIF($D$4:OFFSET($D$4,$AQ$2-1,0),"&lt;&gt;"""))-1)))</f>
        <v>112.5</v>
      </c>
      <c r="AL22" s="270">
        <f ca="1">IF(COUNTIF(AL4:AL20,"&gt;0")&gt;0,SUM(AL4:AL20)/COUNTIF(AL4:AL20,"&gt;0"),"")</f>
        <v>7</v>
      </c>
      <c r="AM22" s="268">
        <f ca="1">IF($AQ$2=0,"",AM21/(COUNTIF($D$4:OFFSET($D$4,$AQ$2-1,0),"&lt;&gt;""")))</f>
        <v>10</v>
      </c>
      <c r="AN22" s="271">
        <f ca="1">IF($AQ$2=0,"",IF($AQ$2=1,AN21/((COUNTIF($D$4:OFFSET($D$4,$AQ$2-1,0),"&lt;&gt;"""))),AN21/((COUNTIF($D$4:OFFSET($D$4,$AQ$2-1,0),"&lt;&gt;"""))-1)))</f>
        <v>110.5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>
        <f ca="1">IF(COUNTIF(E4:E20,"=1")&gt;0,COUNTIF(E4:E20,"=1"),"")</f>
        <v>1</v>
      </c>
      <c r="F23" s="278"/>
      <c r="G23" s="279"/>
      <c r="H23" s="280">
        <f ca="1">IF(COUNTIF(H4:H20,"=1")&gt;0,COUNTIF(H4:H20,"=1"),"")</f>
        <v>1</v>
      </c>
      <c r="I23" s="278"/>
      <c r="J23" s="279"/>
      <c r="K23" s="280" t="str">
        <f ca="1">IF(COUNTIF(K4:K20,"=1")&gt;0,COUNTIF(K4:K20,"=1"),"")</f>
        <v/>
      </c>
      <c r="L23" s="278"/>
      <c r="M23" s="279"/>
      <c r="N23" s="280" t="str">
        <f ca="1">IF(COUNTIF(N4:N20,"=1")&gt;0,COUNTIF(N4:N20,"=1"),"")</f>
        <v/>
      </c>
      <c r="O23" s="278"/>
      <c r="P23" s="279"/>
      <c r="Q23" s="280" t="str">
        <f ca="1">IF(COUNTIF(Q4:Q20,"=1")&gt;0,COUNTIF(Q4:Q20,"=1"),"")</f>
        <v/>
      </c>
      <c r="R23" s="278"/>
      <c r="S23" s="279"/>
      <c r="T23" s="280" t="str">
        <f ca="1">IF(COUNTIF(T4:T20,"=1")&gt;0,COUNTIF(T4:T20,"=1"),"")</f>
        <v/>
      </c>
      <c r="U23" s="278"/>
      <c r="V23" s="279"/>
      <c r="W23" s="280">
        <f ca="1">IF(COUNTIF(W4:W20,"=1")&gt;0,COUNTIF(W4:W20,"=1"),"")</f>
        <v>1</v>
      </c>
      <c r="X23" s="278"/>
      <c r="Y23" s="279"/>
      <c r="Z23" s="280" t="str">
        <f ca="1">IF(COUNTIF(Z4:Z20,"=1")&gt;0,COUNTIF(Z4:Z20,"=1"),"")</f>
        <v/>
      </c>
      <c r="AA23" s="278"/>
      <c r="AB23" s="279"/>
      <c r="AC23" s="280" t="str">
        <f ca="1">IF(COUNTIF(AC4:AC20,"=1")&gt;0,COUNTIF(AC4:AC20,"=1"),"")</f>
        <v/>
      </c>
      <c r="AD23" s="278"/>
      <c r="AE23" s="279"/>
      <c r="AF23" s="280" t="str">
        <f ca="1">IF(COUNTIF(AF4:AF20,"=1")&gt;0,COUNTIF(AF4:AF20,"=1"),"")</f>
        <v/>
      </c>
      <c r="AG23" s="278"/>
      <c r="AH23" s="279"/>
      <c r="AI23" s="280" t="str">
        <f ca="1">IF(COUNTIF(AI4:AI20,"=1")&gt;0,COUNTIF(AI4:AI20,"=1"),"")</f>
        <v/>
      </c>
      <c r="AJ23" s="278"/>
      <c r="AK23" s="279"/>
      <c r="AL23" s="280" t="str">
        <f ca="1"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 ca="1">IF(COUNTIF(E4:E20,"=2")&gt;0,COUNTIF(E4:E20,"=2"),"")</f>
        <v/>
      </c>
      <c r="F24" s="285"/>
      <c r="G24" s="286"/>
      <c r="H24" s="287" t="str">
        <f ca="1">IF(COUNTIF(H4:H20,"=2")&gt;0,COUNTIF(H4:H20,"=2"),"")</f>
        <v/>
      </c>
      <c r="I24" s="285"/>
      <c r="J24" s="286"/>
      <c r="K24" s="287" t="str">
        <f ca="1">IF(COUNTIF(K4:K20,"=2")&gt;0,COUNTIF(K4:K20,"=2"),"")</f>
        <v/>
      </c>
      <c r="L24" s="285"/>
      <c r="M24" s="286"/>
      <c r="N24" s="287">
        <f ca="1">IF(COUNTIF(N4:N20,"=2")&gt;0,COUNTIF(N4:N20,"=2"),"")</f>
        <v>1</v>
      </c>
      <c r="O24" s="285"/>
      <c r="P24" s="286"/>
      <c r="Q24" s="287" t="str">
        <f ca="1">IF(COUNTIF(Q4:Q20,"=2")&gt;0,COUNTIF(Q4:Q20,"=2"),"")</f>
        <v/>
      </c>
      <c r="R24" s="285"/>
      <c r="S24" s="286"/>
      <c r="T24" s="287" t="str">
        <f ca="1">IF(COUNTIF(T4:T20,"=2")&gt;0,COUNTIF(T4:T20,"=2"),"")</f>
        <v/>
      </c>
      <c r="U24" s="285"/>
      <c r="V24" s="286"/>
      <c r="W24" s="287" t="str">
        <f ca="1">IF(COUNTIF(W4:W20,"=2")&gt;0,COUNTIF(W4:W20,"=2"),"")</f>
        <v/>
      </c>
      <c r="X24" s="285"/>
      <c r="Y24" s="286"/>
      <c r="Z24" s="287" t="str">
        <f ca="1">IF(COUNTIF(Z4:Z20,"=2")&gt;0,COUNTIF(Z4:Z20,"=2"),"")</f>
        <v/>
      </c>
      <c r="AA24" s="285"/>
      <c r="AB24" s="286"/>
      <c r="AC24" s="287">
        <f ca="1">IF(COUNTIF(AC4:AC20,"=2")&gt;0,COUNTIF(AC4:AC20,"=2"),"")</f>
        <v>1</v>
      </c>
      <c r="AD24" s="285"/>
      <c r="AE24" s="286"/>
      <c r="AF24" s="287" t="str">
        <f ca="1">IF(COUNTIF(AF4:AF20,"=2")&gt;0,COUNTIF(AF4:AF20,"=2"),"")</f>
        <v/>
      </c>
      <c r="AG24" s="285"/>
      <c r="AH24" s="286"/>
      <c r="AI24" s="287">
        <f ca="1">IF(COUNTIF(AI4:AI20,"=2")&gt;0,COUNTIF(AI4:AI20,"=2"),"")</f>
        <v>1</v>
      </c>
      <c r="AJ24" s="285"/>
      <c r="AK24" s="286"/>
      <c r="AL24" s="287">
        <f ca="1">IF(COUNTIF(AL4:AL20,"=2")&gt;0,COUNTIF(AL4:AL20,"=2"),"")</f>
        <v>1</v>
      </c>
      <c r="AM24" s="285"/>
      <c r="AN24" s="288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 ca="1">IF(COUNTIF(E4:E20,"=3")&gt;0,COUNTIF(E4:E20,"=3"),"")</f>
        <v/>
      </c>
      <c r="F25" s="285"/>
      <c r="G25" s="286"/>
      <c r="H25" s="287" t="str">
        <f ca="1">IF(COUNTIF(H4:H20,"=3")&gt;0,COUNTIF(H4:H20,"=3"),"")</f>
        <v/>
      </c>
      <c r="I25" s="285"/>
      <c r="J25" s="286"/>
      <c r="K25" s="287">
        <f ca="1">IF(COUNTIF(K4:K20,"=3")&gt;0,COUNTIF(K4:K20,"=3"),"")</f>
        <v>1</v>
      </c>
      <c r="L25" s="285"/>
      <c r="M25" s="286"/>
      <c r="N25" s="287" t="str">
        <f ca="1">IF(COUNTIF(N4:N20,"=3")&gt;0,COUNTIF(N4:N20,"=3"),"")</f>
        <v/>
      </c>
      <c r="O25" s="285"/>
      <c r="P25" s="286"/>
      <c r="Q25" s="287" t="str">
        <f ca="1">IF(COUNTIF(Q4:Q20,"=3")&gt;0,COUNTIF(Q4:Q20,"=3"),"")</f>
        <v/>
      </c>
      <c r="R25" s="285"/>
      <c r="S25" s="286"/>
      <c r="T25" s="287">
        <f ca="1">IF(COUNTIF(T4:T20,"=3")&gt;0,COUNTIF(T4:T20,"=3"),"")</f>
        <v>1</v>
      </c>
      <c r="U25" s="285"/>
      <c r="V25" s="286"/>
      <c r="W25" s="287" t="str">
        <f ca="1">IF(COUNTIF(W4:W20,"=3")&gt;0,COUNTIF(W4:W20,"=3"),"")</f>
        <v/>
      </c>
      <c r="X25" s="285"/>
      <c r="Y25" s="286"/>
      <c r="Z25" s="287" t="str">
        <f ca="1">IF(COUNTIF(Z4:Z20,"=3")&gt;0,COUNTIF(Z4:Z20,"=3"),"")</f>
        <v/>
      </c>
      <c r="AA25" s="285"/>
      <c r="AB25" s="286"/>
      <c r="AC25" s="287">
        <f ca="1">IF(COUNTIF(AC4:AC20,"=3")&gt;0,COUNTIF(AC4:AC20,"=3"),"")</f>
        <v>1</v>
      </c>
      <c r="AD25" s="285"/>
      <c r="AE25" s="286"/>
      <c r="AF25" s="287" t="str">
        <f ca="1">IF(COUNTIF(AF4:AF20,"=3")&gt;0,COUNTIF(AF4:AF20,"=3"),"")</f>
        <v/>
      </c>
      <c r="AG25" s="285"/>
      <c r="AH25" s="286"/>
      <c r="AI25" s="287" t="str">
        <f ca="1">IF(COUNTIF(AI4:AI20,"=3")&gt;0,COUNTIF(AI4:AI20,"=3"),"")</f>
        <v/>
      </c>
      <c r="AJ25" s="285"/>
      <c r="AK25" s="286"/>
      <c r="AL25" s="287" t="str">
        <f ca="1"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>
        <f ca="1">IF(SUM(BK4:BK20)=0,"",SUM(BK4:BK20))</f>
        <v>1</v>
      </c>
      <c r="F26" s="285"/>
      <c r="G26" s="286"/>
      <c r="H26" s="287" t="str">
        <f ca="1">IF(SUM(BN4:BN20)=0,"",SUM(BN4:BN20))</f>
        <v/>
      </c>
      <c r="I26" s="285"/>
      <c r="J26" s="286"/>
      <c r="K26" s="287" t="str">
        <f ca="1">IF(SUM(BQ4:BQ20)=0,"",SUM(BQ4:BQ20))</f>
        <v/>
      </c>
      <c r="L26" s="285"/>
      <c r="M26" s="286"/>
      <c r="N26" s="287" t="str">
        <f ca="1">IF(SUM(BT4:BT20)=0,"",SUM(BT4:BT20))</f>
        <v/>
      </c>
      <c r="O26" s="285"/>
      <c r="P26" s="286"/>
      <c r="Q26" s="287" t="str">
        <f ca="1">IF(SUM(BW4:BW20)=0,"",SUM(BW4:BW20))</f>
        <v/>
      </c>
      <c r="R26" s="285"/>
      <c r="S26" s="286"/>
      <c r="T26" s="287" t="str">
        <f ca="1">IF(SUM(BZ4:BZ20)=0,"",SUM(BZ4:BZ20))</f>
        <v/>
      </c>
      <c r="U26" s="285"/>
      <c r="V26" s="286"/>
      <c r="W26" s="287">
        <f ca="1">IF(SUM(CC4:CC20)=0,"",SUM(CC4:CC20))</f>
        <v>1</v>
      </c>
      <c r="X26" s="285"/>
      <c r="Y26" s="286"/>
      <c r="Z26" s="287" t="str">
        <f ca="1">IF(SUM(CF4:CF20)=0,"",SUM(CF4:CF20))</f>
        <v/>
      </c>
      <c r="AA26" s="285"/>
      <c r="AB26" s="286"/>
      <c r="AC26" s="287" t="str">
        <f ca="1">IF(SUM(CI4:CI20)=0,"",SUM(CI4:CI20))</f>
        <v/>
      </c>
      <c r="AD26" s="285"/>
      <c r="AE26" s="286"/>
      <c r="AF26" s="287" t="str">
        <f ca="1">IF(SUM(CL4:CL20)=0,"",SUM(CL4:CL20))</f>
        <v/>
      </c>
      <c r="AG26" s="285"/>
      <c r="AH26" s="286"/>
      <c r="AI26" s="287" t="str">
        <f ca="1">IF(SUM(CO4:CO20)=0,"",SUM(CO4:CO20))</f>
        <v/>
      </c>
      <c r="AJ26" s="285"/>
      <c r="AK26" s="286"/>
      <c r="AL26" s="287">
        <f ca="1">IF(SUM(CR4:CR20)=0,"",SUM(CR4:CR20))</f>
        <v>1</v>
      </c>
      <c r="AM26" s="285"/>
      <c r="AN26" s="288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>
        <f ca="1">IF($AQ$2=0,"",IF(COUNTIF(H4:OFFSET(H4,$AQ$2-1,0),"")&gt;0,COUNTIF(H4:OFFSET(H4,$AQ$2-1,0),""),""))</f>
        <v>1</v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3" t="str">
        <f>CONCATENATE($AR$13," Results")</f>
        <v>2020 Football Pool Results</v>
      </c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5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0" t="s">
        <v>13</v>
      </c>
      <c r="AU30" s="393" t="s">
        <v>78</v>
      </c>
      <c r="AV30" s="396" t="s">
        <v>79</v>
      </c>
      <c r="AW30" s="397"/>
      <c r="AX30" s="397"/>
      <c r="AY30" s="397"/>
      <c r="AZ30" s="397"/>
      <c r="BA30" s="397"/>
      <c r="BB30" s="398"/>
      <c r="BC30" s="397" t="s">
        <v>80</v>
      </c>
      <c r="BD30" s="397"/>
      <c r="BE30" s="397"/>
      <c r="BF30" s="397"/>
      <c r="BG30" s="397"/>
      <c r="BH30" s="397"/>
      <c r="BI30" s="398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1"/>
      <c r="AU31" s="394"/>
      <c r="AV31" s="399" t="str">
        <f>CONCATENATE("Cost to Play ($",$AO$3," per week)")</f>
        <v>Cost to Play ($3 per week)</v>
      </c>
      <c r="AW31" s="401" t="s">
        <v>65</v>
      </c>
      <c r="AX31" s="401" t="s">
        <v>71</v>
      </c>
      <c r="AY31" s="401" t="s">
        <v>66</v>
      </c>
      <c r="AZ31" s="401"/>
      <c r="BA31" s="401" t="s">
        <v>67</v>
      </c>
      <c r="BB31" s="403"/>
      <c r="BC31" s="405" t="s">
        <v>68</v>
      </c>
      <c r="BD31" s="401" t="s">
        <v>65</v>
      </c>
      <c r="BE31" s="401"/>
      <c r="BF31" s="401" t="s">
        <v>69</v>
      </c>
      <c r="BG31" s="401"/>
      <c r="BH31" s="401" t="s">
        <v>70</v>
      </c>
      <c r="BI31" s="403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2"/>
      <c r="AU32" s="395"/>
      <c r="AV32" s="400"/>
      <c r="AW32" s="402"/>
      <c r="AX32" s="402"/>
      <c r="AY32" s="402"/>
      <c r="AZ32" s="402"/>
      <c r="BA32" s="402"/>
      <c r="BB32" s="404"/>
      <c r="BC32" s="406"/>
      <c r="BD32" s="402"/>
      <c r="BE32" s="402"/>
      <c r="BF32" s="402"/>
      <c r="BG32" s="402"/>
      <c r="BH32" s="402"/>
      <c r="BI32" s="404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252" t="str">
        <f>$E$2</f>
        <v>BM</v>
      </c>
      <c r="AU33" s="296">
        <f t="shared" ref="AU33:AU44" ca="1" si="37">SUM(AV33,AX33,AZ33,BB33,BC33,BE33,BG33,BI33)</f>
        <v>22</v>
      </c>
      <c r="AV33" s="297">
        <f t="shared" ref="AV33:AV44" si="38">$AQ$2*-$AO$3</f>
        <v>-9</v>
      </c>
      <c r="AW33" s="298">
        <f ca="1">IF($E$23&gt;0,$E$23,"")</f>
        <v>1</v>
      </c>
      <c r="AX33" s="299">
        <f t="shared" ref="AX33:AX44" ca="1" si="39">IF(AW33="","",AW33*$AO$6)</f>
        <v>31</v>
      </c>
      <c r="AY33" s="300" t="str">
        <f ca="1">IF($E$21=1,"✓","")</f>
        <v/>
      </c>
      <c r="AZ33" s="299" t="str">
        <f t="shared" ref="AZ33:AZ44" ca="1" si="40">IF(AY33="✓",IF(COUNTIF($AY$33:$AY$44,"✓")&gt;1,(($AO$4+$AO$5)*$AQ$2/COUNTIF($AY$33:$AY$44,"✓")),$AO$4*$AQ$2),"")</f>
        <v/>
      </c>
      <c r="BA33" s="301" t="str">
        <f ca="1">IF($E$21=2,"✓","")</f>
        <v/>
      </c>
      <c r="BB33" s="302" t="str">
        <f t="shared" ref="BB33:BB44" ca="1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3" t="str">
        <f>$H$2</f>
        <v>CK</v>
      </c>
      <c r="AU34" s="304">
        <f t="shared" ca="1" si="37"/>
        <v>22</v>
      </c>
      <c r="AV34" s="305">
        <f t="shared" si="38"/>
        <v>-9</v>
      </c>
      <c r="AW34" s="306">
        <f ca="1">IF($H$23&gt;0,$H$23,"")</f>
        <v>1</v>
      </c>
      <c r="AX34" s="307">
        <f t="shared" ca="1" si="39"/>
        <v>31</v>
      </c>
      <c r="AY34" s="308" t="str">
        <f ca="1">IF($H$21=1,"✓","")</f>
        <v/>
      </c>
      <c r="AZ34" s="307" t="str">
        <f t="shared" ca="1" si="40"/>
        <v/>
      </c>
      <c r="BA34" s="309" t="str">
        <f ca="1">IF($H$21=2,"✓","")</f>
        <v/>
      </c>
      <c r="BB34" s="310" t="str">
        <f t="shared" ca="1" si="41"/>
        <v/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$W$2</f>
        <v>JH</v>
      </c>
      <c r="AU35" s="304">
        <f t="shared" ca="1" si="37"/>
        <v>22</v>
      </c>
      <c r="AV35" s="305">
        <f t="shared" si="38"/>
        <v>-9</v>
      </c>
      <c r="AW35" s="306">
        <f ca="1">IF($W$23&gt;0,$W$23,"")</f>
        <v>1</v>
      </c>
      <c r="AX35" s="307">
        <f t="shared" ca="1" si="39"/>
        <v>31</v>
      </c>
      <c r="AY35" s="308" t="str">
        <f ca="1">IF($W$21=1,"✓","")</f>
        <v/>
      </c>
      <c r="AZ35" s="307" t="str">
        <f t="shared" ca="1" si="40"/>
        <v/>
      </c>
      <c r="BA35" s="309" t="str">
        <f ca="1">IF($W$21=2,"✓","")</f>
        <v/>
      </c>
      <c r="BB35" s="310" t="str">
        <f t="shared" ca="1" si="41"/>
        <v/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4" t="str">
        <f>$AI$2</f>
        <v>MB</v>
      </c>
      <c r="AU36" s="304">
        <f t="shared" ca="1" si="37"/>
        <v>0</v>
      </c>
      <c r="AV36" s="305">
        <f t="shared" si="38"/>
        <v>-9</v>
      </c>
      <c r="AW36" s="306" t="str">
        <f ca="1">IF($AI$23&gt;0,$AI$23,"")</f>
        <v/>
      </c>
      <c r="AX36" s="307" t="str">
        <f t="shared" ca="1" si="39"/>
        <v/>
      </c>
      <c r="AY36" s="308" t="str">
        <f ca="1">IF($AI$21=1,"✓","")</f>
        <v>✓</v>
      </c>
      <c r="AZ36" s="307">
        <f t="shared" ca="1" si="40"/>
        <v>9</v>
      </c>
      <c r="BA36" s="309" t="str">
        <f ca="1">IF($AI$21=2,"✓","")</f>
        <v/>
      </c>
      <c r="BB36" s="310" t="str">
        <f t="shared" ca="1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3" t="str">
        <f>$AF$2</f>
        <v>KK</v>
      </c>
      <c r="AU37" s="304">
        <f t="shared" ca="1" si="37"/>
        <v>-6</v>
      </c>
      <c r="AV37" s="305">
        <f t="shared" si="38"/>
        <v>-9</v>
      </c>
      <c r="AW37" s="306" t="str">
        <f ca="1">IF($AF$23&gt;0,$AF$23,"")</f>
        <v/>
      </c>
      <c r="AX37" s="307" t="str">
        <f t="shared" ca="1" si="39"/>
        <v/>
      </c>
      <c r="AY37" s="308" t="str">
        <f ca="1">IF($AF$21=1,"✓","")</f>
        <v/>
      </c>
      <c r="AZ37" s="307" t="str">
        <f t="shared" ca="1" si="40"/>
        <v/>
      </c>
      <c r="BA37" s="309" t="str">
        <f ca="1">IF($AF$21=2,"✓","")</f>
        <v>✓</v>
      </c>
      <c r="BB37" s="310">
        <f t="shared" ca="1" si="41"/>
        <v>3</v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$AL$2</f>
        <v>RR</v>
      </c>
      <c r="AU38" s="304">
        <f t="shared" ca="1" si="37"/>
        <v>-6</v>
      </c>
      <c r="AV38" s="305">
        <f t="shared" si="38"/>
        <v>-9</v>
      </c>
      <c r="AW38" s="306" t="str">
        <f ca="1">IF($AL$23&gt;0,$AL$23,"")</f>
        <v/>
      </c>
      <c r="AX38" s="307" t="str">
        <f t="shared" ca="1" si="39"/>
        <v/>
      </c>
      <c r="AY38" s="308" t="str">
        <f ca="1">IF($AL$21=1,"✓","")</f>
        <v/>
      </c>
      <c r="AZ38" s="307" t="str">
        <f t="shared" ca="1" si="40"/>
        <v/>
      </c>
      <c r="BA38" s="309" t="str">
        <f ca="1">IF($AL$21=2,"✓","")</f>
        <v>✓</v>
      </c>
      <c r="BB38" s="310">
        <f t="shared" ca="1" si="41"/>
        <v>3</v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3" t="str">
        <f>$K$2</f>
        <v>CP</v>
      </c>
      <c r="AU39" s="304">
        <f t="shared" ca="1" si="37"/>
        <v>-9</v>
      </c>
      <c r="AV39" s="305">
        <f t="shared" si="38"/>
        <v>-9</v>
      </c>
      <c r="AW39" s="306" t="str">
        <f ca="1">IF($K$23&gt;0,$K$23,"")</f>
        <v/>
      </c>
      <c r="AX39" s="307" t="str">
        <f t="shared" ca="1" si="39"/>
        <v/>
      </c>
      <c r="AY39" s="308" t="str">
        <f ca="1">IF($K$21=1,"✓","")</f>
        <v/>
      </c>
      <c r="AZ39" s="307" t="str">
        <f t="shared" ca="1" si="40"/>
        <v/>
      </c>
      <c r="BA39" s="309" t="str">
        <f ca="1">IF($K$21=2,"✓","")</f>
        <v/>
      </c>
      <c r="BB39" s="310" t="str">
        <f t="shared" ca="1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3" t="str">
        <f>$N$2</f>
        <v>DC</v>
      </c>
      <c r="AU40" s="304">
        <f t="shared" ca="1" si="37"/>
        <v>-9</v>
      </c>
      <c r="AV40" s="305">
        <f t="shared" si="38"/>
        <v>-9</v>
      </c>
      <c r="AW40" s="306" t="str">
        <f ca="1">IF($N$23&gt;0,$N$23,"")</f>
        <v/>
      </c>
      <c r="AX40" s="307" t="str">
        <f t="shared" ca="1" si="39"/>
        <v/>
      </c>
      <c r="AY40" s="308" t="str">
        <f ca="1">IF($N$21=1,"✓","")</f>
        <v/>
      </c>
      <c r="AZ40" s="307" t="str">
        <f t="shared" ca="1" si="40"/>
        <v/>
      </c>
      <c r="BA40" s="309" t="str">
        <f ca="1">IF($N$21=2,"✓","")</f>
        <v/>
      </c>
      <c r="BB40" s="310" t="str">
        <f t="shared" ca="1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3" t="str">
        <f>$Q$2</f>
        <v>DH</v>
      </c>
      <c r="AU41" s="304">
        <f t="shared" ca="1" si="37"/>
        <v>-9</v>
      </c>
      <c r="AV41" s="305">
        <f t="shared" si="38"/>
        <v>-9</v>
      </c>
      <c r="AW41" s="306" t="str">
        <f ca="1">IF($Q$23&gt;0,$Q$23,"")</f>
        <v/>
      </c>
      <c r="AX41" s="307" t="str">
        <f t="shared" ca="1" si="39"/>
        <v/>
      </c>
      <c r="AY41" s="308" t="str">
        <f ca="1">IF($Q$21=1,"✓","")</f>
        <v/>
      </c>
      <c r="AZ41" s="307" t="str">
        <f t="shared" ca="1" si="40"/>
        <v/>
      </c>
      <c r="BA41" s="309" t="str">
        <f ca="1">IF($Q$21=2,"✓","")</f>
        <v/>
      </c>
      <c r="BB41" s="310" t="str">
        <f t="shared" ca="1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>
        <f t="shared" si="25"/>
        <v>30</v>
      </c>
      <c r="BM41" s="4"/>
      <c r="BN41" s="4"/>
      <c r="BO41" s="4">
        <f t="shared" si="26"/>
        <v>17</v>
      </c>
      <c r="BP41" s="4"/>
      <c r="BQ41" s="4"/>
      <c r="BR41" s="4">
        <f t="shared" si="27"/>
        <v>33</v>
      </c>
      <c r="BS41" s="4"/>
      <c r="BT41" s="4"/>
      <c r="BU41" s="4">
        <f t="shared" si="28"/>
        <v>28</v>
      </c>
      <c r="BV41" s="4"/>
      <c r="BW41" s="4"/>
      <c r="BX41" s="4">
        <f t="shared" si="29"/>
        <v>30</v>
      </c>
      <c r="BY41" s="4"/>
      <c r="BZ41" s="4"/>
      <c r="CA41" s="4">
        <f t="shared" si="30"/>
        <v>30</v>
      </c>
      <c r="CB41" s="4"/>
      <c r="CC41" s="4"/>
      <c r="CD41" s="4">
        <f t="shared" si="31"/>
        <v>34</v>
      </c>
      <c r="CE41" s="4"/>
      <c r="CF41" s="4"/>
      <c r="CG41" s="4">
        <f t="shared" si="32"/>
        <v>31</v>
      </c>
      <c r="CH41" s="4"/>
      <c r="CI41" s="4"/>
      <c r="CJ41" s="4">
        <f t="shared" si="33"/>
        <v>33</v>
      </c>
      <c r="CK41" s="4"/>
      <c r="CL41" s="4"/>
      <c r="CM41" s="4">
        <f t="shared" si="34"/>
        <v>36</v>
      </c>
      <c r="CN41" s="4"/>
      <c r="CO41" s="4"/>
      <c r="CP41" s="4">
        <f t="shared" si="35"/>
        <v>32</v>
      </c>
      <c r="CQ41" s="4"/>
      <c r="CR41" s="4"/>
      <c r="CS41" s="4">
        <f t="shared" si="36"/>
        <v>30</v>
      </c>
      <c r="CT41" s="4"/>
      <c r="CU41" s="4"/>
      <c r="CV41" s="328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3" t="str">
        <f>$T$2</f>
        <v>JG</v>
      </c>
      <c r="AU42" s="304">
        <f t="shared" ca="1" si="37"/>
        <v>-9</v>
      </c>
      <c r="AV42" s="305">
        <f t="shared" si="38"/>
        <v>-9</v>
      </c>
      <c r="AW42" s="306" t="str">
        <f ca="1">IF($T$23&gt;0,$T$23,"")</f>
        <v/>
      </c>
      <c r="AX42" s="307" t="str">
        <f t="shared" ca="1" si="39"/>
        <v/>
      </c>
      <c r="AY42" s="308" t="str">
        <f ca="1">IF($T$21=1,"✓","")</f>
        <v/>
      </c>
      <c r="AZ42" s="307" t="str">
        <f t="shared" ca="1" si="40"/>
        <v/>
      </c>
      <c r="BA42" s="309" t="str">
        <f ca="1">IF($T$21=2,"✓","")</f>
        <v/>
      </c>
      <c r="BB42" s="310" t="str">
        <f t="shared" ca="1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>
        <f ca="1">E22</f>
        <v>6</v>
      </c>
      <c r="BL42" s="51"/>
      <c r="BM42" s="51"/>
      <c r="BN42" s="51">
        <f ca="1">H22</f>
        <v>5</v>
      </c>
      <c r="BO42" s="51"/>
      <c r="BP42" s="51"/>
      <c r="BQ42" s="51">
        <f ca="1">K22</f>
        <v>5</v>
      </c>
      <c r="BR42" s="51"/>
      <c r="BS42" s="51"/>
      <c r="BT42" s="51">
        <f ca="1">N22</f>
        <v>5.333333333333333</v>
      </c>
      <c r="BU42" s="51"/>
      <c r="BV42" s="51"/>
      <c r="BW42" s="51">
        <f ca="1">Q22</f>
        <v>9.3333333333333339</v>
      </c>
      <c r="BX42" s="51"/>
      <c r="BY42" s="51"/>
      <c r="BZ42" s="51">
        <f ca="1">T22</f>
        <v>7</v>
      </c>
      <c r="CA42" s="51"/>
      <c r="CB42" s="51"/>
      <c r="CC42" s="51">
        <f ca="1">W22</f>
        <v>5.333333333333333</v>
      </c>
      <c r="CD42" s="51"/>
      <c r="CE42" s="51"/>
      <c r="CF42" s="51">
        <f ca="1">Z22</f>
        <v>9</v>
      </c>
      <c r="CG42" s="51"/>
      <c r="CH42" s="51"/>
      <c r="CI42" s="51">
        <f ca="1">AC22</f>
        <v>3.6666666666666665</v>
      </c>
      <c r="CJ42" s="51"/>
      <c r="CK42" s="51"/>
      <c r="CL42" s="51">
        <f ca="1">AF22</f>
        <v>5.333333333333333</v>
      </c>
      <c r="CM42" s="51"/>
      <c r="CN42" s="51"/>
      <c r="CO42" s="51">
        <f ca="1">AI22</f>
        <v>5</v>
      </c>
      <c r="CP42" s="51"/>
      <c r="CQ42" s="51"/>
      <c r="CR42" s="51">
        <f ca="1">AL22</f>
        <v>7</v>
      </c>
      <c r="CS42" s="51"/>
      <c r="CT42" s="51"/>
      <c r="CU42" s="51"/>
      <c r="CV42" s="328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3" t="str">
        <f>$Z$2</f>
        <v>JL</v>
      </c>
      <c r="AU43" s="304">
        <f t="shared" ca="1" si="37"/>
        <v>-9</v>
      </c>
      <c r="AV43" s="305">
        <f t="shared" si="38"/>
        <v>-9</v>
      </c>
      <c r="AW43" s="306" t="str">
        <f ca="1">IF($Z$23&gt;0,$Z$23,"")</f>
        <v/>
      </c>
      <c r="AX43" s="307" t="str">
        <f t="shared" ca="1" si="39"/>
        <v/>
      </c>
      <c r="AY43" s="308" t="str">
        <f ca="1">IF($Z$21=1,"✓","")</f>
        <v/>
      </c>
      <c r="AZ43" s="307" t="str">
        <f t="shared" ca="1" si="40"/>
        <v/>
      </c>
      <c r="BA43" s="309" t="str">
        <f ca="1">IF($Z$21=2,"✓","")</f>
        <v/>
      </c>
      <c r="BB43" s="310" t="str">
        <f t="shared" ca="1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255" t="str">
        <f>$AC$2</f>
        <v>KC</v>
      </c>
      <c r="AU44" s="312">
        <f t="shared" ca="1" si="37"/>
        <v>-9</v>
      </c>
      <c r="AV44" s="313">
        <f t="shared" si="38"/>
        <v>-9</v>
      </c>
      <c r="AW44" s="314" t="str">
        <f ca="1">IF($AC$23&gt;0,$AC$23,"")</f>
        <v/>
      </c>
      <c r="AX44" s="315" t="str">
        <f t="shared" ca="1" si="39"/>
        <v/>
      </c>
      <c r="AY44" s="316" t="str">
        <f ca="1">IF($AC$21=1,"✓","")</f>
        <v/>
      </c>
      <c r="AZ44" s="315" t="str">
        <f t="shared" ca="1" si="40"/>
        <v/>
      </c>
      <c r="BA44" s="317" t="str">
        <f ca="1">IF($AC$21=2,"✓","")</f>
        <v/>
      </c>
      <c r="BB44" s="318" t="str">
        <f t="shared" ca="1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8" t="str">
        <f ca="1">'Week 2'!BY13</f>
        <v xml:space="preserve">   var w2_p10_picks        = ["H","H","H","H","V","V","V","V","H","H","H","H","V","V","H","V"];</v>
      </c>
    </row>
    <row r="46" spans="46:100" x14ac:dyDescent="0.2">
      <c r="CV46" s="328" t="str">
        <f ca="1">'Week 2'!BY14</f>
        <v xml:space="preserve">   var w2_p11_picks        = ["H","H","H","H","V","V","V","V","H","H","H","H","V","V","H","V"];</v>
      </c>
    </row>
    <row r="47" spans="46:100" x14ac:dyDescent="0.2">
      <c r="CV47" s="328" t="str">
        <f ca="1">'Week 2'!BY15</f>
        <v xml:space="preserve">   var w2_p12_picks        = ["V","H","H","H","V","V","V","V","H","H","H","H","V","V","H","V"];</v>
      </c>
    </row>
    <row r="48" spans="46:100" x14ac:dyDescent="0.2">
      <c r="CV48" s="328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8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8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8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8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8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8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8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8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8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8" t="str">
        <f ca="1">'Week 2'!BY28</f>
        <v xml:space="preserve">   var w2_winners          = ["H","H","H","H","H","V","V","V","H","H","H","H","V","V","H","H"];</v>
      </c>
    </row>
    <row r="61" spans="100:100" x14ac:dyDescent="0.2">
      <c r="CV61" s="328" t="str">
        <f ca="1">'Week 2'!BY29</f>
        <v xml:space="preserve">   var w2_mn_points        = ["51","","49","42","41","38","44","50","47","52","47","45"];</v>
      </c>
    </row>
    <row r="62" spans="100:100" x14ac:dyDescent="0.2">
      <c r="CV62" s="328" t="str">
        <f ca="1">'Week 2'!BY30</f>
        <v xml:space="preserve">   var w2_actual_mn_points = 58;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["H","H","V","H","V","H","V","H","H","H","H","H","V","H","H","H"];</v>
      </c>
    </row>
    <row r="65" spans="41:100" x14ac:dyDescent="0.2">
      <c r="CV65" s="328" t="str">
        <f ca="1">'Week 3'!BY5</f>
        <v xml:space="preserve">   var w3_p2_picks         = ["H","H","H","V","H","H","V","H","H","H","H","H","V","H","H","H"];</v>
      </c>
    </row>
    <row r="66" spans="41:100" x14ac:dyDescent="0.2">
      <c r="CV66" s="328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["H","H","V","H","H","H","V","H","H","H","H","H","V","H","H","H"];</v>
      </c>
    </row>
    <row r="68" spans="41:100" x14ac:dyDescent="0.2">
      <c r="CV68" s="328" t="str">
        <f ca="1">'Week 3'!BY8</f>
        <v xml:space="preserve">   var w3_p5_picks         = ["H","H","H","H","H","H","H","H","H","H","H","H","V","H","V","H"];</v>
      </c>
    </row>
    <row r="69" spans="41:100" x14ac:dyDescent="0.2">
      <c r="CV69" s="328" t="str">
        <f ca="1">'Week 3'!BY9</f>
        <v xml:space="preserve">   var w3_p6_picks         = ["H","H","H","H","V","H","V","H","H","H","H","H","V","H","H","H"];</v>
      </c>
    </row>
    <row r="70" spans="41:100" x14ac:dyDescent="0.2">
      <c r="CV70" s="328" t="str">
        <f ca="1">'Week 3'!BY10</f>
        <v xml:space="preserve">   var w3_p7_picks         = ["H","H","H","H","V","H","V","H","H","H","V","H","V","H","V","H"];</v>
      </c>
    </row>
    <row r="71" spans="41:100" x14ac:dyDescent="0.2">
      <c r="CV71" s="328" t="str">
        <f ca="1">'Week 3'!BY11</f>
        <v xml:space="preserve">   var w3_p8_picks         = ["H","H","V","H","V","V","V","V","H","H","H","H","V","H","H","H"];</v>
      </c>
    </row>
    <row r="72" spans="41:100" x14ac:dyDescent="0.2">
      <c r="CV72" s="328" t="str">
        <f ca="1">'Week 3'!BY12</f>
        <v xml:space="preserve">   var w3_p9_picks         = ["H","H","H","H","V","H","V","H","H","H","H","H","V","H","H","H"];</v>
      </c>
    </row>
    <row r="73" spans="41:100" x14ac:dyDescent="0.2">
      <c r="CV73" s="328" t="str">
        <f ca="1">'Week 3'!BY13</f>
        <v xml:space="preserve">   var w3_p10_picks        = ["H","H","H","H","V","H","V","H","H","H","H","H","V","H","V","H"];</v>
      </c>
    </row>
    <row r="74" spans="41:100" x14ac:dyDescent="0.2">
      <c r="CV74" s="328" t="str">
        <f ca="1">'Week 3'!BY14</f>
        <v xml:space="preserve">   var w3_p11_picks        = ["H","H","H","H","V","V","V","H","V","H","H","H","V","H","V","H"];</v>
      </c>
    </row>
    <row r="75" spans="41:100" x14ac:dyDescent="0.2">
      <c r="CV75" s="328" t="str">
        <f ca="1">'Week 3'!BY15</f>
        <v xml:space="preserve">   var w3_p12_picks        = ["H","H","H","V","H","V","V","H","H","H","H","H","V","H","H","V"];</v>
      </c>
    </row>
    <row r="76" spans="41:100" x14ac:dyDescent="0.2">
      <c r="CV76" s="328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8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8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8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8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8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8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8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8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8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8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8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8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8" t="str">
        <f ca="1">'Week 3'!BY29</f>
        <v xml:space="preserve">   var w3_mn_points        = ["58","51","54","42","57","54","58","52","54","60","62","68"];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["H","V","V","H","H","V","V","V","H","V","H","H","V","H","H",];</v>
      </c>
    </row>
    <row r="93" spans="100:100" x14ac:dyDescent="0.2">
      <c r="CV93" s="328" t="str">
        <f ca="1">'Week 4'!BY5</f>
        <v xml:space="preserve">   var w4_p2_picks         = ["H","H","H","H","H","V","H","V","H","V","H","H","V","H","H",];</v>
      </c>
    </row>
    <row r="94" spans="100:100" x14ac:dyDescent="0.2">
      <c r="CV94" s="328" t="str">
        <f ca="1">'Week 4'!BY6</f>
        <v xml:space="preserve">   var w4_p3_picks         = ["H","V","V","H","H","V","H","V","H","V","H","H","V","H","H",];</v>
      </c>
    </row>
    <row r="95" spans="100:100" x14ac:dyDescent="0.2">
      <c r="CV95" s="328" t="str">
        <f ca="1">'Week 4'!BY7</f>
        <v xml:space="preserve">   var w4_p4_picks         = ["H","V","V","H","H","V","H","V","H","V","H","H","V","H","H",];</v>
      </c>
    </row>
    <row r="96" spans="100:100" x14ac:dyDescent="0.2">
      <c r="CV96" s="328" t="str">
        <f ca="1">'Week 4'!BY8</f>
        <v xml:space="preserve">   var w4_p5_picks         = ["H","H","H","H","H","H","H","V","H","V","H","H","V","H","H",];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["H","V","H","H","H","V","V","V","H","V","H","H","H","H","H",];</v>
      </c>
    </row>
    <row r="99" spans="100:100" x14ac:dyDescent="0.2">
      <c r="CV99" s="328" t="str">
        <f ca="1">'Week 4'!BY11</f>
        <v xml:space="preserve">   var w4_p8_picks         = ["V","V","V","V","H","V","H","V","H","V","H","H","H","H","H",];</v>
      </c>
    </row>
    <row r="100" spans="100:100" x14ac:dyDescent="0.2">
      <c r="CV100" s="328" t="str">
        <f ca="1">'Week 4'!BY12</f>
        <v xml:space="preserve">   var w4_p9_picks         = ["H","V","V","H","H","V","H","V","H","V","H","H","V","H","H",];</v>
      </c>
    </row>
    <row r="101" spans="100:100" x14ac:dyDescent="0.2">
      <c r="CV101" s="328" t="str">
        <f ca="1">'Week 4'!BY13</f>
        <v xml:space="preserve">   var w4_p10_picks        = ["V","V","V","V","H","V","H","V","H","V","H","H","V","H","H",];</v>
      </c>
    </row>
    <row r="102" spans="100:100" x14ac:dyDescent="0.2">
      <c r="CV102" s="328" t="str">
        <f ca="1">'Week 4'!BY14</f>
        <v xml:space="preserve">   var w4_p11_picks        = ["V","V","V","H","H","V","H","V","H","V","H","H","H","H","H",];</v>
      </c>
    </row>
    <row r="103" spans="100:100" x14ac:dyDescent="0.2">
      <c r="CV103" s="328" t="str">
        <f ca="1">'Week 4'!BY15</f>
        <v xml:space="preserve">   var w4_p12_picks        = ["H","V","V","H","H","V","V","V","H","V","H","H","V","H","H",];</v>
      </c>
    </row>
    <row r="104" spans="100:100" x14ac:dyDescent="0.2">
      <c r="CV104" s="328" t="str">
        <f ca="1">'Week 4'!BY16</f>
        <v xml:space="preserve">   var w4_p1_weights       = ["6","7","4","3","9","10","2","11","13","16","15","5","12","8","14",];</v>
      </c>
    </row>
    <row r="105" spans="100:100" x14ac:dyDescent="0.2">
      <c r="CV105" s="328" t="str">
        <f ca="1">'Week 4'!BY17</f>
        <v xml:space="preserve">   var w4_p2_weights       = ["5","11","12","13","9","10","8","7","14","6","16","15","4","3","2",];</v>
      </c>
    </row>
    <row r="106" spans="100:100" x14ac:dyDescent="0.2">
      <c r="CV106" s="328" t="str">
        <f ca="1">'Week 4'!BY18</f>
        <v xml:space="preserve">   var w4_p3_weights       = ["3","7","6","5","9","8","2","13","12","15","16","10","4","11","14",];</v>
      </c>
    </row>
    <row r="107" spans="100:100" x14ac:dyDescent="0.2">
      <c r="CV107" s="328" t="str">
        <f ca="1">'Week 4'!BY19</f>
        <v xml:space="preserve">   var w4_p4_weights       = ["2","6","4","3","9","8","7","10","12","15","16","13","5","11","14",];</v>
      </c>
    </row>
    <row r="108" spans="100:100" x14ac:dyDescent="0.2">
      <c r="CV108" s="328" t="str">
        <f ca="1">'Week 4'!BY20</f>
        <v xml:space="preserve">   var w4_p5_weights       = ["3","4","8","12","13","5","9","11","7","15","16","2","6","10","14",];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["3","8","2","4","9","10","5","11","12","16","15","7","6","13","14",];</v>
      </c>
    </row>
    <row r="111" spans="100:100" x14ac:dyDescent="0.2">
      <c r="CV111" s="328" t="str">
        <f ca="1">'Week 4'!BY23</f>
        <v xml:space="preserve">   var w4_p8_weights       = ["8","4","11","6","7","3","5","16","10","13","14","9","2","15","12",];</v>
      </c>
    </row>
    <row r="112" spans="100:100" x14ac:dyDescent="0.2">
      <c r="CV112" s="328" t="str">
        <f ca="1">'Week 4'!BY24</f>
        <v xml:space="preserve">   var w4_p9_weights       = ["3","7","4","6","9","8","2","13","12","15","16","10","5","11","14",];</v>
      </c>
    </row>
    <row r="113" spans="100:100" x14ac:dyDescent="0.2">
      <c r="CV113" s="328" t="str">
        <f ca="1">'Week 4'!BY25</f>
        <v xml:space="preserve">   var w4_p10_weights      = ["2","6","5","4","8","7","9","10","12","14","15","16","3","11","13",];</v>
      </c>
    </row>
    <row r="114" spans="100:100" x14ac:dyDescent="0.2">
      <c r="CV114" s="328" t="str">
        <f ca="1">'Week 4'!BY26</f>
        <v xml:space="preserve">   var w4_p11_weights      = ["8","12","6","4","13","9","5","14","15","7","16","2","3","10","11",];</v>
      </c>
    </row>
    <row r="115" spans="100:100" x14ac:dyDescent="0.2">
      <c r="CV115" s="328" t="str">
        <f ca="1">'Week 4'!BY27</f>
        <v xml:space="preserve">   var w4_p12_weights      = ["4","8","7","6","10","9","2","12","13","15","16","11","5","3","14",];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["56","51","57","42","63","","50","59","57","60","60","57"];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745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 t="s">
        <v>626</v>
      </c>
      <c r="B76" s="121" t="s">
        <v>623</v>
      </c>
      <c r="C76" s="114" t="s">
        <v>637</v>
      </c>
      <c r="E76" s="57" t="str">
        <f t="shared" si="3"/>
        <v xml:space="preserve">      "Chargers",</v>
      </c>
    </row>
    <row r="77" spans="1:5" x14ac:dyDescent="0.2">
      <c r="A77" s="112"/>
      <c r="B77" s="121"/>
      <c r="C77" s="114"/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 xml:space="preserve">      "Falcons",</v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/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"Rams",</v>
      </c>
    </row>
    <row r="154" spans="1:5" x14ac:dyDescent="0.2">
      <c r="A154" s="112"/>
      <c r="B154" s="121"/>
      <c r="C154" s="114"/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 xml:space="preserve">      "Packers",</v>
      </c>
    </row>
    <row r="158" spans="1:5" x14ac:dyDescent="0.2">
      <c r="A158" s="112"/>
      <c r="B158" s="113"/>
      <c r="C158" s="114"/>
      <c r="E158" s="57" t="str">
        <f>IF(C77&lt;&gt;"",CONCATENATE("      ",$F$1,C77,$F$1),"")</f>
        <v/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2020-10-02T01:45:55Z</dcterms:modified>
</cp:coreProperties>
</file>