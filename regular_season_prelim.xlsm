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F54F6A8A-9403-419D-B7D2-F41E686BF4F7}" xr6:coauthVersionLast="45" xr6:coauthVersionMax="45" xr10:uidLastSave="{00000000-0000-0000-0000-000000000000}"/>
  <bookViews>
    <workbookView xWindow="-120" yWindow="-120" windowWidth="20730" windowHeight="11310" tabRatio="742" firstSheet="3" activeTab="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8" i="16" l="1"/>
  <c r="AT36" i="16"/>
  <c r="AT37" i="16"/>
  <c r="AT44" i="16"/>
  <c r="AT43" i="16"/>
  <c r="AT35" i="16"/>
  <c r="AT42" i="16"/>
  <c r="AT41" i="16"/>
  <c r="AT40" i="16"/>
  <c r="AT39" i="16"/>
  <c r="AT34" i="16"/>
  <c r="AT33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AT19" i="28" s="1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AT16" i="28" s="1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AT11" i="28" s="1"/>
  <c r="D10" i="28"/>
  <c r="C10" i="28"/>
  <c r="B10" i="28"/>
  <c r="D9" i="28"/>
  <c r="C9" i="28"/>
  <c r="B9" i="28"/>
  <c r="AT9" i="28" s="1"/>
  <c r="D8" i="28"/>
  <c r="C8" i="28"/>
  <c r="B8" i="28"/>
  <c r="AT8" i="28" s="1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AU16" i="27" s="1"/>
  <c r="AV16" i="27" s="1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AT11" i="27" s="1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AT6" i="27" s="1"/>
  <c r="D5" i="27"/>
  <c r="C5" i="27"/>
  <c r="B5" i="27"/>
  <c r="AT5" i="27" s="1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AU17" i="26" s="1"/>
  <c r="AV17" i="26" s="1"/>
  <c r="D16" i="26"/>
  <c r="C16" i="26"/>
  <c r="B16" i="26"/>
  <c r="D15" i="26"/>
  <c r="C15" i="26"/>
  <c r="B15" i="26"/>
  <c r="AT15" i="26" s="1"/>
  <c r="D14" i="26"/>
  <c r="C14" i="26"/>
  <c r="B14" i="26"/>
  <c r="AT14" i="26" s="1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AT7" i="26" s="1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AU17" i="25" s="1"/>
  <c r="AV17" i="25" s="1"/>
  <c r="D16" i="25"/>
  <c r="C16" i="25"/>
  <c r="B16" i="25"/>
  <c r="D15" i="25"/>
  <c r="C15" i="25"/>
  <c r="B15" i="25"/>
  <c r="D14" i="25"/>
  <c r="C14" i="25"/>
  <c r="B14" i="25"/>
  <c r="AT14" i="25" s="1"/>
  <c r="D13" i="25"/>
  <c r="C13" i="25"/>
  <c r="B13" i="25"/>
  <c r="AT13" i="25" s="1"/>
  <c r="D12" i="25"/>
  <c r="C12" i="25"/>
  <c r="B12" i="25"/>
  <c r="D11" i="25"/>
  <c r="C11" i="25"/>
  <c r="B11" i="25"/>
  <c r="AT11" i="25" s="1"/>
  <c r="D10" i="25"/>
  <c r="C10" i="25"/>
  <c r="B10" i="25"/>
  <c r="D9" i="25"/>
  <c r="C9" i="25"/>
  <c r="B9" i="25"/>
  <c r="AT9" i="25" s="1"/>
  <c r="D8" i="25"/>
  <c r="C8" i="25"/>
  <c r="B8" i="25"/>
  <c r="AT8" i="25" s="1"/>
  <c r="D7" i="25"/>
  <c r="C7" i="25"/>
  <c r="B7" i="25"/>
  <c r="AT7" i="25" s="1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AT17" i="24" s="1"/>
  <c r="D16" i="24"/>
  <c r="C16" i="24"/>
  <c r="B16" i="24"/>
  <c r="D15" i="24"/>
  <c r="C15" i="24"/>
  <c r="B15" i="24"/>
  <c r="AT15" i="24" s="1"/>
  <c r="D14" i="24"/>
  <c r="C14" i="24"/>
  <c r="B14" i="24"/>
  <c r="AT14" i="24" s="1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AT7" i="24" s="1"/>
  <c r="D6" i="24"/>
  <c r="C6" i="24"/>
  <c r="B6" i="24"/>
  <c r="AT6" i="24" s="1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BG4" i="28" s="1"/>
  <c r="G47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H34" i="27" s="1"/>
  <c r="G47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47" i="26"/>
  <c r="G56" i="26" s="1"/>
  <c r="G55" i="26" s="1"/>
  <c r="G52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H34" i="25" s="1"/>
  <c r="G47" i="25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H34" i="24" s="1"/>
  <c r="G47" i="24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9" i="23" s="1"/>
  <c r="G47" i="23"/>
  <c r="AJ2" i="23"/>
  <c r="BO7" i="23" s="1"/>
  <c r="AG2" i="23"/>
  <c r="BJ5" i="23" s="1"/>
  <c r="AD2" i="23"/>
  <c r="BF11" i="23" s="1"/>
  <c r="AA2" i="23"/>
  <c r="BJ12" i="23" s="1"/>
  <c r="X2" i="23"/>
  <c r="U2" i="23"/>
  <c r="BJ14" i="23" s="1"/>
  <c r="R2" i="23"/>
  <c r="BF8" i="23" s="1"/>
  <c r="O2" i="23"/>
  <c r="BF7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B25" i="23" s="1"/>
  <c r="AB41" i="23" s="1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R2" i="28"/>
  <c r="AG12" i="16" s="1"/>
  <c r="CM32" i="16" s="1"/>
  <c r="AL25" i="28"/>
  <c r="AL38" i="28" s="1"/>
  <c r="AI25" i="28"/>
  <c r="AI38" i="28" s="1"/>
  <c r="AF25" i="28"/>
  <c r="AF38" i="28" s="1"/>
  <c r="AC25" i="28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R2" i="27"/>
  <c r="M25" i="27" s="1"/>
  <c r="M41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R2" i="26"/>
  <c r="AG10" i="16" s="1"/>
  <c r="CM30" i="1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R2" i="25"/>
  <c r="AL9" i="16" s="1"/>
  <c r="CT9" i="16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R2" i="24"/>
  <c r="U8" i="16" s="1"/>
  <c r="CA28" i="16" s="1"/>
  <c r="AL25" i="24"/>
  <c r="AL38" i="24" s="1"/>
  <c r="AI25" i="24"/>
  <c r="AI38" i="24" s="1"/>
  <c r="AF25" i="24"/>
  <c r="AF38" i="24" s="1"/>
  <c r="AC25" i="24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W25" i="23"/>
  <c r="W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T5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Y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T17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G49" i="28"/>
  <c r="G48" i="28"/>
  <c r="C2" i="28"/>
  <c r="AC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BG14" i="27" s="1"/>
  <c r="AI21" i="27"/>
  <c r="AI34" i="27" s="1"/>
  <c r="AF21" i="27"/>
  <c r="AF34" i="27" s="1"/>
  <c r="AC21" i="27"/>
  <c r="AB56" i="27" s="1"/>
  <c r="AB53" i="27" s="1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T5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O34" i="25" s="1"/>
  <c r="AL21" i="25"/>
  <c r="BG14" i="25" s="1"/>
  <c r="AI21" i="25"/>
  <c r="AI34" i="25" s="1"/>
  <c r="AF21" i="25"/>
  <c r="AF34" i="25" s="1"/>
  <c r="AC21" i="25"/>
  <c r="AC34" i="25" s="1"/>
  <c r="Z21" i="25"/>
  <c r="Z34" i="25" s="1"/>
  <c r="W21" i="25"/>
  <c r="W34" i="25" s="1"/>
  <c r="T21" i="25"/>
  <c r="Q21" i="25"/>
  <c r="BG7" i="25" s="1"/>
  <c r="N21" i="25"/>
  <c r="BG6" i="25" s="1"/>
  <c r="K21" i="25"/>
  <c r="BG5" i="25" s="1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O34" i="24" s="1"/>
  <c r="AL21" i="24"/>
  <c r="AL34" i="24" s="1"/>
  <c r="AI21" i="24"/>
  <c r="BG13" i="24" s="1"/>
  <c r="AF21" i="24"/>
  <c r="BG12" i="24" s="1"/>
  <c r="AC21" i="24"/>
  <c r="BG11" i="24" s="1"/>
  <c r="Z21" i="24"/>
  <c r="Z34" i="24" s="1"/>
  <c r="W21" i="24"/>
  <c r="BG9" i="24" s="1"/>
  <c r="T21" i="24"/>
  <c r="T34" i="24" s="1"/>
  <c r="Q21" i="24"/>
  <c r="BG7" i="24" s="1"/>
  <c r="N21" i="24"/>
  <c r="BG6" i="24" s="1"/>
  <c r="K21" i="24"/>
  <c r="BG5" i="24" s="1"/>
  <c r="G49" i="24"/>
  <c r="G48" i="24"/>
  <c r="C2" i="24"/>
  <c r="AC38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Z25" i="23" s="1"/>
  <c r="Z38" i="23" s="1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T5" i="21" s="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T9" i="1" s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BO13" i="35"/>
  <c r="AK56" i="31"/>
  <c r="AK55" i="31" s="1"/>
  <c r="AK52" i="31" s="1"/>
  <c r="H34" i="26"/>
  <c r="BG13" i="30"/>
  <c r="AI34" i="30"/>
  <c r="BG8" i="34"/>
  <c r="T34" i="34"/>
  <c r="BG4" i="26"/>
  <c r="BF4" i="30"/>
  <c r="AC34" i="36"/>
  <c r="N34" i="27"/>
  <c r="Z34" i="32"/>
  <c r="AL34" i="34"/>
  <c r="Q34" i="24"/>
  <c r="BJ4" i="26"/>
  <c r="BO4" i="26"/>
  <c r="BG8" i="33"/>
  <c r="T34" i="33"/>
  <c r="BG14" i="31"/>
  <c r="BO4" i="33"/>
  <c r="BG14" i="36"/>
  <c r="N34" i="32"/>
  <c r="Q34" i="32"/>
  <c r="BG5" i="35"/>
  <c r="BF4" i="23"/>
  <c r="BG5" i="36"/>
  <c r="BG9" i="36"/>
  <c r="BG10" i="24"/>
  <c r="AI34" i="29"/>
  <c r="Q34" i="33"/>
  <c r="P56" i="33"/>
  <c r="P55" i="33" s="1"/>
  <c r="P52" i="33" s="1"/>
  <c r="BG15" i="33"/>
  <c r="AO34" i="33"/>
  <c r="BO4" i="21"/>
  <c r="BG9" i="25"/>
  <c r="BG15" i="24"/>
  <c r="BJ4" i="28"/>
  <c r="BF4" i="35"/>
  <c r="S56" i="31"/>
  <c r="S53" i="31" s="1"/>
  <c r="AK56" i="27"/>
  <c r="AK54" i="27" s="1"/>
  <c r="M56" i="27"/>
  <c r="M54" i="27" s="1"/>
  <c r="Y56" i="27"/>
  <c r="Y53" i="27" s="1"/>
  <c r="H34" i="34"/>
  <c r="BG4" i="34"/>
  <c r="H34" i="30"/>
  <c r="BG4" i="30"/>
  <c r="H34" i="36"/>
  <c r="BG4" i="36"/>
  <c r="BJ5" i="35"/>
  <c r="AL34" i="27"/>
  <c r="Z34" i="27"/>
  <c r="K34" i="30"/>
  <c r="K34" i="34"/>
  <c r="P56" i="24"/>
  <c r="P53" i="24" s="1"/>
  <c r="AE56" i="29"/>
  <c r="AH56" i="30"/>
  <c r="AH53" i="30" s="1"/>
  <c r="AT9" i="35"/>
  <c r="AT9" i="34"/>
  <c r="AT18" i="36"/>
  <c r="AT17" i="35"/>
  <c r="AT9" i="36"/>
  <c r="AT5" i="32"/>
  <c r="AI25" i="23" l="1"/>
  <c r="AI38" i="23" s="1"/>
  <c r="AF25" i="23"/>
  <c r="AF38" i="23" s="1"/>
  <c r="Q25" i="23"/>
  <c r="Q38" i="23" s="1"/>
  <c r="H25" i="23"/>
  <c r="H38" i="23" s="1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8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Q34" i="28"/>
  <c r="BJ4" i="36"/>
  <c r="BF4" i="34"/>
  <c r="N34" i="34"/>
  <c r="AC34" i="35"/>
  <c r="BG13" i="27"/>
  <c r="BJ4" i="20"/>
  <c r="BO4" i="30"/>
  <c r="W34" i="29"/>
  <c r="H34" i="29"/>
  <c r="V56" i="29"/>
  <c r="V54" i="29" s="1"/>
  <c r="BJ15" i="1"/>
  <c r="BG14" i="24"/>
  <c r="BJ9" i="23"/>
  <c r="BG14" i="32"/>
  <c r="AT10" i="24"/>
  <c r="AY14" i="24"/>
  <c r="AT14" i="23"/>
  <c r="AY10" i="24"/>
  <c r="AT14" i="28"/>
  <c r="BF10" i="36"/>
  <c r="BF7" i="35"/>
  <c r="BF14" i="21"/>
  <c r="BO9" i="25"/>
  <c r="AT7" i="27"/>
  <c r="AY15" i="29"/>
  <c r="AY19" i="29"/>
  <c r="BG4" i="25"/>
  <c r="P56" i="26"/>
  <c r="P53" i="26" s="1"/>
  <c r="H34" i="33"/>
  <c r="V56" i="30"/>
  <c r="V55" i="30" s="1"/>
  <c r="BG9" i="28"/>
  <c r="AK56" i="30"/>
  <c r="AK54" i="30" s="1"/>
  <c r="S56" i="26"/>
  <c r="S55" i="26" s="1"/>
  <c r="AV38" i="16"/>
  <c r="AV37" i="16"/>
  <c r="AV43" i="16"/>
  <c r="AV42" i="16"/>
  <c r="AV40" i="16"/>
  <c r="AV34" i="16"/>
  <c r="AV36" i="16"/>
  <c r="AV44" i="16"/>
  <c r="AV35" i="16"/>
  <c r="AV41" i="16"/>
  <c r="AV39" i="16"/>
  <c r="AV33" i="16"/>
  <c r="S56" i="30"/>
  <c r="S55" i="30" s="1"/>
  <c r="Y56" i="26"/>
  <c r="Y53" i="26" s="1"/>
  <c r="BG12" i="25"/>
  <c r="AA5" i="16"/>
  <c r="CG25" i="16" s="1"/>
  <c r="AY7" i="36"/>
  <c r="AY14" i="1"/>
  <c r="AY10" i="1"/>
  <c r="AY18" i="36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11" i="23"/>
  <c r="BJ6" i="28"/>
  <c r="BO9" i="33"/>
  <c r="BF5" i="33"/>
  <c r="BO5" i="29"/>
  <c r="BF5" i="25"/>
  <c r="BO14" i="24"/>
  <c r="BJ15" i="33"/>
  <c r="BJ12" i="30"/>
  <c r="BF13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10" i="24"/>
  <c r="BJ9" i="29"/>
  <c r="BF10" i="28"/>
  <c r="BO10" i="20"/>
  <c r="BJ11" i="27"/>
  <c r="BJ10" i="23"/>
  <c r="BF11" i="35"/>
  <c r="BF9" i="20"/>
  <c r="BJ9" i="25"/>
  <c r="BJ6" i="24"/>
  <c r="BF13" i="25"/>
  <c r="BO6" i="36"/>
  <c r="BF12" i="34"/>
  <c r="BO15" i="29"/>
  <c r="BJ11" i="35"/>
  <c r="BF6" i="28"/>
  <c r="AT19" i="34"/>
  <c r="BJ7" i="27"/>
  <c r="BF8" i="34"/>
  <c r="BF15" i="20"/>
  <c r="BJ10" i="36"/>
  <c r="BJ14" i="24"/>
  <c r="BJ10" i="24"/>
  <c r="BO9" i="29"/>
  <c r="BO10" i="28"/>
  <c r="BF8" i="30"/>
  <c r="BJ10" i="32"/>
  <c r="BO14" i="23"/>
  <c r="BJ6" i="32"/>
  <c r="BO6" i="24"/>
  <c r="BJ5" i="29"/>
  <c r="BO15" i="21"/>
  <c r="BF15" i="29"/>
  <c r="BF6" i="36"/>
  <c r="BO7" i="35"/>
  <c r="BO15" i="20"/>
  <c r="BF10" i="23"/>
  <c r="BO13" i="20"/>
  <c r="BJ15" i="25"/>
  <c r="BO8" i="26"/>
  <c r="BJ13" i="21"/>
  <c r="BJ13" i="33"/>
  <c r="BO11" i="27"/>
  <c r="BJ9" i="33"/>
  <c r="BF15" i="25"/>
  <c r="BJ7" i="21"/>
  <c r="BO13" i="33"/>
  <c r="AT19" i="21"/>
  <c r="AY7" i="21"/>
  <c r="AY15" i="21"/>
  <c r="AY19" i="21"/>
  <c r="BJ7" i="30"/>
  <c r="BO4" i="34"/>
  <c r="AL20" i="16"/>
  <c r="CT20" i="16" s="1"/>
  <c r="BF12" i="29"/>
  <c r="BO12" i="25"/>
  <c r="BO6" i="27"/>
  <c r="BO8" i="29"/>
  <c r="BJ11" i="26"/>
  <c r="BJ13" i="28"/>
  <c r="BJ12" i="29"/>
  <c r="C18" i="16"/>
  <c r="F31" i="34" s="1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15" i="1"/>
  <c r="BF5" i="28"/>
  <c r="BO5" i="36"/>
  <c r="BO8" i="25"/>
  <c r="BO10" i="27"/>
  <c r="BO9" i="24"/>
  <c r="BO5" i="28"/>
  <c r="BJ14" i="27"/>
  <c r="H5" i="16"/>
  <c r="BP5" i="16" s="1"/>
  <c r="R16" i="16"/>
  <c r="BX36" i="16" s="1"/>
  <c r="BJ12" i="20"/>
  <c r="BJ9" i="1"/>
  <c r="AB56" i="24"/>
  <c r="AB55" i="24" s="1"/>
  <c r="K34" i="25"/>
  <c r="V56" i="26"/>
  <c r="V53" i="26" s="1"/>
  <c r="P56" i="27"/>
  <c r="J56" i="28"/>
  <c r="J54" i="28" s="1"/>
  <c r="N34" i="29"/>
  <c r="AN56" i="29"/>
  <c r="AN53" i="29" s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6" i="30"/>
  <c r="BO11" i="29"/>
  <c r="BJ6" i="23"/>
  <c r="BO11" i="33"/>
  <c r="AB25" i="32"/>
  <c r="AB41" i="32" s="1"/>
  <c r="AY11" i="1"/>
  <c r="AT11" i="24"/>
  <c r="AT19" i="25"/>
  <c r="AY11" i="32"/>
  <c r="BF15" i="35"/>
  <c r="BF15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H34" i="28"/>
  <c r="AC34" i="28"/>
  <c r="AO34" i="28"/>
  <c r="T34" i="27"/>
  <c r="BG7" i="27"/>
  <c r="S56" i="27"/>
  <c r="S53" i="27" s="1"/>
  <c r="BG6" i="26"/>
  <c r="AC34" i="26"/>
  <c r="M56" i="26"/>
  <c r="M53" i="26" s="1"/>
  <c r="AK56" i="26"/>
  <c r="BG15" i="25"/>
  <c r="S56" i="25"/>
  <c r="S54" i="25" s="1"/>
  <c r="AL34" i="25"/>
  <c r="BG8" i="25"/>
  <c r="Y56" i="24"/>
  <c r="Y54" i="24" s="1"/>
  <c r="AK25" i="29"/>
  <c r="AK41" i="29" s="1"/>
  <c r="AT11" i="31"/>
  <c r="AT19" i="24"/>
  <c r="AT15" i="25"/>
  <c r="BF10" i="34"/>
  <c r="BO15" i="31"/>
  <c r="BF12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13" i="23"/>
  <c r="BF5" i="35"/>
  <c r="BJ7" i="29"/>
  <c r="N16" i="16"/>
  <c r="BV16" i="16" s="1"/>
  <c r="BJ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AH13" i="16"/>
  <c r="BJ4" i="32"/>
  <c r="BO4" i="24"/>
  <c r="BF4" i="27"/>
  <c r="BO4" i="20"/>
  <c r="BJ4" i="31"/>
  <c r="BO4" i="25"/>
  <c r="BF5" i="1"/>
  <c r="BO4" i="28"/>
  <c r="BJ4" i="27"/>
  <c r="BJ4" i="25"/>
  <c r="BJ11" i="24"/>
  <c r="BO8" i="27"/>
  <c r="AK15" i="16"/>
  <c r="BF15" i="26"/>
  <c r="BF14" i="20"/>
  <c r="M13" i="16"/>
  <c r="AC15" i="16"/>
  <c r="CK15" i="16" s="1"/>
  <c r="BO15" i="23"/>
  <c r="BJ9" i="26"/>
  <c r="W13" i="16"/>
  <c r="CE13" i="16" s="1"/>
  <c r="AG13" i="16"/>
  <c r="CM33" i="16" s="1"/>
  <c r="BJ13" i="23"/>
  <c r="AT8" i="29"/>
  <c r="BF14" i="25"/>
  <c r="BO12" i="23"/>
  <c r="BO8" i="35"/>
  <c r="BG8" i="24"/>
  <c r="Y56" i="25"/>
  <c r="Y55" i="25" s="1"/>
  <c r="Y52" i="25" s="1"/>
  <c r="Q34" i="25"/>
  <c r="P56" i="25"/>
  <c r="P55" i="25" s="1"/>
  <c r="P52" i="25" s="1"/>
  <c r="BG10" i="25"/>
  <c r="AK54" i="26"/>
  <c r="AY7" i="26"/>
  <c r="Y54" i="27"/>
  <c r="AK55" i="27"/>
  <c r="S56" i="28"/>
  <c r="S55" i="28" s="1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0" i="21"/>
  <c r="BO8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I7" i="16"/>
  <c r="BO27" i="16" s="1"/>
  <c r="X17" i="16"/>
  <c r="CD37" i="16" s="1"/>
  <c r="BO13" i="21"/>
  <c r="E19" i="16"/>
  <c r="BM19" i="16" s="1"/>
  <c r="W11" i="16"/>
  <c r="CE11" i="16" s="1"/>
  <c r="BF13" i="21"/>
  <c r="BJ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8" i="24"/>
  <c r="BO8" i="23"/>
  <c r="BF5" i="23"/>
  <c r="AT8" i="31"/>
  <c r="BJ14" i="34"/>
  <c r="BJ9" i="31"/>
  <c r="BJ12" i="36"/>
  <c r="BO7" i="33"/>
  <c r="BO5" i="34"/>
  <c r="AA14" i="16"/>
  <c r="CG34" i="16" s="1"/>
  <c r="AL7" i="16"/>
  <c r="CT7" i="16" s="1"/>
  <c r="BF15" i="21"/>
  <c r="BF9" i="21"/>
  <c r="R5" i="16"/>
  <c r="BX25" i="16" s="1"/>
  <c r="BO5" i="31"/>
  <c r="BJ11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15" i="28"/>
  <c r="BF9" i="28"/>
  <c r="BF14" i="23"/>
  <c r="BO5" i="23"/>
  <c r="AT8" i="33"/>
  <c r="BO14" i="34"/>
  <c r="BF9" i="31"/>
  <c r="BO12" i="36"/>
  <c r="BF7" i="29"/>
  <c r="BF7" i="33"/>
  <c r="BJ7" i="28"/>
  <c r="BO9" i="1"/>
  <c r="BF6" i="27"/>
  <c r="BO14" i="30"/>
  <c r="V15" i="16"/>
  <c r="BF12" i="25"/>
  <c r="BF6" i="25"/>
  <c r="BO11" i="20"/>
  <c r="BO6" i="34"/>
  <c r="BF10" i="35"/>
  <c r="BO7" i="21"/>
  <c r="BF9" i="24"/>
  <c r="BO14" i="20"/>
  <c r="BF14" i="27"/>
  <c r="J13" i="16"/>
  <c r="V25" i="29"/>
  <c r="V41" i="29" s="1"/>
  <c r="BJ13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G25" i="23"/>
  <c r="G41" i="23" s="1"/>
  <c r="F7" i="16"/>
  <c r="BL27" i="16" s="1"/>
  <c r="V25" i="23"/>
  <c r="V41" i="23" s="1"/>
  <c r="AM7" i="16"/>
  <c r="CS27" i="16" s="1"/>
  <c r="G56" i="24"/>
  <c r="G55" i="24" s="1"/>
  <c r="G52" i="24" s="1"/>
  <c r="AY12" i="24"/>
  <c r="M25" i="25"/>
  <c r="M41" i="25" s="1"/>
  <c r="N34" i="25"/>
  <c r="AB56" i="26"/>
  <c r="AB53" i="26" s="1"/>
  <c r="AN53" i="27"/>
  <c r="AN54" i="27"/>
  <c r="AN55" i="27"/>
  <c r="AN52" i="27" s="1"/>
  <c r="AC34" i="27"/>
  <c r="AA11" i="16"/>
  <c r="CG31" i="16" s="1"/>
  <c r="G56" i="27"/>
  <c r="G54" i="27" s="1"/>
  <c r="BG11" i="27"/>
  <c r="AN25" i="27"/>
  <c r="AN41" i="27" s="1"/>
  <c r="AJ11" i="16"/>
  <c r="CP31" i="16" s="1"/>
  <c r="BG14" i="28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4" i="29"/>
  <c r="BJ4" i="1"/>
  <c r="BJ8" i="1"/>
  <c r="BO4" i="31"/>
  <c r="BO4" i="1"/>
  <c r="AE7" i="16"/>
  <c r="AF7" i="16"/>
  <c r="CN7" i="16" s="1"/>
  <c r="AB25" i="33"/>
  <c r="AB41" i="33" s="1"/>
  <c r="AK25" i="23"/>
  <c r="AK41" i="23" s="1"/>
  <c r="V17" i="16"/>
  <c r="BO15" i="34"/>
  <c r="BF10" i="33"/>
  <c r="BJ8" i="31"/>
  <c r="BO11" i="24"/>
  <c r="AY16" i="28"/>
  <c r="AT12" i="31"/>
  <c r="AE11" i="16"/>
  <c r="AL11" i="16"/>
  <c r="CT11" i="16" s="1"/>
  <c r="BO11" i="32"/>
  <c r="BO5" i="26"/>
  <c r="BO14" i="25"/>
  <c r="BJ5" i="34"/>
  <c r="BO12" i="27"/>
  <c r="BF8" i="27"/>
  <c r="BJ5" i="21"/>
  <c r="BJ15" i="21"/>
  <c r="AH14" i="16"/>
  <c r="P25" i="23"/>
  <c r="P41" i="23" s="1"/>
  <c r="BF7" i="32"/>
  <c r="BO9" i="21"/>
  <c r="AM5" i="16"/>
  <c r="CS25" i="16" s="1"/>
  <c r="J5" i="16"/>
  <c r="I5" i="16"/>
  <c r="BO25" i="16" s="1"/>
  <c r="BO11" i="28"/>
  <c r="BF9" i="26"/>
  <c r="BJ6" i="25"/>
  <c r="BO13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AN11" i="16"/>
  <c r="H11" i="16"/>
  <c r="BP11" i="16" s="1"/>
  <c r="V11" i="16"/>
  <c r="BF11" i="32"/>
  <c r="BO7" i="28"/>
  <c r="BJ5" i="26"/>
  <c r="BJ12" i="27"/>
  <c r="BF6" i="21"/>
  <c r="BF12" i="21"/>
  <c r="AN7" i="16"/>
  <c r="U5" i="16"/>
  <c r="CA25" i="16" s="1"/>
  <c r="X5" i="16"/>
  <c r="CD25" i="16" s="1"/>
  <c r="AG5" i="16"/>
  <c r="CM25" i="16" s="1"/>
  <c r="K9" i="16"/>
  <c r="BS9" i="16" s="1"/>
  <c r="BF13" i="26"/>
  <c r="BO10" i="25"/>
  <c r="BJ6" i="20"/>
  <c r="BJ14" i="33"/>
  <c r="J25" i="35"/>
  <c r="J41" i="35" s="1"/>
  <c r="V25" i="33"/>
  <c r="V41" i="33" s="1"/>
  <c r="L17" i="16"/>
  <c r="BR37" i="16" s="1"/>
  <c r="P7" i="16"/>
  <c r="BJ7" i="23"/>
  <c r="AG17" i="16"/>
  <c r="CM37" i="16" s="1"/>
  <c r="AT12" i="32"/>
  <c r="AK25" i="27"/>
  <c r="AK41" i="27" s="1"/>
  <c r="N11" i="16"/>
  <c r="BV11" i="16" s="1"/>
  <c r="BF8" i="1"/>
  <c r="BO11" i="1"/>
  <c r="O9" i="16"/>
  <c r="BU29" i="16" s="1"/>
  <c r="BJ15" i="26"/>
  <c r="BF14" i="33"/>
  <c r="BF8" i="35"/>
  <c r="E11" i="16"/>
  <c r="BM11" i="16" s="1"/>
  <c r="BF7" i="24"/>
  <c r="V19" i="16"/>
  <c r="F11" i="16"/>
  <c r="BL31" i="16" s="1"/>
  <c r="AC11" i="16"/>
  <c r="CK1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Z16" i="30" s="1"/>
  <c r="BA16" i="30" s="1"/>
  <c r="AU16" i="30"/>
  <c r="AV16" i="30" s="1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AB56" i="28"/>
  <c r="AB55" i="28" s="1"/>
  <c r="AF34" i="28"/>
  <c r="AE56" i="28"/>
  <c r="AE54" i="28" s="1"/>
  <c r="M11" i="16"/>
  <c r="AH25" i="27"/>
  <c r="AH41" i="27" s="1"/>
  <c r="T11" i="16"/>
  <c r="CB11" i="16" s="1"/>
  <c r="S25" i="27"/>
  <c r="S41" i="27" s="1"/>
  <c r="BG9" i="27"/>
  <c r="K11" i="16"/>
  <c r="BS11" i="16" s="1"/>
  <c r="L11" i="16"/>
  <c r="BR31" i="16" s="1"/>
  <c r="AG11" i="16"/>
  <c r="CM31" i="16" s="1"/>
  <c r="AD11" i="16"/>
  <c r="CJ31" i="16" s="1"/>
  <c r="J11" i="16"/>
  <c r="AI11" i="16"/>
  <c r="CQ11" i="16" s="1"/>
  <c r="BG4" i="27"/>
  <c r="AH56" i="27"/>
  <c r="O11" i="16"/>
  <c r="BU31" i="16" s="1"/>
  <c r="Z11" i="16"/>
  <c r="CH11" i="16" s="1"/>
  <c r="AF11" i="16"/>
  <c r="CN11" i="16" s="1"/>
  <c r="BY5" i="31"/>
  <c r="CV317" i="16" s="1"/>
  <c r="S11" i="16"/>
  <c r="P25" i="27"/>
  <c r="P41" i="27" s="1"/>
  <c r="X11" i="16"/>
  <c r="CD31" i="16" s="1"/>
  <c r="AM11" i="16"/>
  <c r="CS31" i="16" s="1"/>
  <c r="G25" i="27"/>
  <c r="G41" i="27" s="1"/>
  <c r="AE25" i="27"/>
  <c r="AE41" i="27" s="1"/>
  <c r="AK11" i="16"/>
  <c r="V25" i="27"/>
  <c r="V41" i="27" s="1"/>
  <c r="M55" i="27"/>
  <c r="M52" i="27" s="1"/>
  <c r="AB11" i="16"/>
  <c r="AB25" i="27"/>
  <c r="AB41" i="27" s="1"/>
  <c r="J25" i="27"/>
  <c r="J41" i="27" s="1"/>
  <c r="R11" i="16"/>
  <c r="BX31" i="16" s="1"/>
  <c r="U11" i="16"/>
  <c r="CA31" i="16" s="1"/>
  <c r="P11" i="16"/>
  <c r="I11" i="16"/>
  <c r="BO31" i="16" s="1"/>
  <c r="Q11" i="16"/>
  <c r="BY11" i="16" s="1"/>
  <c r="Y25" i="27"/>
  <c r="Y41" i="27" s="1"/>
  <c r="G11" i="16"/>
  <c r="AH11" i="16"/>
  <c r="Y11" i="16"/>
  <c r="P55" i="26"/>
  <c r="P52" i="26" s="1"/>
  <c r="Q34" i="26"/>
  <c r="BG7" i="26"/>
  <c r="AH56" i="26"/>
  <c r="AI34" i="26"/>
  <c r="AK56" i="25"/>
  <c r="AK54" i="25" s="1"/>
  <c r="L9" i="16"/>
  <c r="BR29" i="16" s="1"/>
  <c r="V9" i="16"/>
  <c r="T9" i="16"/>
  <c r="CB9" i="16" s="1"/>
  <c r="G25" i="25"/>
  <c r="G41" i="25" s="1"/>
  <c r="X9" i="16"/>
  <c r="CD29" i="16" s="1"/>
  <c r="BG13" i="25"/>
  <c r="AB25" i="25"/>
  <c r="AB41" i="25" s="1"/>
  <c r="I9" i="16"/>
  <c r="BO29" i="16" s="1"/>
  <c r="N9" i="16"/>
  <c r="BV9" i="16" s="1"/>
  <c r="Y9" i="16"/>
  <c r="G53" i="24"/>
  <c r="BY12" i="30"/>
  <c r="CV296" i="16" s="1"/>
  <c r="P55" i="24"/>
  <c r="P52" i="24" s="1"/>
  <c r="AH56" i="24"/>
  <c r="AH54" i="24" s="1"/>
  <c r="J56" i="24"/>
  <c r="J55" i="24" s="1"/>
  <c r="J52" i="24" s="1"/>
  <c r="AB52" i="24"/>
  <c r="P54" i="24"/>
  <c r="AN56" i="24"/>
  <c r="AN55" i="24" s="1"/>
  <c r="AN52" i="24" s="1"/>
  <c r="AC34" i="24"/>
  <c r="AK56" i="24"/>
  <c r="AK55" i="24" s="1"/>
  <c r="AK52" i="24" s="1"/>
  <c r="K34" i="24"/>
  <c r="AG7" i="16"/>
  <c r="CM27" i="16" s="1"/>
  <c r="L7" i="16"/>
  <c r="BR27" i="16" s="1"/>
  <c r="K7" i="16"/>
  <c r="Z7" i="16"/>
  <c r="CH7" i="16" s="1"/>
  <c r="AE25" i="23"/>
  <c r="AE41" i="23" s="1"/>
  <c r="U7" i="16"/>
  <c r="CA27" i="16" s="1"/>
  <c r="AH7" i="16"/>
  <c r="G7" i="16"/>
  <c r="AI7" i="16"/>
  <c r="CQ7" i="16" s="1"/>
  <c r="E7" i="16"/>
  <c r="BM7" i="16" s="1"/>
  <c r="N7" i="16"/>
  <c r="BV7" i="16" s="1"/>
  <c r="T7" i="16"/>
  <c r="CB7" i="16" s="1"/>
  <c r="AN25" i="23"/>
  <c r="AN41" i="23" s="1"/>
  <c r="M25" i="23"/>
  <c r="M41" i="23" s="1"/>
  <c r="BY6" i="33"/>
  <c r="CV374" i="16" s="1"/>
  <c r="J25" i="23"/>
  <c r="J41" i="23" s="1"/>
  <c r="Y7" i="16"/>
  <c r="AA7" i="16"/>
  <c r="CG27" i="16" s="1"/>
  <c r="AK7" i="16"/>
  <c r="AH25" i="23"/>
  <c r="AH41" i="23" s="1"/>
  <c r="AC7" i="16"/>
  <c r="CK7" i="16" s="1"/>
  <c r="AJ7" i="16"/>
  <c r="X7" i="16"/>
  <c r="CD27" i="16" s="1"/>
  <c r="Q7" i="16"/>
  <c r="BY7" i="16" s="1"/>
  <c r="AB7" i="16"/>
  <c r="R7" i="16"/>
  <c r="BX27" i="16" s="1"/>
  <c r="J7" i="16"/>
  <c r="AD7" i="16"/>
  <c r="CJ27" i="16" s="1"/>
  <c r="S25" i="23"/>
  <c r="S41" i="23" s="1"/>
  <c r="H7" i="16"/>
  <c r="Y25" i="23"/>
  <c r="Y41" i="23" s="1"/>
  <c r="W7" i="16"/>
  <c r="CE7" i="16" s="1"/>
  <c r="O7" i="16"/>
  <c r="BU27" i="16" s="1"/>
  <c r="M7" i="16"/>
  <c r="S7" i="16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AS9" i="16" s="1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AM8" i="16"/>
  <c r="CS28" i="16" s="1"/>
  <c r="BJ5" i="1"/>
  <c r="AT16" i="20"/>
  <c r="AY16" i="24"/>
  <c r="BF7" i="1"/>
  <c r="O18" i="16"/>
  <c r="BU38" i="16" s="1"/>
  <c r="AN25" i="26"/>
  <c r="AN41" i="26" s="1"/>
  <c r="BO8" i="1"/>
  <c r="BJ7" i="1"/>
  <c r="G10" i="16"/>
  <c r="V8" i="16"/>
  <c r="AI8" i="16"/>
  <c r="CQ8" i="16" s="1"/>
  <c r="Q8" i="16"/>
  <c r="BY8" i="16" s="1"/>
  <c r="Y25" i="24"/>
  <c r="Y41" i="24" s="1"/>
  <c r="R8" i="16"/>
  <c r="BX28" i="16" s="1"/>
  <c r="K8" i="16"/>
  <c r="BS8" i="16" s="1"/>
  <c r="F8" i="16"/>
  <c r="BL28" i="16" s="1"/>
  <c r="G8" i="16"/>
  <c r="AN8" i="16"/>
  <c r="AE25" i="24"/>
  <c r="AE41" i="24" s="1"/>
  <c r="M8" i="16"/>
  <c r="N8" i="16"/>
  <c r="BV8" i="16" s="1"/>
  <c r="AN25" i="24"/>
  <c r="AN41" i="24" s="1"/>
  <c r="AJ8" i="16"/>
  <c r="CP28" i="16" s="1"/>
  <c r="O8" i="16"/>
  <c r="BU28" i="16" s="1"/>
  <c r="AA8" i="16"/>
  <c r="CG28" i="16" s="1"/>
  <c r="J8" i="16"/>
  <c r="AK8" i="16"/>
  <c r="AC8" i="16"/>
  <c r="CK8" i="16" s="1"/>
  <c r="AK25" i="24"/>
  <c r="AK41" i="24" s="1"/>
  <c r="AG8" i="16"/>
  <c r="CM28" i="16" s="1"/>
  <c r="P8" i="16"/>
  <c r="E8" i="16"/>
  <c r="BM8" i="16" s="1"/>
  <c r="Z8" i="16"/>
  <c r="CH8" i="16" s="1"/>
  <c r="J25" i="24"/>
  <c r="J41" i="24" s="1"/>
  <c r="AB8" i="16"/>
  <c r="W8" i="16"/>
  <c r="CE8" i="16" s="1"/>
  <c r="AD8" i="16"/>
  <c r="CJ28" i="16" s="1"/>
  <c r="AB25" i="24"/>
  <c r="AB41" i="24" s="1"/>
  <c r="P25" i="24"/>
  <c r="P41" i="24" s="1"/>
  <c r="AL8" i="16"/>
  <c r="CT8" i="16" s="1"/>
  <c r="S25" i="24"/>
  <c r="S41" i="24" s="1"/>
  <c r="Y8" i="16"/>
  <c r="AE8" i="16"/>
  <c r="S8" i="16"/>
  <c r="L8" i="16"/>
  <c r="BR28" i="16" s="1"/>
  <c r="G25" i="24"/>
  <c r="G41" i="24" s="1"/>
  <c r="M25" i="24"/>
  <c r="M41" i="24" s="1"/>
  <c r="T8" i="16"/>
  <c r="CB8" i="16" s="1"/>
  <c r="V25" i="24"/>
  <c r="V41" i="24" s="1"/>
  <c r="X8" i="16"/>
  <c r="CD28" i="16" s="1"/>
  <c r="AF8" i="16"/>
  <c r="CN8" i="16" s="1"/>
  <c r="AH8" i="16"/>
  <c r="BO11" i="21"/>
  <c r="BF5" i="21"/>
  <c r="BO10" i="23"/>
  <c r="BF6" i="23"/>
  <c r="BJ8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S10" i="16" s="1"/>
  <c r="AT4" i="24"/>
  <c r="AY12" i="23"/>
  <c r="C7" i="16"/>
  <c r="AS7" i="16" s="1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AH25" i="24"/>
  <c r="AH41" i="24" s="1"/>
  <c r="V25" i="26"/>
  <c r="V41" i="26" s="1"/>
  <c r="AN10" i="16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AS11" i="16" s="1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5" i="24"/>
  <c r="BJ15" i="27"/>
  <c r="AT8" i="27"/>
  <c r="Q17" i="16"/>
  <c r="BY17" i="16" s="1"/>
  <c r="BJ14" i="31"/>
  <c r="BO6" i="29"/>
  <c r="BJ12" i="24"/>
  <c r="P25" i="26"/>
  <c r="P41" i="26" s="1"/>
  <c r="I8" i="16"/>
  <c r="BO28" i="16" s="1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A10" i="16"/>
  <c r="CG30" i="16" s="1"/>
  <c r="P10" i="16"/>
  <c r="I10" i="16"/>
  <c r="BO30" i="16" s="1"/>
  <c r="AD10" i="16"/>
  <c r="CJ30" i="16" s="1"/>
  <c r="AK25" i="26"/>
  <c r="AK41" i="26" s="1"/>
  <c r="AB10" i="16"/>
  <c r="W10" i="16"/>
  <c r="CE10" i="16" s="1"/>
  <c r="AK10" i="16"/>
  <c r="AM10" i="16"/>
  <c r="CS30" i="16" s="1"/>
  <c r="T10" i="16"/>
  <c r="CB10" i="16" s="1"/>
  <c r="H10" i="16"/>
  <c r="BP10" i="16" s="1"/>
  <c r="AI10" i="16"/>
  <c r="CQ10" i="16" s="1"/>
  <c r="J25" i="26"/>
  <c r="J41" i="26" s="1"/>
  <c r="X10" i="16"/>
  <c r="CD30" i="16" s="1"/>
  <c r="Z10" i="16"/>
  <c r="CH10" i="16" s="1"/>
  <c r="AL10" i="16"/>
  <c r="CT10" i="16" s="1"/>
  <c r="J10" i="16"/>
  <c r="Q10" i="16"/>
  <c r="BY10" i="16" s="1"/>
  <c r="N10" i="16"/>
  <c r="BV10" i="16" s="1"/>
  <c r="R10" i="16"/>
  <c r="BX30" i="16" s="1"/>
  <c r="M25" i="26"/>
  <c r="M41" i="26" s="1"/>
  <c r="S25" i="26"/>
  <c r="S41" i="26" s="1"/>
  <c r="L10" i="16"/>
  <c r="BR30" i="16" s="1"/>
  <c r="S10" i="16"/>
  <c r="Y10" i="16"/>
  <c r="M10" i="16"/>
  <c r="AE10" i="16"/>
  <c r="E10" i="16"/>
  <c r="BM10" i="16" s="1"/>
  <c r="AJ10" i="16"/>
  <c r="CP30" i="16" s="1"/>
  <c r="F10" i="16"/>
  <c r="BL30" i="16" s="1"/>
  <c r="AH25" i="26"/>
  <c r="AH41" i="26" s="1"/>
  <c r="AB25" i="26"/>
  <c r="AB41" i="26" s="1"/>
  <c r="U10" i="16"/>
  <c r="CA30" i="16" s="1"/>
  <c r="Y25" i="26"/>
  <c r="Y41" i="26" s="1"/>
  <c r="V10" i="16"/>
  <c r="AH10" i="16"/>
  <c r="AF10" i="16"/>
  <c r="CN10" i="16" s="1"/>
  <c r="G25" i="26"/>
  <c r="G41" i="26" s="1"/>
  <c r="AC10" i="16"/>
  <c r="CK10" i="16" s="1"/>
  <c r="AE25" i="26"/>
  <c r="AE41" i="2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6" i="23"/>
  <c r="BF9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9" i="27"/>
  <c r="AT16" i="21"/>
  <c r="AY8" i="27"/>
  <c r="BF15" i="32"/>
  <c r="BO11" i="25"/>
  <c r="P18" i="16"/>
  <c r="K10" i="16"/>
  <c r="BS10" i="16" s="1"/>
  <c r="O10" i="16"/>
  <c r="BU30" i="16" s="1"/>
  <c r="BO7" i="31"/>
  <c r="H8" i="16"/>
  <c r="BP8" i="16" s="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M56" i="28"/>
  <c r="AK56" i="28"/>
  <c r="Y56" i="28"/>
  <c r="BE2" i="35"/>
  <c r="BY9" i="35"/>
  <c r="CV433" i="16" s="1"/>
  <c r="BY30" i="24"/>
  <c r="CV146" i="16" s="1"/>
  <c r="AH56" i="28"/>
  <c r="P56" i="28"/>
  <c r="P53" i="28" s="1"/>
  <c r="Z34" i="28"/>
  <c r="AI34" i="28"/>
  <c r="BG6" i="28"/>
  <c r="G56" i="28"/>
  <c r="V56" i="28"/>
  <c r="V55" i="28" s="1"/>
  <c r="V52" i="28" s="1"/>
  <c r="AE56" i="27"/>
  <c r="J56" i="27"/>
  <c r="BY7" i="26"/>
  <c r="CV179" i="16" s="1"/>
  <c r="BY5" i="26"/>
  <c r="CV177" i="16" s="1"/>
  <c r="AK52" i="27"/>
  <c r="V56" i="27"/>
  <c r="BG12" i="27"/>
  <c r="AK53" i="27"/>
  <c r="K34" i="27"/>
  <c r="W34" i="26"/>
  <c r="AE56" i="26"/>
  <c r="AE53" i="26" s="1"/>
  <c r="AF34" i="26"/>
  <c r="S55" i="25"/>
  <c r="S52" i="25" s="1"/>
  <c r="S53" i="25"/>
  <c r="AK55" i="25"/>
  <c r="AK52" i="25" s="1"/>
  <c r="J56" i="25"/>
  <c r="AN25" i="25"/>
  <c r="AN41" i="25" s="1"/>
  <c r="V25" i="25"/>
  <c r="V41" i="25" s="1"/>
  <c r="AC9" i="16"/>
  <c r="CK9" i="16" s="1"/>
  <c r="S9" i="16"/>
  <c r="Z9" i="16"/>
  <c r="CH9" i="16" s="1"/>
  <c r="J9" i="16"/>
  <c r="T34" i="25"/>
  <c r="BY17" i="24"/>
  <c r="CV133" i="16" s="1"/>
  <c r="BY11" i="26"/>
  <c r="CV183" i="16" s="1"/>
  <c r="BY13" i="26"/>
  <c r="CV185" i="16" s="1"/>
  <c r="BY23" i="26"/>
  <c r="CV195" i="16" s="1"/>
  <c r="Y54" i="25"/>
  <c r="G56" i="25"/>
  <c r="G55" i="25" s="1"/>
  <c r="G52" i="25" s="1"/>
  <c r="AE56" i="25"/>
  <c r="AE53" i="25" s="1"/>
  <c r="AB56" i="25"/>
  <c r="Y25" i="25"/>
  <c r="Y41" i="25" s="1"/>
  <c r="U9" i="16"/>
  <c r="CA29" i="16" s="1"/>
  <c r="R9" i="16"/>
  <c r="BX29" i="16" s="1"/>
  <c r="AB9" i="16"/>
  <c r="AG9" i="16"/>
  <c r="CM29" i="16" s="1"/>
  <c r="AH9" i="16"/>
  <c r="AM9" i="16"/>
  <c r="CS29" i="16" s="1"/>
  <c r="J25" i="25"/>
  <c r="J41" i="25" s="1"/>
  <c r="AJ9" i="16"/>
  <c r="CP29" i="16" s="1"/>
  <c r="W9" i="16"/>
  <c r="CE9" i="16" s="1"/>
  <c r="AK25" i="25"/>
  <c r="AK41" i="25" s="1"/>
  <c r="Q9" i="16"/>
  <c r="BY9" i="16" s="1"/>
  <c r="BG11" i="25"/>
  <c r="AN56" i="25"/>
  <c r="BY17" i="26"/>
  <c r="CV189" i="16" s="1"/>
  <c r="BE2" i="26"/>
  <c r="BY6" i="26"/>
  <c r="CV178" i="16" s="1"/>
  <c r="Y53" i="25"/>
  <c r="M56" i="25"/>
  <c r="M54" i="25" s="1"/>
  <c r="G9" i="16"/>
  <c r="F9" i="16"/>
  <c r="BL29" i="16" s="1"/>
  <c r="M9" i="16"/>
  <c r="AI9" i="16"/>
  <c r="CQ9" i="16" s="1"/>
  <c r="AA9" i="16"/>
  <c r="CG29" i="16" s="1"/>
  <c r="AE25" i="25"/>
  <c r="AE41" i="25" s="1"/>
  <c r="BY23" i="24"/>
  <c r="CV139" i="16" s="1"/>
  <c r="BY4" i="24"/>
  <c r="CV120" i="16" s="1"/>
  <c r="BY14" i="26"/>
  <c r="CV186" i="16" s="1"/>
  <c r="V56" i="25"/>
  <c r="V54" i="25" s="1"/>
  <c r="AN9" i="16"/>
  <c r="AH25" i="25"/>
  <c r="AH41" i="25" s="1"/>
  <c r="AD9" i="16"/>
  <c r="CJ29" i="16" s="1"/>
  <c r="H9" i="16"/>
  <c r="BP9" i="16" s="1"/>
  <c r="AF9" i="16"/>
  <c r="CN9" i="16" s="1"/>
  <c r="AE9" i="16"/>
  <c r="AK9" i="16"/>
  <c r="P9" i="16"/>
  <c r="E9" i="16"/>
  <c r="BM9" i="16" s="1"/>
  <c r="P25" i="25"/>
  <c r="P41" i="25" s="1"/>
  <c r="S25" i="25"/>
  <c r="S41" i="25" s="1"/>
  <c r="AB53" i="24"/>
  <c r="Y53" i="24"/>
  <c r="AH53" i="24"/>
  <c r="S56" i="24"/>
  <c r="S53" i="24" s="1"/>
  <c r="AF34" i="24"/>
  <c r="AB54" i="24"/>
  <c r="AE56" i="24"/>
  <c r="BG4" i="24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AH54" i="27"/>
  <c r="P55" i="27"/>
  <c r="P52" i="27" s="1"/>
  <c r="P54" i="27"/>
  <c r="P53" i="27"/>
  <c r="S53" i="33"/>
  <c r="S55" i="33"/>
  <c r="S52" i="33" s="1"/>
  <c r="J53" i="30"/>
  <c r="Y55" i="27"/>
  <c r="Y52" i="27" s="1"/>
  <c r="J55" i="36"/>
  <c r="J52" i="36" s="1"/>
  <c r="V52" i="30"/>
  <c r="Y54" i="26"/>
  <c r="Y55" i="26"/>
  <c r="Y52" i="26" s="1"/>
  <c r="V53" i="25"/>
  <c r="AK53" i="30"/>
  <c r="AE55" i="29"/>
  <c r="AE52" i="29" s="1"/>
  <c r="AB55" i="32"/>
  <c r="AB52" i="32" s="1"/>
  <c r="J54" i="24"/>
  <c r="M53" i="33"/>
  <c r="AH53" i="33"/>
  <c r="AH55" i="33"/>
  <c r="AH52" i="33" s="1"/>
  <c r="Y54" i="34"/>
  <c r="BG15" i="20"/>
  <c r="BG15" i="35"/>
  <c r="AO34" i="35"/>
  <c r="BF10" i="1"/>
  <c r="AH56" i="25"/>
  <c r="K34" i="20"/>
  <c r="BG15" i="27"/>
  <c r="AO34" i="27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U18" i="25"/>
  <c r="AV18" i="25" s="1"/>
  <c r="AY18" i="25"/>
  <c r="AZ18" i="25" s="1"/>
  <c r="BA18" i="25" s="1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AS8" i="16" s="1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4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S52" i="28"/>
  <c r="J53" i="28"/>
  <c r="J55" i="28"/>
  <c r="J52" i="28" s="1"/>
  <c r="AE55" i="28"/>
  <c r="AE52" i="28" s="1"/>
  <c r="AN56" i="28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S54" i="28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S53" i="28"/>
  <c r="AY12" i="28"/>
  <c r="AY7" i="27"/>
  <c r="AB54" i="27"/>
  <c r="M53" i="27"/>
  <c r="AB55" i="27"/>
  <c r="AB52" i="27" s="1"/>
  <c r="S53" i="26"/>
  <c r="AB54" i="26"/>
  <c r="BG8" i="26"/>
  <c r="T34" i="26"/>
  <c r="BY17" i="21"/>
  <c r="CV77" i="16" s="1"/>
  <c r="G53" i="26"/>
  <c r="G54" i="26"/>
  <c r="BG5" i="26"/>
  <c r="J56" i="26"/>
  <c r="K34" i="26"/>
  <c r="BG15" i="26"/>
  <c r="AO34" i="26"/>
  <c r="AN56" i="26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S52" i="26"/>
  <c r="S54" i="26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BG14" i="26"/>
  <c r="AY12" i="26"/>
  <c r="J55" i="25"/>
  <c r="J52" i="25" s="1"/>
  <c r="AY16" i="25"/>
  <c r="G54" i="24"/>
  <c r="M56" i="24"/>
  <c r="N34" i="24"/>
  <c r="AI34" i="24"/>
  <c r="W34" i="24"/>
  <c r="AH55" i="24"/>
  <c r="AH52" i="24" s="1"/>
  <c r="V56" i="24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V53" i="23" l="1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AZ17" i="26"/>
  <c r="BA17" i="26" s="1"/>
  <c r="R4" i="16"/>
  <c r="BX24" i="16" s="1"/>
  <c r="AS4" i="16"/>
  <c r="D4" i="16"/>
  <c r="Y25" i="1" s="1"/>
  <c r="Y41" i="1" s="1"/>
  <c r="I4" i="16"/>
  <c r="K26" i="34" s="1"/>
  <c r="K39" i="34" s="1"/>
  <c r="X4" i="16"/>
  <c r="CD24" i="16" s="1"/>
  <c r="U4" i="16"/>
  <c r="CA24" i="16" s="1"/>
  <c r="AA4" i="16"/>
  <c r="O4" i="16"/>
  <c r="Q26" i="29" s="1"/>
  <c r="Q39" i="29" s="1"/>
  <c r="F4" i="16"/>
  <c r="AD4" i="16"/>
  <c r="CJ24" i="16" s="1"/>
  <c r="L4" i="16"/>
  <c r="AM4" i="16"/>
  <c r="AG4" i="16"/>
  <c r="AI26" i="23" s="1"/>
  <c r="AI39" i="23" s="1"/>
  <c r="AZ4" i="1"/>
  <c r="BA4" i="1" s="1"/>
  <c r="AZ17" i="25"/>
  <c r="BA17" i="25" s="1"/>
  <c r="BC5" i="36"/>
  <c r="AZ5" i="36" s="1"/>
  <c r="BA5" i="36" s="1"/>
  <c r="P54" i="31"/>
  <c r="AN55" i="31"/>
  <c r="AN52" i="31" s="1"/>
  <c r="G54" i="35"/>
  <c r="M55" i="26"/>
  <c r="M52" i="26" s="1"/>
  <c r="M21" i="26" s="1"/>
  <c r="BE6" i="26" s="1"/>
  <c r="P53" i="36"/>
  <c r="P54" i="26"/>
  <c r="AN55" i="29"/>
  <c r="AN52" i="29" s="1"/>
  <c r="V55" i="26"/>
  <c r="V52" i="26" s="1"/>
  <c r="S52" i="30"/>
  <c r="S21" i="30" s="1"/>
  <c r="BE8" i="30" s="1"/>
  <c r="AB54" i="28"/>
  <c r="S53" i="30"/>
  <c r="P53" i="31"/>
  <c r="AB53" i="33"/>
  <c r="AB54" i="33"/>
  <c r="V54" i="26"/>
  <c r="AB55" i="30"/>
  <c r="AB52" i="30" s="1"/>
  <c r="AN55" i="34"/>
  <c r="AN52" i="34" s="1"/>
  <c r="AB55" i="26"/>
  <c r="AB52" i="26" s="1"/>
  <c r="AB21" i="26" s="1"/>
  <c r="BE11" i="26" s="1"/>
  <c r="AB52" i="33"/>
  <c r="S54" i="36"/>
  <c r="S55" i="27"/>
  <c r="AK55" i="33"/>
  <c r="AK52" i="33" s="1"/>
  <c r="Y21" i="25"/>
  <c r="BE10" i="25" s="1"/>
  <c r="Y55" i="24"/>
  <c r="Y52" i="24" s="1"/>
  <c r="AE53" i="33"/>
  <c r="AE54" i="25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G45" i="25"/>
  <c r="B1" i="25" s="1"/>
  <c r="P21" i="25"/>
  <c r="BE7" i="25" s="1"/>
  <c r="AE55" i="25"/>
  <c r="AE52" i="25" s="1"/>
  <c r="AE21" i="25" s="1"/>
  <c r="BE12" i="25" s="1"/>
  <c r="S21" i="25"/>
  <c r="BE8" i="25" s="1"/>
  <c r="S52" i="27"/>
  <c r="AB53" i="29"/>
  <c r="AB54" i="29"/>
  <c r="Y55" i="29"/>
  <c r="Y52" i="29" s="1"/>
  <c r="AB52" i="29"/>
  <c r="AB21" i="29" s="1"/>
  <c r="BE11" i="29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AB52" i="28"/>
  <c r="AB21" i="28" s="1"/>
  <c r="BE11" i="28" s="1"/>
  <c r="AE53" i="28"/>
  <c r="AB53" i="28"/>
  <c r="S54" i="27"/>
  <c r="M54" i="26"/>
  <c r="F31" i="26"/>
  <c r="AK55" i="26"/>
  <c r="AK52" i="26" s="1"/>
  <c r="AK21" i="26" s="1"/>
  <c r="BE14" i="26" s="1"/>
  <c r="AK53" i="26"/>
  <c r="P54" i="25"/>
  <c r="AK53" i="25"/>
  <c r="P53" i="25"/>
  <c r="J53" i="24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P7" i="16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CI9" i="16"/>
  <c r="CI11" i="16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BN12" i="16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BN8" i="16"/>
  <c r="BW9" i="16"/>
  <c r="G21" i="25"/>
  <c r="BE4" i="25" s="1"/>
  <c r="AK21" i="25"/>
  <c r="BE14" i="25" s="1"/>
  <c r="AZ16" i="27"/>
  <c r="BA16" i="27" s="1"/>
  <c r="BK11" i="16"/>
  <c r="P21" i="27"/>
  <c r="BE7" i="27" s="1"/>
  <c r="V21" i="28"/>
  <c r="BE9" i="28" s="1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BQ11" i="16"/>
  <c r="CL11" i="16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Q8" i="16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T12" i="16"/>
  <c r="BC15" i="23"/>
  <c r="AZ15" i="23" s="1"/>
  <c r="BA15" i="23" s="1"/>
  <c r="BS7" i="16"/>
  <c r="BC9" i="23"/>
  <c r="AZ9" i="23" s="1"/>
  <c r="BA9" i="23" s="1"/>
  <c r="AZ4" i="23"/>
  <c r="BA4" i="23" s="1"/>
  <c r="BW8" i="16"/>
  <c r="CL8" i="16"/>
  <c r="V55" i="25"/>
  <c r="V52" i="25" s="1"/>
  <c r="V21" i="25" s="1"/>
  <c r="BE9" i="25" s="1"/>
  <c r="G53" i="25"/>
  <c r="G54" i="25"/>
  <c r="G53" i="27"/>
  <c r="G55" i="27"/>
  <c r="G52" i="27" s="1"/>
  <c r="G21" i="27" s="1"/>
  <c r="BE4" i="27" s="1"/>
  <c r="CR11" i="16"/>
  <c r="AZ18" i="28"/>
  <c r="BA18" i="28" s="1"/>
  <c r="M54" i="29"/>
  <c r="M53" i="29"/>
  <c r="M55" i="29"/>
  <c r="M52" i="29" s="1"/>
  <c r="M21" i="29" s="1"/>
  <c r="BE6" i="29" s="1"/>
  <c r="AK53" i="29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F9" i="16"/>
  <c r="CL17" i="16"/>
  <c r="AZ4" i="20"/>
  <c r="BA4" i="20" s="1"/>
  <c r="CO20" i="16"/>
  <c r="BT20" i="16"/>
  <c r="BC18" i="20"/>
  <c r="AZ18" i="20" s="1"/>
  <c r="BA18" i="20" s="1"/>
  <c r="CF8" i="16"/>
  <c r="CO8" i="16"/>
  <c r="BZ11" i="16"/>
  <c r="BT13" i="16"/>
  <c r="BZ15" i="16"/>
  <c r="BZ12" i="16"/>
  <c r="CC12" i="16"/>
  <c r="CL12" i="16"/>
  <c r="CL9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K12" i="16"/>
  <c r="CI12" i="16"/>
  <c r="CF12" i="16"/>
  <c r="CO12" i="16"/>
  <c r="BQ12" i="16"/>
  <c r="F31" i="27"/>
  <c r="AB21" i="27"/>
  <c r="BE11" i="27" s="1"/>
  <c r="M21" i="27"/>
  <c r="BE6" i="27" s="1"/>
  <c r="BW11" i="16"/>
  <c r="BN11" i="16"/>
  <c r="CO11" i="16"/>
  <c r="CF11" i="16"/>
  <c r="CC11" i="16"/>
  <c r="BT11" i="16"/>
  <c r="Y21" i="27"/>
  <c r="BE10" i="27" s="1"/>
  <c r="G45" i="27"/>
  <c r="B1" i="27" s="1"/>
  <c r="AH53" i="27"/>
  <c r="AH55" i="27"/>
  <c r="AH52" i="27" s="1"/>
  <c r="AZ4" i="26"/>
  <c r="BA4" i="26" s="1"/>
  <c r="BC7" i="26"/>
  <c r="AZ7" i="26" s="1"/>
  <c r="BA7" i="26" s="1"/>
  <c r="AH54" i="26"/>
  <c r="AH55" i="26"/>
  <c r="AH52" i="26" s="1"/>
  <c r="AH21" i="26" s="1"/>
  <c r="BE13" i="26" s="1"/>
  <c r="AH53" i="26"/>
  <c r="BC14" i="26"/>
  <c r="AZ14" i="26" s="1"/>
  <c r="BA14" i="26" s="1"/>
  <c r="BC6" i="26"/>
  <c r="AZ6" i="26" s="1"/>
  <c r="BA6" i="26" s="1"/>
  <c r="BC8" i="26"/>
  <c r="AZ8" i="26" s="1"/>
  <c r="BA8" i="26" s="1"/>
  <c r="BN9" i="16"/>
  <c r="BQ9" i="16"/>
  <c r="BZ8" i="16"/>
  <c r="BK8" i="16"/>
  <c r="BT8" i="16"/>
  <c r="CR8" i="16"/>
  <c r="AK54" i="24"/>
  <c r="AK53" i="24"/>
  <c r="CI8" i="16"/>
  <c r="CC8" i="16"/>
  <c r="AN53" i="24"/>
  <c r="AN54" i="24"/>
  <c r="BC8" i="23"/>
  <c r="AZ8" i="23" s="1"/>
  <c r="BA8" i="23" s="1"/>
  <c r="BC18" i="23"/>
  <c r="AZ18" i="23" s="1"/>
  <c r="BA18" i="23" s="1"/>
  <c r="CP27" i="16"/>
  <c r="F31" i="23"/>
  <c r="AF21" i="23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CL10" i="16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CC9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P53" i="29"/>
  <c r="P55" i="29"/>
  <c r="P52" i="29" s="1"/>
  <c r="P21" i="29" s="1"/>
  <c r="BE7" i="29" s="1"/>
  <c r="CC13" i="16"/>
  <c r="AH55" i="28"/>
  <c r="AH52" i="28" s="1"/>
  <c r="AH54" i="28"/>
  <c r="Y55" i="28"/>
  <c r="Y52" i="28" s="1"/>
  <c r="Y21" i="28" s="1"/>
  <c r="BE10" i="28" s="1"/>
  <c r="Y54" i="28"/>
  <c r="Y53" i="28"/>
  <c r="AK53" i="28"/>
  <c r="AK54" i="28"/>
  <c r="AK55" i="28"/>
  <c r="AK52" i="28" s="1"/>
  <c r="AK21" i="28" s="1"/>
  <c r="BE14" i="28" s="1"/>
  <c r="V53" i="28"/>
  <c r="V54" i="28"/>
  <c r="M53" i="28"/>
  <c r="M54" i="28"/>
  <c r="M55" i="28"/>
  <c r="M52" i="28" s="1"/>
  <c r="M21" i="28" s="1"/>
  <c r="BE6" i="28" s="1"/>
  <c r="AH53" i="28"/>
  <c r="G55" i="28"/>
  <c r="G52" i="28" s="1"/>
  <c r="G21" i="28" s="1"/>
  <c r="BE4" i="28" s="1"/>
  <c r="G53" i="28"/>
  <c r="G54" i="28"/>
  <c r="P55" i="28"/>
  <c r="P52" i="28" s="1"/>
  <c r="P21" i="28" s="1"/>
  <c r="BE7" i="28" s="1"/>
  <c r="P54" i="28"/>
  <c r="V55" i="27"/>
  <c r="V52" i="27" s="1"/>
  <c r="V21" i="27" s="1"/>
  <c r="BE9" i="27" s="1"/>
  <c r="V53" i="27"/>
  <c r="V54" i="27"/>
  <c r="S21" i="27"/>
  <c r="BE8" i="27" s="1"/>
  <c r="J55" i="27"/>
  <c r="J52" i="27" s="1"/>
  <c r="J21" i="27" s="1"/>
  <c r="BE5" i="27" s="1"/>
  <c r="J54" i="27"/>
  <c r="J53" i="27"/>
  <c r="AE53" i="27"/>
  <c r="AE54" i="27"/>
  <c r="AE55" i="27"/>
  <c r="AE52" i="27" s="1"/>
  <c r="AE21" i="27" s="1"/>
  <c r="BE12" i="27" s="1"/>
  <c r="AE54" i="26"/>
  <c r="AE55" i="26"/>
  <c r="AE52" i="26" s="1"/>
  <c r="AE21" i="26" s="1"/>
  <c r="BE12" i="26" s="1"/>
  <c r="BK9" i="16"/>
  <c r="BZ9" i="16"/>
  <c r="M53" i="25"/>
  <c r="M55" i="25"/>
  <c r="M52" i="25" s="1"/>
  <c r="M21" i="25" s="1"/>
  <c r="BE6" i="25" s="1"/>
  <c r="AB55" i="25"/>
  <c r="AB52" i="25" s="1"/>
  <c r="AB21" i="25" s="1"/>
  <c r="BE11" i="25" s="1"/>
  <c r="AB54" i="25"/>
  <c r="AB53" i="25"/>
  <c r="J54" i="25"/>
  <c r="J53" i="25"/>
  <c r="CO9" i="16"/>
  <c r="BT9" i="16"/>
  <c r="CR9" i="16"/>
  <c r="AN55" i="25"/>
  <c r="AN52" i="25" s="1"/>
  <c r="AN21" i="25" s="1"/>
  <c r="BE15" i="25" s="1"/>
  <c r="AN54" i="25"/>
  <c r="AN53" i="25"/>
  <c r="AE54" i="24"/>
  <c r="AE53" i="24"/>
  <c r="AE55" i="24"/>
  <c r="AE52" i="24" s="1"/>
  <c r="AE21" i="24" s="1"/>
  <c r="BE12" i="24" s="1"/>
  <c r="S54" i="24"/>
  <c r="S55" i="24"/>
  <c r="S52" i="24" s="1"/>
  <c r="S21" i="24" s="1"/>
  <c r="BE8" i="24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T10" i="16"/>
  <c r="BQ10" i="16"/>
  <c r="BC16" i="27"/>
  <c r="BC18" i="24"/>
  <c r="BC9" i="20"/>
  <c r="AZ9" i="20" s="1"/>
  <c r="BA9" i="20" s="1"/>
  <c r="CR10" i="16"/>
  <c r="S21" i="28"/>
  <c r="BE8" i="28" s="1"/>
  <c r="AH21" i="29"/>
  <c r="BE13" i="29" s="1"/>
  <c r="J21" i="30"/>
  <c r="BE5" i="30" s="1"/>
  <c r="V21" i="31"/>
  <c r="BE9" i="31" s="1"/>
  <c r="AK21" i="36"/>
  <c r="BE14" i="36" s="1"/>
  <c r="AB21" i="33"/>
  <c r="BE11" i="33" s="1"/>
  <c r="AH21" i="27"/>
  <c r="BE13" i="27" s="1"/>
  <c r="AK21" i="35"/>
  <c r="BE14" i="35" s="1"/>
  <c r="J21" i="35"/>
  <c r="BE5" i="35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AN21" i="27"/>
  <c r="BE15" i="27" s="1"/>
  <c r="V21" i="33"/>
  <c r="BE9" i="33" s="1"/>
  <c r="AK21" i="27"/>
  <c r="BE14" i="27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H55" i="25"/>
  <c r="AH52" i="25" s="1"/>
  <c r="AH21" i="25" s="1"/>
  <c r="BE13" i="25" s="1"/>
  <c r="AH54" i="25"/>
  <c r="AH53" i="25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V21" i="29"/>
  <c r="BE9" i="29" s="1"/>
  <c r="AB58" i="29"/>
  <c r="AE21" i="29"/>
  <c r="BE12" i="29" s="1"/>
  <c r="AK21" i="29"/>
  <c r="BE14" i="29" s="1"/>
  <c r="J21" i="28"/>
  <c r="BE5" i="28" s="1"/>
  <c r="AN53" i="28"/>
  <c r="AN55" i="28"/>
  <c r="AN52" i="28" s="1"/>
  <c r="AN21" i="28" s="1"/>
  <c r="BE15" i="28" s="1"/>
  <c r="AN54" i="28"/>
  <c r="G45" i="28"/>
  <c r="B1" i="28" s="1"/>
  <c r="AE21" i="28"/>
  <c r="BE12" i="28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W10" i="16"/>
  <c r="CC10" i="16"/>
  <c r="CF10" i="16"/>
  <c r="BN10" i="16"/>
  <c r="Y21" i="26"/>
  <c r="BE10" i="26" s="1"/>
  <c r="AN55" i="26"/>
  <c r="AN52" i="26" s="1"/>
  <c r="AN54" i="26"/>
  <c r="AN53" i="26"/>
  <c r="G21" i="26"/>
  <c r="BE4" i="26" s="1"/>
  <c r="G45" i="26"/>
  <c r="B1" i="26" s="1"/>
  <c r="S21" i="26"/>
  <c r="BE8" i="26" s="1"/>
  <c r="V21" i="26"/>
  <c r="BE9" i="26" s="1"/>
  <c r="BZ10" i="16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J54" i="26"/>
  <c r="J55" i="26"/>
  <c r="J52" i="26" s="1"/>
  <c r="J21" i="26" s="1"/>
  <c r="BE5" i="26" s="1"/>
  <c r="J53" i="26"/>
  <c r="BK10" i="16"/>
  <c r="CO10" i="16"/>
  <c r="CI10" i="16"/>
  <c r="P21" i="26"/>
  <c r="BE7" i="26" s="1"/>
  <c r="J21" i="25"/>
  <c r="BE5" i="25" s="1"/>
  <c r="AK21" i="24"/>
  <c r="BE14" i="24" s="1"/>
  <c r="G45" i="24"/>
  <c r="B1" i="24" s="1"/>
  <c r="G21" i="24"/>
  <c r="BE4" i="24" s="1"/>
  <c r="AB21" i="24"/>
  <c r="BE11" i="24" s="1"/>
  <c r="M53" i="24"/>
  <c r="M55" i="24"/>
  <c r="M52" i="24" s="1"/>
  <c r="M21" i="24" s="1"/>
  <c r="BE6" i="24" s="1"/>
  <c r="M54" i="24"/>
  <c r="AN21" i="24"/>
  <c r="BE15" i="24" s="1"/>
  <c r="J21" i="24"/>
  <c r="BE5" i="24" s="1"/>
  <c r="AH21" i="24"/>
  <c r="BE13" i="24" s="1"/>
  <c r="P21" i="24"/>
  <c r="BE7" i="24" s="1"/>
  <c r="V55" i="24"/>
  <c r="V52" i="24" s="1"/>
  <c r="V21" i="24" s="1"/>
  <c r="BE9" i="24" s="1"/>
  <c r="V53" i="24"/>
  <c r="V54" i="24"/>
  <c r="Y21" i="24"/>
  <c r="BE10" i="24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BC9" i="25"/>
  <c r="AZ9" i="25" s="1"/>
  <c r="BA9" i="25" s="1"/>
  <c r="BC10" i="25"/>
  <c r="AZ10" i="25" s="1"/>
  <c r="BA10" i="25" s="1"/>
  <c r="BC18" i="25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F34" i="23" l="1"/>
  <c r="AE56" i="23"/>
  <c r="BG11" i="23"/>
  <c r="Q21" i="23"/>
  <c r="Q34" i="23" s="1"/>
  <c r="AO21" i="23"/>
  <c r="T21" i="23"/>
  <c r="T34" i="23" s="1"/>
  <c r="N21" i="23"/>
  <c r="H21" i="23"/>
  <c r="BG4" i="23" s="1"/>
  <c r="AI21" i="23"/>
  <c r="AC21" i="23"/>
  <c r="AC34" i="23" s="1"/>
  <c r="K21" i="23"/>
  <c r="AL21" i="23"/>
  <c r="BG13" i="23" s="1"/>
  <c r="Z21" i="23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H58" i="27"/>
  <c r="AN58" i="29"/>
  <c r="G58" i="36"/>
  <c r="CF7" i="16"/>
  <c r="AK58" i="32"/>
  <c r="V58" i="29"/>
  <c r="AE58" i="27"/>
  <c r="AN58" i="24"/>
  <c r="BQ7" i="16"/>
  <c r="CL7" i="16"/>
  <c r="CR7" i="16"/>
  <c r="CI7" i="16"/>
  <c r="BW7" i="16"/>
  <c r="BZ7" i="16"/>
  <c r="BN7" i="16"/>
  <c r="BK7" i="16"/>
  <c r="BT7" i="16"/>
  <c r="CC7" i="16"/>
  <c r="CO7" i="16"/>
  <c r="M58" i="25"/>
  <c r="AH58" i="28"/>
  <c r="J58" i="28"/>
  <c r="AN58" i="33"/>
  <c r="G58" i="25"/>
  <c r="P58" i="25"/>
  <c r="S58" i="26"/>
  <c r="G58" i="27"/>
  <c r="S58" i="27"/>
  <c r="AB58" i="27"/>
  <c r="AK58" i="28"/>
  <c r="G58" i="30"/>
  <c r="J58" i="30"/>
  <c r="AH58" i="31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AB58" i="28"/>
  <c r="AH21" i="28"/>
  <c r="BE13" i="28" s="1"/>
  <c r="P58" i="27"/>
  <c r="J58" i="27"/>
  <c r="Y58" i="27"/>
  <c r="AK58" i="27"/>
  <c r="AN58" i="27"/>
  <c r="M58" i="27"/>
  <c r="V58" i="27"/>
  <c r="G58" i="26"/>
  <c r="V58" i="25"/>
  <c r="AH58" i="25"/>
  <c r="AH58" i="24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Y58" i="28"/>
  <c r="P58" i="28"/>
  <c r="AE58" i="28"/>
  <c r="AK58" i="26"/>
  <c r="AN58" i="25"/>
  <c r="Y58" i="25"/>
  <c r="AB58" i="25"/>
  <c r="J58" i="25"/>
  <c r="AK58" i="25"/>
  <c r="AE58" i="25"/>
  <c r="J58" i="24"/>
  <c r="G58" i="24"/>
  <c r="S58" i="28"/>
  <c r="M58" i="28"/>
  <c r="G58" i="31"/>
  <c r="S58" i="25"/>
  <c r="V58" i="28"/>
  <c r="G58" i="28"/>
  <c r="CF14" i="16"/>
  <c r="Y58" i="35"/>
  <c r="V58" i="24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AN58" i="28"/>
  <c r="AN21" i="26"/>
  <c r="BE15" i="26" s="1"/>
  <c r="AN58" i="26"/>
  <c r="P58" i="26"/>
  <c r="V58" i="26"/>
  <c r="AH58" i="26"/>
  <c r="Y58" i="26"/>
  <c r="J58" i="26"/>
  <c r="AE58" i="26"/>
  <c r="M58" i="26"/>
  <c r="AB58" i="26"/>
  <c r="M58" i="24"/>
  <c r="Y58" i="24"/>
  <c r="S58" i="24"/>
  <c r="AK58" i="24"/>
  <c r="AE58" i="24"/>
  <c r="P58" i="24"/>
  <c r="AB58" i="24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AE54" i="23" l="1"/>
  <c r="AE55" i="23"/>
  <c r="AE52" i="23" s="1"/>
  <c r="AE53" i="23"/>
  <c r="BG7" i="23"/>
  <c r="P56" i="23"/>
  <c r="P53" i="23" s="1"/>
  <c r="BG14" i="23"/>
  <c r="AN56" i="23"/>
  <c r="AO34" i="23"/>
  <c r="BG8" i="23"/>
  <c r="S56" i="23"/>
  <c r="S53" i="23" s="1"/>
  <c r="N34" i="23"/>
  <c r="M56" i="23"/>
  <c r="BG6" i="23"/>
  <c r="H34" i="23"/>
  <c r="G56" i="23"/>
  <c r="G54" i="23" s="1"/>
  <c r="AI34" i="23"/>
  <c r="AH56" i="23"/>
  <c r="BG12" i="23"/>
  <c r="AB56" i="23"/>
  <c r="AB53" i="23" s="1"/>
  <c r="BG10" i="23"/>
  <c r="K34" i="23"/>
  <c r="BG5" i="23"/>
  <c r="J56" i="23"/>
  <c r="AK56" i="23"/>
  <c r="AK54" i="23" s="1"/>
  <c r="AL34" i="23"/>
  <c r="Z34" i="23"/>
  <c r="Y56" i="23"/>
  <c r="BG9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C24" i="33" s="1"/>
  <c r="AC37" i="33" s="1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4" i="27"/>
  <c r="BQ10" i="27"/>
  <c r="BQ14" i="27"/>
  <c r="BQ12" i="27"/>
  <c r="BQ5" i="27"/>
  <c r="BQ8" i="27"/>
  <c r="BQ11" i="27"/>
  <c r="H24" i="27"/>
  <c r="H37" i="27" s="1"/>
  <c r="BQ15" i="27"/>
  <c r="BQ6" i="27"/>
  <c r="W24" i="27"/>
  <c r="W37" i="27" s="1"/>
  <c r="BQ9" i="27"/>
  <c r="BQ7" i="27"/>
  <c r="Q24" i="27"/>
  <c r="Q37" i="27" s="1"/>
  <c r="AH27" i="27"/>
  <c r="BQ13" i="27"/>
  <c r="Y27" i="27"/>
  <c r="BQ15" i="30"/>
  <c r="BQ5" i="30"/>
  <c r="Y27" i="30"/>
  <c r="BQ9" i="30"/>
  <c r="AH27" i="30"/>
  <c r="BQ12" i="30"/>
  <c r="Q24" i="30"/>
  <c r="Q37" i="30" s="1"/>
  <c r="W24" i="30"/>
  <c r="W37" i="30" s="1"/>
  <c r="BQ7" i="30"/>
  <c r="BQ14" i="30"/>
  <c r="AC24" i="30"/>
  <c r="AC37" i="30" s="1"/>
  <c r="BQ6" i="30"/>
  <c r="H24" i="30"/>
  <c r="H37" i="30" s="1"/>
  <c r="BQ4" i="30"/>
  <c r="BQ8" i="30"/>
  <c r="BQ13" i="30"/>
  <c r="BQ11" i="30"/>
  <c r="BQ10" i="30"/>
  <c r="AC24" i="25"/>
  <c r="AC37" i="25" s="1"/>
  <c r="Q24" i="25"/>
  <c r="Q37" i="25" s="1"/>
  <c r="BQ11" i="25"/>
  <c r="AH27" i="25"/>
  <c r="BQ6" i="25"/>
  <c r="BQ14" i="25"/>
  <c r="BQ9" i="25"/>
  <c r="BQ7" i="25"/>
  <c r="BQ8" i="25"/>
  <c r="H24" i="25"/>
  <c r="H37" i="25" s="1"/>
  <c r="BQ15" i="25"/>
  <c r="BQ12" i="25"/>
  <c r="BQ4" i="25"/>
  <c r="W24" i="25"/>
  <c r="W37" i="25" s="1"/>
  <c r="Y27" i="25"/>
  <c r="BQ13" i="25"/>
  <c r="BQ10" i="25"/>
  <c r="BQ5" i="25"/>
  <c r="BQ5" i="33"/>
  <c r="BQ6" i="33"/>
  <c r="Q24" i="33"/>
  <c r="Q37" i="33" s="1"/>
  <c r="BQ12" i="33"/>
  <c r="BQ8" i="33"/>
  <c r="BQ9" i="33"/>
  <c r="Y27" i="33"/>
  <c r="BQ11" i="33"/>
  <c r="W24" i="33"/>
  <c r="W37" i="33" s="1"/>
  <c r="BQ13" i="33"/>
  <c r="BQ14" i="33"/>
  <c r="BQ7" i="33"/>
  <c r="BQ10" i="33"/>
  <c r="BQ15" i="33"/>
  <c r="AH27" i="33"/>
  <c r="BQ4" i="33"/>
  <c r="H24" i="33"/>
  <c r="H37" i="33" s="1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3" i="28"/>
  <c r="BQ4" i="28"/>
  <c r="BQ12" i="28"/>
  <c r="Y27" i="28"/>
  <c r="W24" i="28"/>
  <c r="W37" i="28" s="1"/>
  <c r="BQ8" i="28"/>
  <c r="BQ6" i="28"/>
  <c r="Q24" i="28"/>
  <c r="Q37" i="28" s="1"/>
  <c r="AH27" i="28"/>
  <c r="BQ9" i="28"/>
  <c r="BQ15" i="28"/>
  <c r="BQ11" i="28"/>
  <c r="BQ10" i="28"/>
  <c r="BQ14" i="28"/>
  <c r="H24" i="28"/>
  <c r="H37" i="28" s="1"/>
  <c r="BQ7" i="28"/>
  <c r="BQ5" i="28"/>
  <c r="AH27" i="34"/>
  <c r="BQ15" i="34"/>
  <c r="BQ7" i="34"/>
  <c r="BQ13" i="34"/>
  <c r="BQ14" i="34"/>
  <c r="BQ4" i="34"/>
  <c r="Y27" i="34"/>
  <c r="BQ6" i="34"/>
  <c r="BQ10" i="34"/>
  <c r="BQ11" i="34"/>
  <c r="H24" i="34"/>
  <c r="H37" i="34" s="1"/>
  <c r="BQ12" i="34"/>
  <c r="BQ5" i="34"/>
  <c r="BQ9" i="34"/>
  <c r="Q24" i="34"/>
  <c r="Q37" i="34" s="1"/>
  <c r="W24" i="34"/>
  <c r="W37" i="34" s="1"/>
  <c r="BQ8" i="34"/>
  <c r="BQ13" i="35"/>
  <c r="BQ7" i="35"/>
  <c r="BQ10" i="35"/>
  <c r="BQ9" i="35"/>
  <c r="BQ15" i="35"/>
  <c r="H24" i="35"/>
  <c r="H37" i="35" s="1"/>
  <c r="Q24" i="35"/>
  <c r="Q37" i="35" s="1"/>
  <c r="W24" i="35"/>
  <c r="W37" i="35" s="1"/>
  <c r="BQ6" i="35"/>
  <c r="BQ8" i="35"/>
  <c r="BQ12" i="35"/>
  <c r="Y27" i="35"/>
  <c r="BQ4" i="35"/>
  <c r="BQ14" i="35"/>
  <c r="BQ11" i="35"/>
  <c r="BQ5" i="35"/>
  <c r="AH27" i="35"/>
  <c r="Y27" i="36"/>
  <c r="AH27" i="36"/>
  <c r="Q24" i="36"/>
  <c r="Q37" i="36" s="1"/>
  <c r="BQ8" i="36"/>
  <c r="BQ15" i="36"/>
  <c r="BQ11" i="36"/>
  <c r="BQ6" i="36"/>
  <c r="BQ14" i="36"/>
  <c r="BQ10" i="36"/>
  <c r="BQ5" i="36"/>
  <c r="BQ4" i="36"/>
  <c r="BQ9" i="36"/>
  <c r="W24" i="36"/>
  <c r="W37" i="36" s="1"/>
  <c r="BQ12" i="36"/>
  <c r="H24" i="36"/>
  <c r="H37" i="36" s="1"/>
  <c r="BQ7" i="36"/>
  <c r="BQ13" i="36"/>
  <c r="BQ10" i="31"/>
  <c r="BQ11" i="31"/>
  <c r="BQ4" i="31"/>
  <c r="BQ12" i="31"/>
  <c r="BQ13" i="31"/>
  <c r="Q24" i="31"/>
  <c r="Q37" i="31" s="1"/>
  <c r="AH27" i="31"/>
  <c r="W24" i="31"/>
  <c r="W37" i="31" s="1"/>
  <c r="BQ8" i="31"/>
  <c r="BQ15" i="31"/>
  <c r="H24" i="31"/>
  <c r="H37" i="31" s="1"/>
  <c r="BQ6" i="31"/>
  <c r="BQ9" i="31"/>
  <c r="Y27" i="31"/>
  <c r="BQ5" i="31"/>
  <c r="BQ7" i="31"/>
  <c r="BQ14" i="31"/>
  <c r="AH26" i="27"/>
  <c r="AH42" i="27" s="1"/>
  <c r="Y26" i="27"/>
  <c r="Y42" i="27" s="1"/>
  <c r="BQ12" i="24"/>
  <c r="BQ10" i="24"/>
  <c r="BQ11" i="24"/>
  <c r="BQ8" i="24"/>
  <c r="BQ4" i="24"/>
  <c r="Y27" i="24"/>
  <c r="BQ15" i="24"/>
  <c r="AH27" i="24"/>
  <c r="BQ13" i="24"/>
  <c r="W24" i="24"/>
  <c r="W37" i="24" s="1"/>
  <c r="BQ14" i="24"/>
  <c r="H24" i="24"/>
  <c r="H37" i="24" s="1"/>
  <c r="BQ6" i="24"/>
  <c r="BQ5" i="24"/>
  <c r="BQ9" i="24"/>
  <c r="Q24" i="24"/>
  <c r="Q37" i="24" s="1"/>
  <c r="BQ7" i="24"/>
  <c r="BQ7" i="26"/>
  <c r="H24" i="26"/>
  <c r="H37" i="26" s="1"/>
  <c r="BQ15" i="26"/>
  <c r="BQ11" i="26"/>
  <c r="BQ4" i="26"/>
  <c r="AH27" i="26"/>
  <c r="Q24" i="26"/>
  <c r="Q37" i="26" s="1"/>
  <c r="W24" i="26"/>
  <c r="W37" i="26" s="1"/>
  <c r="BQ14" i="26"/>
  <c r="BQ8" i="26"/>
  <c r="BQ5" i="26"/>
  <c r="BQ12" i="26"/>
  <c r="BQ13" i="26"/>
  <c r="Y27" i="26"/>
  <c r="BQ10" i="26"/>
  <c r="BQ6" i="26"/>
  <c r="BQ9" i="26"/>
  <c r="BQ14" i="29"/>
  <c r="BQ4" i="29"/>
  <c r="BQ8" i="29"/>
  <c r="BQ7" i="29"/>
  <c r="Y27" i="29"/>
  <c r="BQ15" i="29"/>
  <c r="W24" i="29"/>
  <c r="W37" i="29" s="1"/>
  <c r="BQ13" i="29"/>
  <c r="H24" i="29"/>
  <c r="H37" i="29" s="1"/>
  <c r="BQ11" i="29"/>
  <c r="BQ12" i="29"/>
  <c r="BQ6" i="29"/>
  <c r="Q24" i="29"/>
  <c r="Q37" i="29" s="1"/>
  <c r="BQ10" i="29"/>
  <c r="BQ5" i="29"/>
  <c r="AH27" i="29"/>
  <c r="BQ9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Q24" i="32"/>
  <c r="Q37" i="32" s="1"/>
  <c r="W24" i="32"/>
  <c r="W37" i="32" s="1"/>
  <c r="Y27" i="32"/>
  <c r="BQ8" i="32"/>
  <c r="BQ13" i="32"/>
  <c r="H24" i="32"/>
  <c r="H37" i="32" s="1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3" i="23"/>
  <c r="BQ9" i="23"/>
  <c r="Q24" i="23"/>
  <c r="Q37" i="23" s="1"/>
  <c r="BQ4" i="23"/>
  <c r="BQ10" i="23"/>
  <c r="BQ14" i="23"/>
  <c r="BQ11" i="23"/>
  <c r="BQ8" i="23"/>
  <c r="BQ6" i="23"/>
  <c r="BQ15" i="23"/>
  <c r="Y27" i="23"/>
  <c r="BQ7" i="23"/>
  <c r="BQ5" i="23"/>
  <c r="H24" i="23"/>
  <c r="H37" i="23" s="1"/>
  <c r="AH27" i="23"/>
  <c r="BQ12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P21" i="16"/>
  <c r="Q23" i="35"/>
  <c r="Q23" i="1"/>
  <c r="Q23" i="20"/>
  <c r="AO23" i="1"/>
  <c r="AL23" i="1"/>
  <c r="Y56" i="1"/>
  <c r="Y55" i="1" s="1"/>
  <c r="Y52" i="1" s="1"/>
  <c r="Y4" i="16"/>
  <c r="T34" i="1"/>
  <c r="S4" i="16"/>
  <c r="N34" i="1"/>
  <c r="M4" i="16"/>
  <c r="G21" i="16"/>
  <c r="H23" i="20"/>
  <c r="H23" i="1"/>
  <c r="AC23" i="1"/>
  <c r="V21" i="16"/>
  <c r="W23" i="20"/>
  <c r="W23" i="1"/>
  <c r="AI34" i="1"/>
  <c r="AH4" i="16"/>
  <c r="AI24" i="31" s="1"/>
  <c r="AI37" i="31" s="1"/>
  <c r="J56" i="1"/>
  <c r="J53" i="1" s="1"/>
  <c r="J4" i="16"/>
  <c r="K24" i="36" s="1"/>
  <c r="K37" i="36" s="1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U21" i="26" s="1"/>
  <c r="AV4" i="23"/>
  <c r="AV21" i="23" s="1"/>
  <c r="AV34" i="23" s="1"/>
  <c r="AU32" i="23"/>
  <c r="AV4" i="29"/>
  <c r="AV21" i="29" s="1"/>
  <c r="AV34" i="29" s="1"/>
  <c r="AU21" i="29" s="1"/>
  <c r="AU32" i="29"/>
  <c r="AV4" i="27"/>
  <c r="AV21" i="27" s="1"/>
  <c r="AV34" i="27" s="1"/>
  <c r="AU21" i="27" s="1"/>
  <c r="AU32" i="27"/>
  <c r="AV4" i="25"/>
  <c r="AV21" i="25" s="1"/>
  <c r="AV34" i="25" s="1"/>
  <c r="AU21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21" i="28" s="1"/>
  <c r="AU32" i="28"/>
  <c r="AV4" i="24"/>
  <c r="AV21" i="24" s="1"/>
  <c r="AV34" i="24" s="1"/>
  <c r="AU21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P55" i="23" l="1"/>
  <c r="P52" i="23" s="1"/>
  <c r="P21" i="23" s="1"/>
  <c r="BE7" i="23" s="1"/>
  <c r="G55" i="23"/>
  <c r="G52" i="23" s="1"/>
  <c r="G21" i="23" s="1"/>
  <c r="BE4" i="23" s="1"/>
  <c r="S54" i="23"/>
  <c r="P54" i="23"/>
  <c r="AN54" i="23"/>
  <c r="AN55" i="23"/>
  <c r="AN52" i="23" s="1"/>
  <c r="AN21" i="23" s="1"/>
  <c r="BE14" i="23" s="1"/>
  <c r="AN53" i="23"/>
  <c r="S55" i="23"/>
  <c r="S52" i="23" s="1"/>
  <c r="S21" i="23" s="1"/>
  <c r="BE8" i="23" s="1"/>
  <c r="M55" i="23"/>
  <c r="M52" i="23" s="1"/>
  <c r="M21" i="23" s="1"/>
  <c r="BE6" i="23" s="1"/>
  <c r="M54" i="23"/>
  <c r="M53" i="23"/>
  <c r="G53" i="23"/>
  <c r="AH54" i="23"/>
  <c r="AH55" i="23"/>
  <c r="AH52" i="23" s="1"/>
  <c r="AH21" i="23" s="1"/>
  <c r="BE12" i="23" s="1"/>
  <c r="AH53" i="23"/>
  <c r="AU21" i="23"/>
  <c r="AB55" i="23"/>
  <c r="AB52" i="23" s="1"/>
  <c r="AB21" i="23" s="1"/>
  <c r="BE10" i="23" s="1"/>
  <c r="AB54" i="23"/>
  <c r="J53" i="23"/>
  <c r="J54" i="23"/>
  <c r="J55" i="23"/>
  <c r="J52" i="23" s="1"/>
  <c r="J21" i="23" s="1"/>
  <c r="BE5" i="23" s="1"/>
  <c r="AK55" i="23"/>
  <c r="AK52" i="23" s="1"/>
  <c r="AK21" i="23" s="1"/>
  <c r="BE13" i="23" s="1"/>
  <c r="AK53" i="23"/>
  <c r="AE21" i="23"/>
  <c r="BE11" i="23" s="1"/>
  <c r="V21" i="23"/>
  <c r="BE15" i="23" s="1"/>
  <c r="G45" i="23"/>
  <c r="B1" i="23" s="1"/>
  <c r="Y53" i="23"/>
  <c r="Y54" i="23"/>
  <c r="Y55" i="23"/>
  <c r="Y52" i="23" s="1"/>
  <c r="Y21" i="23" s="1"/>
  <c r="BE9" i="23" s="1"/>
  <c r="H23" i="27"/>
  <c r="BL4" i="27" s="1"/>
  <c r="Y55" i="21"/>
  <c r="Y52" i="21" s="1"/>
  <c r="Y21" i="21" s="1"/>
  <c r="W23" i="21"/>
  <c r="BL14" i="21" s="1"/>
  <c r="H23" i="24"/>
  <c r="H22" i="24" s="1"/>
  <c r="AF24" i="30"/>
  <c r="AF37" i="30" s="1"/>
  <c r="Z24" i="30"/>
  <c r="Z37" i="30" s="1"/>
  <c r="Q23" i="27"/>
  <c r="Q36" i="27" s="1"/>
  <c r="Q23" i="24"/>
  <c r="Q22" i="24" s="1"/>
  <c r="M53" i="21"/>
  <c r="H23" i="30"/>
  <c r="BL4" i="30" s="1"/>
  <c r="AL24" i="30"/>
  <c r="AL37" i="30" s="1"/>
  <c r="Q23" i="32"/>
  <c r="Q22" i="32" s="1"/>
  <c r="Y54" i="21"/>
  <c r="H23" i="23"/>
  <c r="H36" i="23" s="1"/>
  <c r="W23" i="35"/>
  <c r="W36" i="35" s="1"/>
  <c r="H23" i="36"/>
  <c r="H36" i="36" s="1"/>
  <c r="Q23" i="31"/>
  <c r="BL7" i="31" s="1"/>
  <c r="W23" i="28"/>
  <c r="BL9" i="28" s="1"/>
  <c r="W23" i="33"/>
  <c r="W36" i="33" s="1"/>
  <c r="W23" i="23"/>
  <c r="W36" i="23" s="1"/>
  <c r="W23" i="34"/>
  <c r="W36" i="34" s="1"/>
  <c r="H23" i="33"/>
  <c r="BL4" i="33" s="1"/>
  <c r="W23" i="24"/>
  <c r="BL9" i="24" s="1"/>
  <c r="Q23" i="21"/>
  <c r="Q22" i="21" s="1"/>
  <c r="Q23" i="28"/>
  <c r="BL7" i="28" s="1"/>
  <c r="H23" i="28"/>
  <c r="H22" i="28" s="1"/>
  <c r="Q23" i="30"/>
  <c r="BL7" i="30" s="1"/>
  <c r="Q23" i="33"/>
  <c r="BL7" i="33" s="1"/>
  <c r="H23" i="31"/>
  <c r="BL4" i="31" s="1"/>
  <c r="Q23" i="26"/>
  <c r="Q22" i="26" s="1"/>
  <c r="W23" i="32"/>
  <c r="BL9" i="32" s="1"/>
  <c r="Q23" i="23"/>
  <c r="Q22" i="23" s="1"/>
  <c r="W23" i="29"/>
  <c r="W36" i="29" s="1"/>
  <c r="H23" i="35"/>
  <c r="BL4" i="35" s="1"/>
  <c r="W23" i="25"/>
  <c r="W22" i="25" s="1"/>
  <c r="W23" i="30"/>
  <c r="BL9" i="30" s="1"/>
  <c r="W23" i="27"/>
  <c r="W22" i="27" s="1"/>
  <c r="W23" i="26"/>
  <c r="W36" i="26" s="1"/>
  <c r="H23" i="29"/>
  <c r="H22" i="29" s="1"/>
  <c r="H23" i="34"/>
  <c r="BL4" i="34" s="1"/>
  <c r="H23" i="32"/>
  <c r="H22" i="32" s="1"/>
  <c r="Q23" i="34"/>
  <c r="BL7" i="34" s="1"/>
  <c r="Q23" i="36"/>
  <c r="Q22" i="36" s="1"/>
  <c r="H23" i="21"/>
  <c r="BL9" i="21" s="1"/>
  <c r="W23" i="31"/>
  <c r="W36" i="31" s="1"/>
  <c r="W23" i="36"/>
  <c r="W36" i="36" s="1"/>
  <c r="H23" i="25"/>
  <c r="BL4" i="25" s="1"/>
  <c r="H23" i="26"/>
  <c r="H36" i="26" s="1"/>
  <c r="Q23" i="25"/>
  <c r="BL7" i="25" s="1"/>
  <c r="Q23" i="29"/>
  <c r="Q36" i="29" s="1"/>
  <c r="AN54" i="21"/>
  <c r="AN55" i="21"/>
  <c r="AN52" i="21" s="1"/>
  <c r="AN21" i="21" s="1"/>
  <c r="V55" i="21"/>
  <c r="V52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L23" i="30"/>
  <c r="BL14" i="30" s="1"/>
  <c r="AK21" i="16"/>
  <c r="CQ21" i="16" s="1"/>
  <c r="V21" i="21"/>
  <c r="G45" i="21"/>
  <c r="B1" i="21" s="1"/>
  <c r="AK21" i="21"/>
  <c r="AH53" i="21"/>
  <c r="AH54" i="21"/>
  <c r="AH55" i="21"/>
  <c r="AH52" i="21" s="1"/>
  <c r="AH21" i="21" s="1"/>
  <c r="AC23" i="25"/>
  <c r="AC36" i="25" s="1"/>
  <c r="AC24" i="23"/>
  <c r="AC37" i="23" s="1"/>
  <c r="AC23" i="20"/>
  <c r="AC36" i="20" s="1"/>
  <c r="AC24" i="31"/>
  <c r="AC37" i="31" s="1"/>
  <c r="AC24" i="36"/>
  <c r="AC37" i="36" s="1"/>
  <c r="AC23" i="33"/>
  <c r="BL11" i="33" s="1"/>
  <c r="N24" i="27"/>
  <c r="N37" i="27" s="1"/>
  <c r="AC24" i="26"/>
  <c r="AC37" i="26" s="1"/>
  <c r="AB21" i="16"/>
  <c r="AB22" i="16" s="1"/>
  <c r="AC24" i="21"/>
  <c r="AC37" i="21" s="1"/>
  <c r="AC23" i="30"/>
  <c r="AC22" i="30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3"/>
  <c r="BL6" i="23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Q36" i="35"/>
  <c r="BL7" i="35"/>
  <c r="Q22" i="35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3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AI23" i="31"/>
  <c r="W36" i="20"/>
  <c r="BL13" i="20"/>
  <c r="W22" i="20"/>
  <c r="M21" i="16"/>
  <c r="N23" i="1"/>
  <c r="N23" i="20"/>
  <c r="AL22" i="1"/>
  <c r="BL5" i="1"/>
  <c r="AL36" i="1"/>
  <c r="CB21" i="16"/>
  <c r="V22" i="16"/>
  <c r="BM21" i="16"/>
  <c r="G22" i="16"/>
  <c r="BV21" i="16"/>
  <c r="P22" i="16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H22" i="27" l="1"/>
  <c r="H35" i="27" s="1"/>
  <c r="J58" i="23"/>
  <c r="H36" i="30"/>
  <c r="AK58" i="23"/>
  <c r="AB58" i="23"/>
  <c r="AE58" i="23"/>
  <c r="P58" i="23"/>
  <c r="G58" i="23"/>
  <c r="W36" i="28"/>
  <c r="W22" i="21"/>
  <c r="BK14" i="21" s="1"/>
  <c r="Y58" i="23"/>
  <c r="W36" i="21"/>
  <c r="W22" i="33"/>
  <c r="BK9" i="33" s="1"/>
  <c r="Q22" i="27"/>
  <c r="Q35" i="27" s="1"/>
  <c r="S58" i="23"/>
  <c r="V58" i="23"/>
  <c r="AH58" i="23"/>
  <c r="M58" i="23"/>
  <c r="AN58" i="23"/>
  <c r="W22" i="35"/>
  <c r="W35" i="35" s="1"/>
  <c r="H36" i="27"/>
  <c r="W22" i="34"/>
  <c r="BK9" i="34" s="1"/>
  <c r="BL7" i="27"/>
  <c r="BL9" i="33"/>
  <c r="Q36" i="36"/>
  <c r="W36" i="24"/>
  <c r="W22" i="32"/>
  <c r="W35" i="32" s="1"/>
  <c r="W22" i="24"/>
  <c r="W35" i="24" s="1"/>
  <c r="BL4" i="36"/>
  <c r="H36" i="24"/>
  <c r="BL9" i="25"/>
  <c r="Q36" i="30"/>
  <c r="H22" i="36"/>
  <c r="BK4" i="36" s="1"/>
  <c r="W22" i="23"/>
  <c r="BK14" i="23" s="1"/>
  <c r="BL9" i="35"/>
  <c r="BL10" i="21"/>
  <c r="W36" i="25"/>
  <c r="BL7" i="36"/>
  <c r="H36" i="25"/>
  <c r="Q36" i="21"/>
  <c r="Q36" i="32"/>
  <c r="BL7" i="24"/>
  <c r="BL4" i="32"/>
  <c r="W36" i="27"/>
  <c r="BL4" i="24"/>
  <c r="BL14" i="23"/>
  <c r="BL7" i="32"/>
  <c r="Q36" i="24"/>
  <c r="Q22" i="31"/>
  <c r="BK7" i="31" s="1"/>
  <c r="H22" i="31"/>
  <c r="H35" i="31" s="1"/>
  <c r="Q36" i="28"/>
  <c r="Q36" i="31"/>
  <c r="BL9" i="34"/>
  <c r="Q22" i="28"/>
  <c r="Q35" i="28" s="1"/>
  <c r="W22" i="29"/>
  <c r="W35" i="29" s="1"/>
  <c r="Q22" i="25"/>
  <c r="Q35" i="25" s="1"/>
  <c r="H36" i="31"/>
  <c r="W22" i="31"/>
  <c r="BK9" i="31" s="1"/>
  <c r="BL9" i="31"/>
  <c r="H36" i="32"/>
  <c r="BL9" i="29"/>
  <c r="Q36" i="25"/>
  <c r="BL9" i="27"/>
  <c r="AF23" i="30"/>
  <c r="AF36" i="30" s="1"/>
  <c r="H36" i="28"/>
  <c r="BL9" i="23"/>
  <c r="H22" i="23"/>
  <c r="BK9" i="23" s="1"/>
  <c r="Z23" i="30"/>
  <c r="BL10" i="30" s="1"/>
  <c r="BL7" i="26"/>
  <c r="Q36" i="26"/>
  <c r="H22" i="30"/>
  <c r="H35" i="30" s="1"/>
  <c r="W22" i="28"/>
  <c r="BK9" i="28" s="1"/>
  <c r="H36" i="33"/>
  <c r="BL4" i="28"/>
  <c r="H22" i="33"/>
  <c r="BK4" i="33" s="1"/>
  <c r="T23" i="34"/>
  <c r="T36" i="34" s="1"/>
  <c r="Z23" i="35"/>
  <c r="Z22" i="35" s="1"/>
  <c r="AF23" i="36"/>
  <c r="AF22" i="36" s="1"/>
  <c r="AC23" i="26"/>
  <c r="BL11" i="26" s="1"/>
  <c r="AI23" i="33"/>
  <c r="AI22" i="33" s="1"/>
  <c r="K23" i="28"/>
  <c r="K22" i="28" s="1"/>
  <c r="T23" i="30"/>
  <c r="T36" i="30" s="1"/>
  <c r="T23" i="33"/>
  <c r="T22" i="33" s="1"/>
  <c r="Z23" i="21"/>
  <c r="Z36" i="21" s="1"/>
  <c r="Q22" i="33"/>
  <c r="BK7" i="33" s="1"/>
  <c r="BL10" i="23"/>
  <c r="BL4" i="29"/>
  <c r="W36" i="32"/>
  <c r="Q36" i="33"/>
  <c r="Q22" i="30"/>
  <c r="BK7" i="30" s="1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Q36" i="23"/>
  <c r="N23" i="34"/>
  <c r="N36" i="34" s="1"/>
  <c r="N23" i="33"/>
  <c r="N22" i="33" s="1"/>
  <c r="AI23" i="26"/>
  <c r="AI22" i="26" s="1"/>
  <c r="BL4" i="26"/>
  <c r="T23" i="36"/>
  <c r="T22" i="36" s="1"/>
  <c r="AI23" i="21"/>
  <c r="BL5" i="21" s="1"/>
  <c r="W36" i="30"/>
  <c r="Z23" i="29"/>
  <c r="BL10" i="29" s="1"/>
  <c r="Q22" i="34"/>
  <c r="Q35" i="34" s="1"/>
  <c r="Z23" i="27"/>
  <c r="Z22" i="27" s="1"/>
  <c r="AF23" i="34"/>
  <c r="AF36" i="34" s="1"/>
  <c r="Q36" i="34"/>
  <c r="BL7" i="29"/>
  <c r="T23" i="21"/>
  <c r="T22" i="21" s="1"/>
  <c r="H36" i="35"/>
  <c r="Z23" i="34"/>
  <c r="BL10" i="34" s="1"/>
  <c r="W22" i="36"/>
  <c r="W35" i="36" s="1"/>
  <c r="AF23" i="35"/>
  <c r="AF36" i="35" s="1"/>
  <c r="Q22" i="29"/>
  <c r="BK7" i="29" s="1"/>
  <c r="T23" i="31"/>
  <c r="T36" i="31" s="1"/>
  <c r="H22" i="35"/>
  <c r="H35" i="35" s="1"/>
  <c r="W22" i="26"/>
  <c r="BK9" i="26" s="1"/>
  <c r="K23" i="30"/>
  <c r="K36" i="30" s="1"/>
  <c r="BL9" i="36"/>
  <c r="AF23" i="28"/>
  <c r="AF22" i="28" s="1"/>
  <c r="N23" i="23"/>
  <c r="BL8" i="23" s="1"/>
  <c r="AI23" i="25"/>
  <c r="BL13" i="25" s="1"/>
  <c r="BL9" i="26"/>
  <c r="N23" i="30"/>
  <c r="BL6" i="30" s="1"/>
  <c r="T23" i="35"/>
  <c r="T22" i="35" s="1"/>
  <c r="K23" i="27"/>
  <c r="BL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10" i="28" s="1"/>
  <c r="AC23" i="27"/>
  <c r="AC22" i="27" s="1"/>
  <c r="AC35" i="27" s="1"/>
  <c r="H36" i="34"/>
  <c r="N23" i="36"/>
  <c r="BL6" i="36" s="1"/>
  <c r="H36" i="21"/>
  <c r="AI23" i="34"/>
  <c r="AI22" i="34" s="1"/>
  <c r="T23" i="23"/>
  <c r="T22" i="23" s="1"/>
  <c r="W22" i="30"/>
  <c r="W35" i="30" s="1"/>
  <c r="K23" i="26"/>
  <c r="BL5" i="26" s="1"/>
  <c r="Z23" i="36"/>
  <c r="Z36" i="36" s="1"/>
  <c r="H22" i="26"/>
  <c r="H35" i="26" s="1"/>
  <c r="AF23" i="33"/>
  <c r="AF36" i="33" s="1"/>
  <c r="AF23" i="27"/>
  <c r="BL12" i="27" s="1"/>
  <c r="AF23" i="25"/>
  <c r="AF36" i="25" s="1"/>
  <c r="AO23" i="27"/>
  <c r="BL15" i="27" s="1"/>
  <c r="AC23" i="28"/>
  <c r="AC36" i="28" s="1"/>
  <c r="AC23" i="31"/>
  <c r="AC22" i="31" s="1"/>
  <c r="BK11" i="31" s="1"/>
  <c r="AL23" i="31"/>
  <c r="BL14" i="31" s="1"/>
  <c r="AL23" i="35"/>
  <c r="AL22" i="35" s="1"/>
  <c r="AL35" i="35" s="1"/>
  <c r="AC23" i="34"/>
  <c r="BL11" i="34" s="1"/>
  <c r="H22" i="34"/>
  <c r="BK4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12" i="24" s="1"/>
  <c r="AO23" i="24"/>
  <c r="BL15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H36" i="29"/>
  <c r="AI23" i="30"/>
  <c r="AI22" i="30" s="1"/>
  <c r="AI23" i="29"/>
  <c r="BL13" i="29" s="1"/>
  <c r="AI23" i="23"/>
  <c r="AI36" i="23" s="1"/>
  <c r="AI23" i="24"/>
  <c r="AI36" i="24" s="1"/>
  <c r="T23" i="26"/>
  <c r="T36" i="26" s="1"/>
  <c r="T23" i="29"/>
  <c r="BL8" i="29" s="1"/>
  <c r="T23" i="24"/>
  <c r="BL8" i="24" s="1"/>
  <c r="K23" i="21"/>
  <c r="K36" i="21" s="1"/>
  <c r="K23" i="25"/>
  <c r="BL5" i="25" s="1"/>
  <c r="Z23" i="31"/>
  <c r="Z22" i="31" s="1"/>
  <c r="H22" i="25"/>
  <c r="H35" i="25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5" i="31" s="1"/>
  <c r="AO23" i="28"/>
  <c r="BL15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4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AL22" i="30"/>
  <c r="AL35" i="30" s="1"/>
  <c r="AL36" i="30"/>
  <c r="V58" i="21"/>
  <c r="AC22" i="25"/>
  <c r="BK11" i="25" s="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BL11" i="25"/>
  <c r="AC36" i="33"/>
  <c r="AC36" i="30"/>
  <c r="AC22" i="33"/>
  <c r="AC35" i="33" s="1"/>
  <c r="BL11" i="30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O22" i="23"/>
  <c r="BK6" i="23" s="1"/>
  <c r="AN22" i="16"/>
  <c r="AO36" i="20"/>
  <c r="BL11" i="20"/>
  <c r="AO36" i="23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K36" i="36"/>
  <c r="BL5" i="36"/>
  <c r="K22" i="36"/>
  <c r="Z22" i="1"/>
  <c r="Z36" i="1"/>
  <c r="BL7" i="1"/>
  <c r="BK7" i="26"/>
  <c r="Q35" i="26"/>
  <c r="BK8" i="20"/>
  <c r="Q35" i="20"/>
  <c r="BK6" i="1"/>
  <c r="AO35" i="1"/>
  <c r="H35" i="28"/>
  <c r="BK4" i="28"/>
  <c r="BK7" i="35"/>
  <c r="Q35" i="35"/>
  <c r="AF22" i="1"/>
  <c r="AF36" i="1"/>
  <c r="BL9" i="1"/>
  <c r="BL5" i="20"/>
  <c r="AF22" i="20"/>
  <c r="AF36" i="20"/>
  <c r="BE8" i="1"/>
  <c r="AF4" i="16"/>
  <c r="BE12" i="1"/>
  <c r="N4" i="16"/>
  <c r="BK10" i="23"/>
  <c r="Q35" i="23"/>
  <c r="W35" i="25"/>
  <c r="BK9" i="25"/>
  <c r="W35" i="21"/>
  <c r="BK7" i="36"/>
  <c r="Q35" i="36"/>
  <c r="BK4" i="20"/>
  <c r="H35" i="20"/>
  <c r="K36" i="20"/>
  <c r="K22" i="20"/>
  <c r="BL15" i="20"/>
  <c r="BK7" i="32"/>
  <c r="Q35" i="32"/>
  <c r="CE21" i="16"/>
  <c r="Y22" i="16"/>
  <c r="W35" i="1"/>
  <c r="BK11" i="1"/>
  <c r="Q35" i="24"/>
  <c r="BK7" i="24"/>
  <c r="BE15" i="1"/>
  <c r="E4" i="16"/>
  <c r="BE4" i="1"/>
  <c r="H4" i="16"/>
  <c r="BE14" i="1"/>
  <c r="Z4" i="16"/>
  <c r="BK4" i="32"/>
  <c r="H35" i="32"/>
  <c r="H35" i="29"/>
  <c r="BK4" i="29"/>
  <c r="BK13" i="20"/>
  <c r="W35" i="20"/>
  <c r="AI22" i="31"/>
  <c r="BL13" i="31"/>
  <c r="AI36" i="31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30"/>
  <c r="BK11" i="3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H35" i="24"/>
  <c r="BK4" i="24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BK7" i="27" l="1"/>
  <c r="BK4" i="27"/>
  <c r="W35" i="33"/>
  <c r="Q35" i="31"/>
  <c r="H35" i="36"/>
  <c r="BK9" i="35"/>
  <c r="BK9" i="32"/>
  <c r="W35" i="34"/>
  <c r="H35" i="23"/>
  <c r="AF22" i="32"/>
  <c r="BK12" i="32" s="1"/>
  <c r="W35" i="23"/>
  <c r="BL10" i="35"/>
  <c r="Q35" i="33"/>
  <c r="AL22" i="24"/>
  <c r="BK14" i="24" s="1"/>
  <c r="BK9" i="24"/>
  <c r="AC36" i="26"/>
  <c r="AI36" i="33"/>
  <c r="BL12" i="26"/>
  <c r="AL22" i="25"/>
  <c r="AL35" i="25" s="1"/>
  <c r="AF22" i="30"/>
  <c r="BK12" i="30" s="1"/>
  <c r="BK4" i="30"/>
  <c r="Z36" i="29"/>
  <c r="Z22" i="29"/>
  <c r="BK10" i="29" s="1"/>
  <c r="T36" i="36"/>
  <c r="H35" i="33"/>
  <c r="BK7" i="25"/>
  <c r="BL12" i="30"/>
  <c r="Z22" i="33"/>
  <c r="Z35" i="33" s="1"/>
  <c r="AF36" i="21"/>
  <c r="W35" i="28"/>
  <c r="BL10" i="33"/>
  <c r="T36" i="33"/>
  <c r="T22" i="31"/>
  <c r="T35" i="31" s="1"/>
  <c r="BL8" i="33"/>
  <c r="K36" i="35"/>
  <c r="BL11" i="29"/>
  <c r="BL12" i="36"/>
  <c r="BK4" i="31"/>
  <c r="BK7" i="28"/>
  <c r="BL12" i="31"/>
  <c r="AF36" i="36"/>
  <c r="K36" i="31"/>
  <c r="AF36" i="32"/>
  <c r="BK9" i="29"/>
  <c r="Z36" i="32"/>
  <c r="AC22" i="26"/>
  <c r="AC35" i="26" s="1"/>
  <c r="N36" i="36"/>
  <c r="W35" i="31"/>
  <c r="Z22" i="30"/>
  <c r="BK10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5" i="28"/>
  <c r="AI36" i="27"/>
  <c r="Z36" i="35"/>
  <c r="K36" i="28"/>
  <c r="T36" i="21"/>
  <c r="AI36" i="32"/>
  <c r="BL6" i="27"/>
  <c r="AF36" i="27"/>
  <c r="BL13" i="26"/>
  <c r="AI36" i="26"/>
  <c r="Q35" i="30"/>
  <c r="BL8" i="30"/>
  <c r="N36" i="32"/>
  <c r="T22" i="30"/>
  <c r="BK8" i="30" s="1"/>
  <c r="BL6" i="25"/>
  <c r="AF22" i="31"/>
  <c r="BK12" i="31" s="1"/>
  <c r="K36" i="27"/>
  <c r="N22" i="32"/>
  <c r="BK6" i="32" s="1"/>
  <c r="BL5" i="34"/>
  <c r="AF22" i="34"/>
  <c r="BK12" i="34" s="1"/>
  <c r="AI36" i="36"/>
  <c r="AO35" i="31"/>
  <c r="N36" i="29"/>
  <c r="BL15" i="23"/>
  <c r="BL6" i="28"/>
  <c r="AF36" i="26"/>
  <c r="BL11" i="21"/>
  <c r="AO36" i="25"/>
  <c r="BK7" i="34"/>
  <c r="AF22" i="27"/>
  <c r="BK12" i="27" s="1"/>
  <c r="BL5" i="33"/>
  <c r="BK9" i="36"/>
  <c r="AC35" i="31"/>
  <c r="N36" i="23"/>
  <c r="BL13" i="27"/>
  <c r="N22" i="27"/>
  <c r="BK6" i="27" s="1"/>
  <c r="BK15" i="25"/>
  <c r="K36" i="23"/>
  <c r="T36" i="35"/>
  <c r="BL6" i="33"/>
  <c r="AI36" i="35"/>
  <c r="N22" i="28"/>
  <c r="N35" i="28" s="1"/>
  <c r="Z36" i="28"/>
  <c r="W35" i="26"/>
  <c r="BK4" i="35"/>
  <c r="BL8" i="36"/>
  <c r="AI36" i="21"/>
  <c r="N22" i="23"/>
  <c r="BK8" i="23" s="1"/>
  <c r="N22" i="24"/>
  <c r="BK6" i="24" s="1"/>
  <c r="N36" i="30"/>
  <c r="BL14" i="29"/>
  <c r="BL10" i="27"/>
  <c r="BL8" i="35"/>
  <c r="BL13" i="32"/>
  <c r="BL12" i="28"/>
  <c r="Z22" i="28"/>
  <c r="Z35" i="28" s="1"/>
  <c r="BK11" i="27"/>
  <c r="AL35" i="32"/>
  <c r="AI22" i="21"/>
  <c r="BK5" i="21" s="1"/>
  <c r="BL12" i="35"/>
  <c r="AI36" i="28"/>
  <c r="N22" i="30"/>
  <c r="N35" i="30" s="1"/>
  <c r="BL15" i="25"/>
  <c r="AL22" i="26"/>
  <c r="AL35" i="26" s="1"/>
  <c r="BL13" i="21"/>
  <c r="N36" i="33"/>
  <c r="BL12" i="25"/>
  <c r="BL13" i="35"/>
  <c r="Z22" i="23"/>
  <c r="Z35" i="23" s="1"/>
  <c r="AF22" i="35"/>
  <c r="BK12" i="35" s="1"/>
  <c r="Z36" i="27"/>
  <c r="BL15" i="33"/>
  <c r="BL14" i="26"/>
  <c r="AC36" i="27"/>
  <c r="BL14" i="24"/>
  <c r="BL11" i="27"/>
  <c r="AI36" i="25"/>
  <c r="BL12" i="34"/>
  <c r="K22" i="26"/>
  <c r="K35" i="26" s="1"/>
  <c r="BL8" i="26"/>
  <c r="BL13" i="28"/>
  <c r="H35" i="34"/>
  <c r="BL11" i="35"/>
  <c r="K36" i="29"/>
  <c r="AF22" i="24"/>
  <c r="BK12" i="24" s="1"/>
  <c r="K22" i="30"/>
  <c r="K35" i="30" s="1"/>
  <c r="AO22" i="21"/>
  <c r="BK6" i="21" s="1"/>
  <c r="BL11" i="24"/>
  <c r="K36" i="24"/>
  <c r="BL8" i="31"/>
  <c r="N22" i="36"/>
  <c r="N35" i="36" s="1"/>
  <c r="Z22" i="34"/>
  <c r="BK10" i="34" s="1"/>
  <c r="BL5" i="35"/>
  <c r="K22" i="21"/>
  <c r="K35" i="21" s="1"/>
  <c r="AO22" i="24"/>
  <c r="BK15" i="24" s="1"/>
  <c r="AO22" i="36"/>
  <c r="BK15" i="36" s="1"/>
  <c r="BL11" i="28"/>
  <c r="AF36" i="29"/>
  <c r="BL5" i="24"/>
  <c r="AF22" i="33"/>
  <c r="BK12" i="33" s="1"/>
  <c r="Z36" i="34"/>
  <c r="BL5" i="32"/>
  <c r="BK9" i="30"/>
  <c r="BL15" i="21"/>
  <c r="AC22" i="29"/>
  <c r="AC35" i="29" s="1"/>
  <c r="BL5" i="31"/>
  <c r="BL12" i="33"/>
  <c r="BL6" i="31"/>
  <c r="K36" i="32"/>
  <c r="AI22" i="24"/>
  <c r="AI35" i="24" s="1"/>
  <c r="N22" i="25"/>
  <c r="BK6" i="25" s="1"/>
  <c r="BL11" i="32"/>
  <c r="AC36" i="32"/>
  <c r="K22" i="27"/>
  <c r="BK5" i="27" s="1"/>
  <c r="AI22" i="25"/>
  <c r="AI35" i="25" s="1"/>
  <c r="BL6" i="29"/>
  <c r="BL5" i="30"/>
  <c r="Q35" i="29"/>
  <c r="AI22" i="36"/>
  <c r="AI35" i="36" s="1"/>
  <c r="AO22" i="32"/>
  <c r="AO35" i="32" s="1"/>
  <c r="AC36" i="21"/>
  <c r="BL8" i="27"/>
  <c r="AO36" i="35"/>
  <c r="AC36" i="36"/>
  <c r="BL14" i="36"/>
  <c r="T36" i="32"/>
  <c r="BK4" i="26"/>
  <c r="N22" i="26"/>
  <c r="BK6" i="26" s="1"/>
  <c r="T36" i="23"/>
  <c r="BL5" i="23"/>
  <c r="AL35" i="33"/>
  <c r="BL12" i="29"/>
  <c r="AC35" i="32"/>
  <c r="K22" i="34"/>
  <c r="K35" i="34" s="1"/>
  <c r="BL8" i="28"/>
  <c r="N36" i="31"/>
  <c r="Z22" i="32"/>
  <c r="BK10" i="32" s="1"/>
  <c r="BL13" i="24"/>
  <c r="BL13" i="30"/>
  <c r="BL10" i="26"/>
  <c r="BK15" i="26"/>
  <c r="BL15" i="26"/>
  <c r="AO36" i="31"/>
  <c r="BL15" i="36"/>
  <c r="AO36" i="26"/>
  <c r="AC36" i="34"/>
  <c r="BL14" i="25"/>
  <c r="Z22" i="26"/>
  <c r="BK10" i="26" s="1"/>
  <c r="BL10" i="25"/>
  <c r="T22" i="28"/>
  <c r="T35" i="28" s="1"/>
  <c r="AI36" i="30"/>
  <c r="BL10" i="24"/>
  <c r="K22" i="25"/>
  <c r="K35" i="25" s="1"/>
  <c r="BL15" i="31"/>
  <c r="BL15" i="34"/>
  <c r="BL6" i="21"/>
  <c r="AO36" i="28"/>
  <c r="AO36" i="24"/>
  <c r="AC22" i="34"/>
  <c r="AC35" i="34" s="1"/>
  <c r="AC22" i="28"/>
  <c r="BK11" i="28" s="1"/>
  <c r="AL22" i="27"/>
  <c r="AL35" i="27" s="1"/>
  <c r="T22" i="32"/>
  <c r="T35" i="32" s="1"/>
  <c r="BK4" i="25"/>
  <c r="BL5" i="29"/>
  <c r="BK9" i="21"/>
  <c r="BL6" i="26"/>
  <c r="BL13" i="23"/>
  <c r="AI22" i="23"/>
  <c r="BK5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8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12" i="25" s="1"/>
  <c r="BL10" i="36"/>
  <c r="AI36" i="29"/>
  <c r="Z36" i="25"/>
  <c r="BL13" i="34"/>
  <c r="Z22" i="36"/>
  <c r="Z35" i="36" s="1"/>
  <c r="BL11" i="23"/>
  <c r="K36" i="26"/>
  <c r="BK14" i="29"/>
  <c r="AI22" i="29"/>
  <c r="AI35" i="29" s="1"/>
  <c r="N22" i="35"/>
  <c r="N35" i="35" s="1"/>
  <c r="K36" i="25"/>
  <c r="T22" i="29"/>
  <c r="BK8" i="29" s="1"/>
  <c r="T22" i="26"/>
  <c r="BK8" i="26" s="1"/>
  <c r="BL6" i="24"/>
  <c r="BK15" i="30"/>
  <c r="BL15" i="29"/>
  <c r="AO36" i="33"/>
  <c r="AC36" i="23"/>
  <c r="AC36" i="31"/>
  <c r="BL11" i="31"/>
  <c r="AL36" i="33"/>
  <c r="BL14" i="33"/>
  <c r="BL14" i="34"/>
  <c r="BL14" i="27"/>
  <c r="AL36" i="29"/>
  <c r="Z36" i="31"/>
  <c r="T22" i="25"/>
  <c r="BK8" i="25" s="1"/>
  <c r="AF36" i="23"/>
  <c r="BK15" i="33"/>
  <c r="AO22" i="34"/>
  <c r="BK15" i="34" s="1"/>
  <c r="AO22" i="28"/>
  <c r="BK15" i="28" s="1"/>
  <c r="AC22" i="23"/>
  <c r="AC35" i="23" s="1"/>
  <c r="AL22" i="34"/>
  <c r="BK14" i="34" s="1"/>
  <c r="AL22" i="31"/>
  <c r="AL35" i="31" s="1"/>
  <c r="BK6" i="16"/>
  <c r="CO6" i="16"/>
  <c r="BL10" i="31"/>
  <c r="BL8" i="25"/>
  <c r="BL7" i="23"/>
  <c r="Z22" i="24"/>
  <c r="Z35" i="24" s="1"/>
  <c r="T36" i="29"/>
  <c r="AO36" i="30"/>
  <c r="BL4" i="21"/>
  <c r="AL22" i="23"/>
  <c r="AL35" i="23" s="1"/>
  <c r="CF6" i="16"/>
  <c r="BZ6" i="16"/>
  <c r="CL6" i="16"/>
  <c r="CC6" i="16"/>
  <c r="BL15" i="30"/>
  <c r="BN6" i="16"/>
  <c r="AO22" i="29"/>
  <c r="BK15" i="29" s="1"/>
  <c r="AL36" i="32"/>
  <c r="AL22" i="21"/>
  <c r="AL35" i="21" s="1"/>
  <c r="BL14" i="32"/>
  <c r="AL22" i="36"/>
  <c r="AL35" i="36" s="1"/>
  <c r="BW6" i="16"/>
  <c r="AL22" i="28"/>
  <c r="AL36" i="28"/>
  <c r="BL14" i="28"/>
  <c r="CI6" i="16"/>
  <c r="CR6" i="16"/>
  <c r="BQ6" i="16"/>
  <c r="BK14" i="30"/>
  <c r="AC35" i="20"/>
  <c r="AC35" i="25"/>
  <c r="BK11" i="33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O35" i="23"/>
  <c r="AC21" i="16"/>
  <c r="AY44" i="16" s="1"/>
  <c r="Z21" i="16"/>
  <c r="AY43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13" i="27"/>
  <c r="BS4" i="16"/>
  <c r="BR8" i="1"/>
  <c r="BS8" i="1" s="1"/>
  <c r="AF35" i="29"/>
  <c r="BK12" i="29"/>
  <c r="BK9" i="20"/>
  <c r="AI35" i="20"/>
  <c r="BK6" i="33"/>
  <c r="N35" i="33"/>
  <c r="CQ4" i="16"/>
  <c r="BR5" i="1"/>
  <c r="BS5" i="1" s="1"/>
  <c r="CT4" i="16"/>
  <c r="BR6" i="1"/>
  <c r="BS6" i="1" s="1"/>
  <c r="Z35" i="31"/>
  <c r="BK10" i="31"/>
  <c r="E21" i="16"/>
  <c r="AI21" i="16"/>
  <c r="N21" i="16"/>
  <c r="AL21" i="16"/>
  <c r="K21" i="16"/>
  <c r="Q21" i="16"/>
  <c r="BK5" i="29"/>
  <c r="K35" i="29"/>
  <c r="BK6" i="31"/>
  <c r="N35" i="31"/>
  <c r="T21" i="16"/>
  <c r="AF35" i="26"/>
  <c r="BK12" i="26"/>
  <c r="W21" i="16"/>
  <c r="BK5" i="32"/>
  <c r="K35" i="32"/>
  <c r="T35" i="23"/>
  <c r="BK13" i="23"/>
  <c r="BK8" i="21"/>
  <c r="N35" i="21"/>
  <c r="BK7" i="21"/>
  <c r="AF35" i="21"/>
  <c r="BK13" i="26"/>
  <c r="AI35" i="26"/>
  <c r="BK14" i="20"/>
  <c r="Z35" i="20"/>
  <c r="H21" i="16"/>
  <c r="BK5" i="33"/>
  <c r="K35" i="33"/>
  <c r="AF21" i="16"/>
  <c r="BK13" i="32"/>
  <c r="AI35" i="32"/>
  <c r="BP4" i="16"/>
  <c r="H27" i="16"/>
  <c r="BR4" i="1"/>
  <c r="BS4" i="1" s="1"/>
  <c r="BR5" i="33"/>
  <c r="BS5" i="33" s="1"/>
  <c r="BR5" i="28"/>
  <c r="BS5" i="28" s="1"/>
  <c r="BR5" i="30"/>
  <c r="BS5" i="30" s="1"/>
  <c r="BR5" i="31"/>
  <c r="BS5" i="31" s="1"/>
  <c r="BR5" i="32"/>
  <c r="BS5" i="32" s="1"/>
  <c r="BR5" i="35"/>
  <c r="BS5" i="35" s="1"/>
  <c r="BR5" i="20"/>
  <c r="BS5" i="20" s="1"/>
  <c r="BR5" i="23"/>
  <c r="BS5" i="23" s="1"/>
  <c r="BR5" i="24"/>
  <c r="BS5" i="24" s="1"/>
  <c r="BR5" i="29"/>
  <c r="BS5" i="29" s="1"/>
  <c r="H22" i="16"/>
  <c r="BN42" i="16" s="1"/>
  <c r="H23" i="16"/>
  <c r="AW34" i="16" s="1"/>
  <c r="AX34" i="16" s="1"/>
  <c r="H24" i="16"/>
  <c r="BR5" i="21"/>
  <c r="BS5" i="21" s="1"/>
  <c r="BR5" i="26"/>
  <c r="BS5" i="26" s="1"/>
  <c r="BR5" i="27"/>
  <c r="BS5" i="27" s="1"/>
  <c r="BR5" i="34"/>
  <c r="BS5" i="34" s="1"/>
  <c r="BR5" i="25"/>
  <c r="BS5" i="25" s="1"/>
  <c r="H25" i="16"/>
  <c r="BR5" i="36"/>
  <c r="BS5" i="36" s="1"/>
  <c r="AF35" i="36"/>
  <c r="BK12" i="36"/>
  <c r="AF35" i="23"/>
  <c r="BK7" i="23"/>
  <c r="K35" i="28"/>
  <c r="BK5" i="28"/>
  <c r="AI35" i="30"/>
  <c r="BK13" i="30"/>
  <c r="CN4" i="16"/>
  <c r="BR15" i="1"/>
  <c r="BS15" i="1" s="1"/>
  <c r="BK7" i="1"/>
  <c r="Z35" i="1"/>
  <c r="AI35" i="28"/>
  <c r="BK13" i="28"/>
  <c r="K35" i="24"/>
  <c r="BK5" i="24"/>
  <c r="BK13" i="21"/>
  <c r="T35" i="21"/>
  <c r="AI35" i="1"/>
  <c r="BK8" i="1"/>
  <c r="BK4" i="1"/>
  <c r="K35" i="1"/>
  <c r="T35" i="1"/>
  <c r="BK13" i="1"/>
  <c r="AI35" i="35"/>
  <c r="BK13" i="35"/>
  <c r="BK12" i="28"/>
  <c r="AF35" i="28"/>
  <c r="AF35" i="20"/>
  <c r="BK5" i="20"/>
  <c r="BK9" i="1"/>
  <c r="AF35" i="1"/>
  <c r="Z35" i="27"/>
  <c r="BK10" i="27"/>
  <c r="N35" i="1"/>
  <c r="BK10" i="1"/>
  <c r="Z35" i="25"/>
  <c r="BK10" i="25"/>
  <c r="K35" i="31"/>
  <c r="BK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3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AF35" i="32" l="1"/>
  <c r="Z35" i="30"/>
  <c r="AL35" i="24"/>
  <c r="BK8" i="31"/>
  <c r="AF35" i="35"/>
  <c r="V22" i="35" s="1"/>
  <c r="T35" i="30"/>
  <c r="BK14" i="27"/>
  <c r="BK11" i="36"/>
  <c r="BK11" i="26"/>
  <c r="BK11" i="34"/>
  <c r="BK11" i="21"/>
  <c r="BK14" i="25"/>
  <c r="AF35" i="30"/>
  <c r="AF35" i="34"/>
  <c r="Z35" i="29"/>
  <c r="BK10" i="33"/>
  <c r="BI4" i="33" s="1"/>
  <c r="N35" i="34"/>
  <c r="N35" i="27"/>
  <c r="AF35" i="27"/>
  <c r="BK13" i="36"/>
  <c r="BK5" i="26"/>
  <c r="BK8" i="34"/>
  <c r="Z35" i="32"/>
  <c r="BK6" i="28"/>
  <c r="BK6" i="30"/>
  <c r="K35" i="27"/>
  <c r="T35" i="25"/>
  <c r="N35" i="25"/>
  <c r="BK13" i="25"/>
  <c r="AF35" i="31"/>
  <c r="V22" i="31" s="1"/>
  <c r="BK10" i="28"/>
  <c r="AO35" i="29"/>
  <c r="N35" i="32"/>
  <c r="BK5" i="30"/>
  <c r="BK13" i="24"/>
  <c r="BK15" i="21"/>
  <c r="BK5" i="34"/>
  <c r="BK8" i="32"/>
  <c r="BK8" i="24"/>
  <c r="AI35" i="21"/>
  <c r="BK6" i="36"/>
  <c r="AO35" i="21"/>
  <c r="BK11" i="35"/>
  <c r="AO35" i="24"/>
  <c r="BK11" i="23"/>
  <c r="N35" i="24"/>
  <c r="AF35" i="24"/>
  <c r="N35" i="23"/>
  <c r="BK11" i="29"/>
  <c r="BK14" i="26"/>
  <c r="Z35" i="26"/>
  <c r="Z35" i="34"/>
  <c r="BK15" i="35"/>
  <c r="BK15" i="32"/>
  <c r="BI11" i="32" s="1"/>
  <c r="T35" i="29"/>
  <c r="AI35" i="23"/>
  <c r="AH22" i="23" s="1"/>
  <c r="BT8" i="23" s="1"/>
  <c r="AF35" i="33"/>
  <c r="AK22" i="33" s="1"/>
  <c r="N35" i="26"/>
  <c r="AO35" i="36"/>
  <c r="AB22" i="36" s="1"/>
  <c r="AC35" i="28"/>
  <c r="BK12" i="23"/>
  <c r="BK10" i="24"/>
  <c r="AF35" i="25"/>
  <c r="BK15" i="27"/>
  <c r="T35" i="26"/>
  <c r="BK13" i="29"/>
  <c r="BK5" i="25"/>
  <c r="BK10" i="36"/>
  <c r="BK6" i="35"/>
  <c r="T35" i="27"/>
  <c r="BK8" i="28"/>
  <c r="AO35" i="34"/>
  <c r="BK14" i="31"/>
  <c r="AL35" i="34"/>
  <c r="AC35" i="21"/>
  <c r="BK4" i="21"/>
  <c r="BK11" i="24"/>
  <c r="AO35" i="28"/>
  <c r="BK14" i="36"/>
  <c r="AL35" i="28"/>
  <c r="BK14" i="28"/>
  <c r="BK4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44" i="16"/>
  <c r="BA43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5" i="16"/>
  <c r="AY35" i="16"/>
  <c r="BA42" i="16"/>
  <c r="BB42" i="16" s="1"/>
  <c r="AY42" i="16"/>
  <c r="BN4" i="16"/>
  <c r="AK22" i="1"/>
  <c r="AH22" i="20"/>
  <c r="S22" i="20"/>
  <c r="BI15" i="20"/>
  <c r="AE22" i="1"/>
  <c r="S22" i="1"/>
  <c r="J22" i="1"/>
  <c r="AB22" i="1"/>
  <c r="BI4" i="20"/>
  <c r="BA41" i="16"/>
  <c r="BB41" i="16" s="1"/>
  <c r="AY41" i="16"/>
  <c r="BA36" i="16"/>
  <c r="AY36" i="16"/>
  <c r="BI9" i="20"/>
  <c r="BQ4" i="16"/>
  <c r="CI4" i="16"/>
  <c r="AY40" i="16"/>
  <c r="BA40" i="16"/>
  <c r="BB40" i="16" s="1"/>
  <c r="CF4" i="16"/>
  <c r="BZ4" i="16"/>
  <c r="BI10" i="1"/>
  <c r="BI9" i="1"/>
  <c r="BI4" i="1"/>
  <c r="Y22" i="1"/>
  <c r="BI7" i="20"/>
  <c r="AY37" i="16"/>
  <c r="BA37" i="16"/>
  <c r="BA34" i="16"/>
  <c r="AY34" i="16"/>
  <c r="AY39" i="16"/>
  <c r="BA39" i="16"/>
  <c r="BB39" i="16" s="1"/>
  <c r="BA33" i="16"/>
  <c r="AY33" i="16"/>
  <c r="CO4" i="16"/>
  <c r="BI11" i="20"/>
  <c r="BI6" i="1"/>
  <c r="Y22" i="20"/>
  <c r="BA38" i="16"/>
  <c r="AY38" i="16"/>
  <c r="CR4" i="16"/>
  <c r="BI12" i="20"/>
  <c r="BI10" i="20"/>
  <c r="BI7" i="31" l="1"/>
  <c r="AK22" i="35"/>
  <c r="AK40" i="35" s="1"/>
  <c r="P22" i="35"/>
  <c r="P40" i="35" s="1"/>
  <c r="M22" i="35"/>
  <c r="BV6" i="35" s="1"/>
  <c r="BW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10" i="30" s="1"/>
  <c r="AK22" i="30"/>
  <c r="BT14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4" i="27"/>
  <c r="V22" i="30"/>
  <c r="BT9" i="30" s="1"/>
  <c r="AB22" i="30"/>
  <c r="BV11" i="30" s="1"/>
  <c r="BI9" i="21"/>
  <c r="AH22" i="30"/>
  <c r="BV13" i="30" s="1"/>
  <c r="S22" i="30"/>
  <c r="BT8" i="30" s="1"/>
  <c r="P22" i="30"/>
  <c r="P40" i="30" s="1"/>
  <c r="J22" i="30"/>
  <c r="BT5" i="30" s="1"/>
  <c r="G22" i="30"/>
  <c r="BV4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15" i="26"/>
  <c r="BI6" i="30"/>
  <c r="M22" i="31"/>
  <c r="BV6" i="31" s="1"/>
  <c r="BW6" i="31" s="1"/>
  <c r="Y22" i="31"/>
  <c r="Y40" i="31" s="1"/>
  <c r="AB22" i="31"/>
  <c r="AB40" i="31" s="1"/>
  <c r="AN22" i="31"/>
  <c r="BT15" i="31" s="1"/>
  <c r="BI14" i="30"/>
  <c r="AK22" i="32"/>
  <c r="AK40" i="32" s="1"/>
  <c r="BI13" i="26"/>
  <c r="BI4" i="26"/>
  <c r="AH22" i="31"/>
  <c r="AH40" i="31" s="1"/>
  <c r="BI5" i="26"/>
  <c r="J22" i="31"/>
  <c r="J40" i="31" s="1"/>
  <c r="AB22" i="32"/>
  <c r="BT11" i="32" s="1"/>
  <c r="BI9" i="26"/>
  <c r="BI10" i="26"/>
  <c r="Y22" i="32"/>
  <c r="BV10" i="32" s="1"/>
  <c r="BI7" i="26"/>
  <c r="G22" i="31"/>
  <c r="G40" i="31" s="1"/>
  <c r="AK22" i="31"/>
  <c r="AK40" i="31" s="1"/>
  <c r="BI7" i="34"/>
  <c r="G22" i="32"/>
  <c r="G40" i="32" s="1"/>
  <c r="BI11" i="30"/>
  <c r="S22" i="32"/>
  <c r="BT8" i="32" s="1"/>
  <c r="S22" i="31"/>
  <c r="BV8" i="31" s="1"/>
  <c r="BW8" i="31" s="1"/>
  <c r="BI12" i="26"/>
  <c r="AE22" i="31"/>
  <c r="AE40" i="31" s="1"/>
  <c r="P22" i="31"/>
  <c r="BV7" i="31" s="1"/>
  <c r="BW7" i="31" s="1"/>
  <c r="AH22" i="25"/>
  <c r="AH40" i="25" s="1"/>
  <c r="V22" i="32"/>
  <c r="BV9" i="32" s="1"/>
  <c r="BW9" i="32" s="1"/>
  <c r="BI10" i="30"/>
  <c r="BI14" i="31"/>
  <c r="BI12" i="31"/>
  <c r="BI5" i="31"/>
  <c r="AN22" i="33"/>
  <c r="AN40" i="33" s="1"/>
  <c r="BI5" i="25"/>
  <c r="J22" i="29"/>
  <c r="BT5" i="29" s="1"/>
  <c r="AK22" i="24"/>
  <c r="BT14" i="24" s="1"/>
  <c r="BI10" i="35"/>
  <c r="J22" i="25"/>
  <c r="J40" i="25" s="1"/>
  <c r="BI14" i="34"/>
  <c r="BI7" i="30"/>
  <c r="AH22" i="33"/>
  <c r="BV13" i="33" s="1"/>
  <c r="BI12" i="30"/>
  <c r="BI5" i="34"/>
  <c r="BI8" i="30"/>
  <c r="BI13" i="30"/>
  <c r="AH22" i="32"/>
  <c r="AH40" i="32" s="1"/>
  <c r="BI4" i="30"/>
  <c r="BI15" i="30"/>
  <c r="S22" i="29"/>
  <c r="BT8" i="29" s="1"/>
  <c r="V22" i="25"/>
  <c r="BV9" i="25" s="1"/>
  <c r="BW9" i="25" s="1"/>
  <c r="M22" i="36"/>
  <c r="BT6" i="36" s="1"/>
  <c r="BI9" i="30"/>
  <c r="BI5" i="30"/>
  <c r="G22" i="29"/>
  <c r="BV4" i="29" s="1"/>
  <c r="P22" i="29"/>
  <c r="BT7" i="29" s="1"/>
  <c r="AN22" i="36"/>
  <c r="BV15" i="36" s="1"/>
  <c r="BI4" i="35"/>
  <c r="AK22" i="25"/>
  <c r="BT14" i="25" s="1"/>
  <c r="M22" i="29"/>
  <c r="BT6" i="29" s="1"/>
  <c r="BI4" i="31"/>
  <c r="AB22" i="33"/>
  <c r="BT11" i="33" s="1"/>
  <c r="BI9" i="31"/>
  <c r="BI8" i="31"/>
  <c r="BI13" i="35"/>
  <c r="BI11" i="35"/>
  <c r="BI13" i="28"/>
  <c r="BI9" i="23"/>
  <c r="M22" i="24"/>
  <c r="M40" i="24" s="1"/>
  <c r="BI5" i="35"/>
  <c r="V22" i="33"/>
  <c r="BV9" i="33" s="1"/>
  <c r="BW9" i="33" s="1"/>
  <c r="BI11" i="36"/>
  <c r="AB22" i="23"/>
  <c r="AB40" i="23" s="1"/>
  <c r="BI10" i="31"/>
  <c r="M22" i="33"/>
  <c r="M40" i="33" s="1"/>
  <c r="BI12" i="35"/>
  <c r="M22" i="32"/>
  <c r="BV6" i="32" s="1"/>
  <c r="BW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5" i="31"/>
  <c r="BI8" i="34"/>
  <c r="S22" i="33"/>
  <c r="BT8" i="33" s="1"/>
  <c r="BI11" i="31"/>
  <c r="BI6" i="35"/>
  <c r="BI11" i="34"/>
  <c r="G22" i="33"/>
  <c r="BT4" i="33" s="1"/>
  <c r="J22" i="33"/>
  <c r="BV5" i="33" s="1"/>
  <c r="BI11" i="28"/>
  <c r="J22" i="26"/>
  <c r="BT5" i="26" s="1"/>
  <c r="BI14" i="35"/>
  <c r="BI6" i="31"/>
  <c r="BI10" i="34"/>
  <c r="BI6" i="34"/>
  <c r="BI9" i="35"/>
  <c r="BI13" i="31"/>
  <c r="AE22" i="32"/>
  <c r="BV12" i="32" s="1"/>
  <c r="J22" i="32"/>
  <c r="J40" i="32" s="1"/>
  <c r="BI15" i="34"/>
  <c r="AN22" i="32"/>
  <c r="BV15" i="32" s="1"/>
  <c r="BI9" i="34"/>
  <c r="BI14" i="23"/>
  <c r="BI11" i="29"/>
  <c r="V22" i="21"/>
  <c r="BV13" i="21" s="1"/>
  <c r="BW13" i="21" s="1"/>
  <c r="AH22" i="29"/>
  <c r="BT13" i="29" s="1"/>
  <c r="AB22" i="29"/>
  <c r="AB40" i="29" s="1"/>
  <c r="BI15" i="35"/>
  <c r="AE22" i="29"/>
  <c r="BT12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4" i="26"/>
  <c r="Y22" i="24"/>
  <c r="BV10" i="24" s="1"/>
  <c r="BI11" i="26"/>
  <c r="AE22" i="24"/>
  <c r="AE40" i="24" s="1"/>
  <c r="V22" i="24"/>
  <c r="BV9" i="24" s="1"/>
  <c r="BW9" i="24" s="1"/>
  <c r="G22" i="24"/>
  <c r="BT4" i="24" s="1"/>
  <c r="BI6" i="26"/>
  <c r="BI15" i="29"/>
  <c r="BI8" i="26"/>
  <c r="BI11" i="25"/>
  <c r="BI6" i="36"/>
  <c r="G22" i="23"/>
  <c r="G40" i="23" s="1"/>
  <c r="G22" i="21"/>
  <c r="BV4" i="21" s="1"/>
  <c r="Y22" i="26"/>
  <c r="Y40" i="26" s="1"/>
  <c r="AN22" i="24"/>
  <c r="BV15" i="24" s="1"/>
  <c r="AK22" i="23"/>
  <c r="BT7" i="23" s="1"/>
  <c r="M22" i="25"/>
  <c r="BT6" i="25" s="1"/>
  <c r="BI10" i="21"/>
  <c r="AE22" i="36"/>
  <c r="BT12" i="36" s="1"/>
  <c r="Y22" i="23"/>
  <c r="BT6" i="23" s="1"/>
  <c r="Y22" i="25"/>
  <c r="BT10" i="25" s="1"/>
  <c r="AK22" i="36"/>
  <c r="BT14" i="36" s="1"/>
  <c r="V22" i="23"/>
  <c r="BV13" i="23" s="1"/>
  <c r="BW13" i="23" s="1"/>
  <c r="S22" i="23"/>
  <c r="S40" i="23" s="1"/>
  <c r="BI11" i="27"/>
  <c r="AN22" i="23"/>
  <c r="AN40" i="23" s="1"/>
  <c r="P22" i="24"/>
  <c r="BV7" i="24" s="1"/>
  <c r="BW7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1" i="26" s="1"/>
  <c r="AE22" i="23"/>
  <c r="AE40" i="23" s="1"/>
  <c r="BI10" i="27"/>
  <c r="AN22" i="29"/>
  <c r="BV15" i="29" s="1"/>
  <c r="J22" i="36"/>
  <c r="J40" i="36" s="1"/>
  <c r="Y22" i="29"/>
  <c r="Y40" i="29" s="1"/>
  <c r="AE22" i="25"/>
  <c r="BV12" i="25" s="1"/>
  <c r="S22" i="25"/>
  <c r="S40" i="25" s="1"/>
  <c r="AB22" i="25"/>
  <c r="BT11" i="25" s="1"/>
  <c r="G22" i="25"/>
  <c r="BV4" i="25" s="1"/>
  <c r="Y22" i="36"/>
  <c r="BV10" i="36" s="1"/>
  <c r="AH22" i="21"/>
  <c r="AH40" i="21" s="1"/>
  <c r="P22" i="23"/>
  <c r="BV11" i="23" s="1"/>
  <c r="BW11" i="23" s="1"/>
  <c r="J22" i="23"/>
  <c r="J40" i="23" s="1"/>
  <c r="AN22" i="25"/>
  <c r="BT15" i="25" s="1"/>
  <c r="BI9" i="28"/>
  <c r="S22" i="24"/>
  <c r="S40" i="24" s="1"/>
  <c r="BI9" i="27"/>
  <c r="BI14" i="25"/>
  <c r="AN22" i="27"/>
  <c r="BV15" i="27" s="1"/>
  <c r="BI9" i="32"/>
  <c r="BI11" i="24"/>
  <c r="BI5" i="32"/>
  <c r="Y22" i="27"/>
  <c r="BT10" i="27" s="1"/>
  <c r="P22" i="26"/>
  <c r="BV7" i="26" s="1"/>
  <c r="BW7" i="26" s="1"/>
  <c r="G22" i="27"/>
  <c r="BV4" i="27" s="1"/>
  <c r="BB37" i="16"/>
  <c r="BI5" i="23"/>
  <c r="BI9" i="24"/>
  <c r="BI7" i="23"/>
  <c r="AH22" i="26"/>
  <c r="BT13" i="26" s="1"/>
  <c r="BI15" i="32"/>
  <c r="BI4" i="29"/>
  <c r="BI14" i="29"/>
  <c r="BI11" i="23"/>
  <c r="BI7" i="32"/>
  <c r="BI7" i="24"/>
  <c r="AH22" i="27"/>
  <c r="AH40" i="27" s="1"/>
  <c r="AE22" i="26"/>
  <c r="BV12" i="26" s="1"/>
  <c r="BI8" i="29"/>
  <c r="BI15" i="23"/>
  <c r="BI12" i="24"/>
  <c r="S22" i="26"/>
  <c r="BV8" i="26" s="1"/>
  <c r="BW8" i="26" s="1"/>
  <c r="M22" i="27"/>
  <c r="BT6" i="27" s="1"/>
  <c r="BI13" i="23"/>
  <c r="AH22" i="34"/>
  <c r="BV13" i="34" s="1"/>
  <c r="G22" i="26"/>
  <c r="BV4" i="26" s="1"/>
  <c r="AK22" i="27"/>
  <c r="AK40" i="27" s="1"/>
  <c r="BI6" i="32"/>
  <c r="BI5" i="24"/>
  <c r="BI10" i="32"/>
  <c r="BI12" i="32"/>
  <c r="BI13" i="32"/>
  <c r="J22" i="27"/>
  <c r="BT5" i="27" s="1"/>
  <c r="BI4" i="32"/>
  <c r="BI10" i="24"/>
  <c r="AN22" i="26"/>
  <c r="BT15" i="26" s="1"/>
  <c r="BI6" i="29"/>
  <c r="Y22" i="28"/>
  <c r="BT10" i="28" s="1"/>
  <c r="AE22" i="34"/>
  <c r="AE40" i="34" s="1"/>
  <c r="BI12" i="36"/>
  <c r="AH22" i="28"/>
  <c r="AH40" i="28" s="1"/>
  <c r="BI12" i="29"/>
  <c r="BI13" i="29"/>
  <c r="BI5" i="29"/>
  <c r="BI8" i="23"/>
  <c r="S22" i="27"/>
  <c r="BT8" i="27" s="1"/>
  <c r="BI6" i="23"/>
  <c r="BI10" i="29"/>
  <c r="M22" i="26"/>
  <c r="BV6" i="26" s="1"/>
  <c r="BW6" i="26" s="1"/>
  <c r="BI14" i="32"/>
  <c r="BI15" i="24"/>
  <c r="P22" i="27"/>
  <c r="BT7" i="27" s="1"/>
  <c r="BI9" i="29"/>
  <c r="AK22" i="26"/>
  <c r="BV14" i="26" s="1"/>
  <c r="BI14" i="24"/>
  <c r="BI8" i="32"/>
  <c r="V22" i="26"/>
  <c r="BT9" i="26" s="1"/>
  <c r="BI12" i="28"/>
  <c r="BI13" i="27"/>
  <c r="BI6" i="21"/>
  <c r="BI5" i="27"/>
  <c r="BI4" i="23"/>
  <c r="BI8" i="36"/>
  <c r="BI7" i="29"/>
  <c r="V22" i="27"/>
  <c r="BT9" i="27" s="1"/>
  <c r="BI10" i="23"/>
  <c r="BI4" i="24"/>
  <c r="AB22" i="27"/>
  <c r="BV11" i="27" s="1"/>
  <c r="BI8" i="27"/>
  <c r="BI14" i="27"/>
  <c r="BI10" i="36"/>
  <c r="BI6" i="27"/>
  <c r="BI9" i="36"/>
  <c r="BI7" i="36"/>
  <c r="BI14" i="36"/>
  <c r="BI12" i="27"/>
  <c r="BI13" i="24"/>
  <c r="BI15" i="27"/>
  <c r="BI7" i="27"/>
  <c r="BI12" i="23"/>
  <c r="BI8" i="24"/>
  <c r="BI15" i="28"/>
  <c r="BI7" i="25"/>
  <c r="BI15" i="25"/>
  <c r="BI6" i="25"/>
  <c r="BI10" i="25"/>
  <c r="AK22" i="21"/>
  <c r="BV7" i="21" s="1"/>
  <c r="J22" i="21"/>
  <c r="BV5" i="21" s="1"/>
  <c r="BI7" i="28"/>
  <c r="BI8" i="25"/>
  <c r="P22" i="21"/>
  <c r="BT11" i="21" s="1"/>
  <c r="M22" i="21"/>
  <c r="M40" i="21" s="1"/>
  <c r="BI9" i="25"/>
  <c r="AE22" i="21"/>
  <c r="BV15" i="21" s="1"/>
  <c r="BI5" i="28"/>
  <c r="Y22" i="21"/>
  <c r="Y40" i="21" s="1"/>
  <c r="BI4" i="25"/>
  <c r="BI13" i="25"/>
  <c r="S22" i="21"/>
  <c r="BT12" i="21" s="1"/>
  <c r="AB22" i="21"/>
  <c r="BT14" i="21" s="1"/>
  <c r="BI14" i="28"/>
  <c r="BI5" i="36"/>
  <c r="BI12" i="25"/>
  <c r="BI8" i="28"/>
  <c r="BI4" i="36"/>
  <c r="BI15" i="36"/>
  <c r="BI13" i="36"/>
  <c r="BI6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15" i="28" s="1"/>
  <c r="V22" i="34"/>
  <c r="BT9" i="34" s="1"/>
  <c r="AE22" i="28"/>
  <c r="BT12" i="28" s="1"/>
  <c r="G22" i="34"/>
  <c r="G40" i="34" s="1"/>
  <c r="BI4" i="28"/>
  <c r="BB33" i="16"/>
  <c r="AK22" i="28"/>
  <c r="AK40" i="28" s="1"/>
  <c r="G22" i="28"/>
  <c r="BV4" i="28" s="1"/>
  <c r="M22" i="28"/>
  <c r="M40" i="28" s="1"/>
  <c r="P22" i="28"/>
  <c r="BV7" i="28" s="1"/>
  <c r="BW7" i="28" s="1"/>
  <c r="S22" i="28"/>
  <c r="BT8" i="28" s="1"/>
  <c r="J22" i="28"/>
  <c r="BV5" i="28" s="1"/>
  <c r="AB22" i="28"/>
  <c r="BV11" i="28" s="1"/>
  <c r="BI10" i="28"/>
  <c r="CN5" i="16"/>
  <c r="BR13" i="35"/>
  <c r="BS13" i="35" s="1"/>
  <c r="BR13" i="20"/>
  <c r="BS13" i="20" s="1"/>
  <c r="AF24" i="16"/>
  <c r="BR13" i="27"/>
  <c r="BS13" i="27" s="1"/>
  <c r="AF25" i="16"/>
  <c r="BR13" i="29"/>
  <c r="BS13" i="29" s="1"/>
  <c r="AF23" i="16"/>
  <c r="AW37" i="16" s="1"/>
  <c r="AX37" i="16" s="1"/>
  <c r="BR13" i="26"/>
  <c r="BS13" i="26" s="1"/>
  <c r="BR13" i="25"/>
  <c r="BS13" i="25" s="1"/>
  <c r="BR13" i="24"/>
  <c r="BS13" i="24" s="1"/>
  <c r="BR13" i="32"/>
  <c r="BS13" i="32" s="1"/>
  <c r="BR13" i="31"/>
  <c r="BS13" i="31" s="1"/>
  <c r="BR8" i="21"/>
  <c r="BS8" i="21" s="1"/>
  <c r="BR13" i="30"/>
  <c r="BS13" i="30" s="1"/>
  <c r="BR8" i="23"/>
  <c r="BS8" i="23" s="1"/>
  <c r="BR13" i="36"/>
  <c r="BS13" i="36" s="1"/>
  <c r="AF27" i="16"/>
  <c r="BR13" i="33"/>
  <c r="BS13" i="33" s="1"/>
  <c r="AF22" i="16"/>
  <c r="CL42" i="16" s="1"/>
  <c r="BR13" i="28"/>
  <c r="BS13" i="28" s="1"/>
  <c r="BR13" i="34"/>
  <c r="BS13" i="34" s="1"/>
  <c r="CE5" i="16"/>
  <c r="BR10" i="25"/>
  <c r="BS10" i="25" s="1"/>
  <c r="BR10" i="28"/>
  <c r="BS10" i="28" s="1"/>
  <c r="BR10" i="32"/>
  <c r="BS10" i="32" s="1"/>
  <c r="BR6" i="21"/>
  <c r="BS6" i="21" s="1"/>
  <c r="W23" i="16"/>
  <c r="AW35" i="16" s="1"/>
  <c r="AX35" i="16" s="1"/>
  <c r="BR10" i="34"/>
  <c r="BS10" i="34" s="1"/>
  <c r="BR6" i="23"/>
  <c r="BS6" i="23" s="1"/>
  <c r="BR10" i="30"/>
  <c r="BS10" i="30" s="1"/>
  <c r="BR10" i="33"/>
  <c r="BS10" i="33" s="1"/>
  <c r="W25" i="16"/>
  <c r="BR11" i="20"/>
  <c r="BS11" i="20" s="1"/>
  <c r="W22" i="16"/>
  <c r="CC42" i="16" s="1"/>
  <c r="W27" i="16"/>
  <c r="BR10" i="29"/>
  <c r="BS10" i="29" s="1"/>
  <c r="BR10" i="35"/>
  <c r="BS10" i="35" s="1"/>
  <c r="BR10" i="31"/>
  <c r="BS10" i="31" s="1"/>
  <c r="BR10" i="26"/>
  <c r="BS10" i="26" s="1"/>
  <c r="BR10" i="24"/>
  <c r="BS10" i="24" s="1"/>
  <c r="BR10" i="27"/>
  <c r="BS10" i="27" s="1"/>
  <c r="BR10" i="36"/>
  <c r="BS10" i="36" s="1"/>
  <c r="W24" i="16"/>
  <c r="CB5" i="16"/>
  <c r="BR10" i="20"/>
  <c r="BS10" i="20" s="1"/>
  <c r="BR9" i="27"/>
  <c r="BS9" i="27" s="1"/>
  <c r="BR9" i="36"/>
  <c r="BS9" i="36" s="1"/>
  <c r="BR9" i="25"/>
  <c r="BS9" i="25" s="1"/>
  <c r="T23" i="16"/>
  <c r="AW42" i="16" s="1"/>
  <c r="AX42" i="16" s="1"/>
  <c r="T27" i="16"/>
  <c r="BR9" i="28"/>
  <c r="BS9" i="28" s="1"/>
  <c r="BR9" i="35"/>
  <c r="BS9" i="35" s="1"/>
  <c r="BR9" i="34"/>
  <c r="BS9" i="34" s="1"/>
  <c r="BR9" i="33"/>
  <c r="BS9" i="33" s="1"/>
  <c r="T25" i="16"/>
  <c r="BR9" i="24"/>
  <c r="BS9" i="24" s="1"/>
  <c r="BR13" i="23"/>
  <c r="BS13" i="23" s="1"/>
  <c r="T22" i="16"/>
  <c r="BZ42" i="16" s="1"/>
  <c r="BR9" i="32"/>
  <c r="BS9" i="32" s="1"/>
  <c r="BR9" i="29"/>
  <c r="BS9" i="29" s="1"/>
  <c r="BR9" i="30"/>
  <c r="BS9" i="30" s="1"/>
  <c r="T24" i="16"/>
  <c r="BR9" i="31"/>
  <c r="BS9" i="31" s="1"/>
  <c r="BR9" i="26"/>
  <c r="BS9" i="26" s="1"/>
  <c r="BR13" i="21"/>
  <c r="BS13" i="21" s="1"/>
  <c r="CT5" i="16"/>
  <c r="BR15" i="27"/>
  <c r="BS15" i="27" s="1"/>
  <c r="AL23" i="16"/>
  <c r="AW38" i="16" s="1"/>
  <c r="AX38" i="16" s="1"/>
  <c r="BR15" i="25"/>
  <c r="BS15" i="25" s="1"/>
  <c r="AL24" i="16"/>
  <c r="AL22" i="16"/>
  <c r="CR42" i="16" s="1"/>
  <c r="BR9" i="23"/>
  <c r="BS9" i="23" s="1"/>
  <c r="AL27" i="16"/>
  <c r="BR15" i="26"/>
  <c r="BS15" i="26" s="1"/>
  <c r="BR15" i="35"/>
  <c r="BS15" i="35" s="1"/>
  <c r="BR15" i="24"/>
  <c r="BS15" i="24" s="1"/>
  <c r="BR15" i="28"/>
  <c r="BS15" i="28" s="1"/>
  <c r="BR15" i="30"/>
  <c r="BS15" i="30" s="1"/>
  <c r="BR15" i="36"/>
  <c r="BS15" i="36" s="1"/>
  <c r="BR15" i="33"/>
  <c r="BS15" i="33" s="1"/>
  <c r="BR15" i="29"/>
  <c r="BS15" i="29" s="1"/>
  <c r="BR15" i="34"/>
  <c r="BS15" i="34" s="1"/>
  <c r="BR15" i="31"/>
  <c r="BS15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8" i="26"/>
  <c r="BS8" i="26" s="1"/>
  <c r="Q23" i="16"/>
  <c r="AW41" i="16" s="1"/>
  <c r="AX41" i="16" s="1"/>
  <c r="BR8" i="29"/>
  <c r="BS8" i="29" s="1"/>
  <c r="BR8" i="31"/>
  <c r="BS8" i="31" s="1"/>
  <c r="BR12" i="21"/>
  <c r="BS12" i="21" s="1"/>
  <c r="BR8" i="27"/>
  <c r="BS8" i="27" s="1"/>
  <c r="BR8" i="24"/>
  <c r="BS8" i="24" s="1"/>
  <c r="BR8" i="30"/>
  <c r="BS8" i="30" s="1"/>
  <c r="BR8" i="32"/>
  <c r="BS8" i="32" s="1"/>
  <c r="BR8" i="25"/>
  <c r="BS8" i="25" s="1"/>
  <c r="BR8" i="28"/>
  <c r="BS8" i="28" s="1"/>
  <c r="BR12" i="23"/>
  <c r="BS12" i="23" s="1"/>
  <c r="Q27" i="16"/>
  <c r="Q22" i="16"/>
  <c r="BW42" i="16" s="1"/>
  <c r="CQ5" i="16"/>
  <c r="BR7" i="21"/>
  <c r="BS7" i="21" s="1"/>
  <c r="BR7" i="23"/>
  <c r="BS7" i="23" s="1"/>
  <c r="BR14" i="29"/>
  <c r="BS14" i="29" s="1"/>
  <c r="BR14" i="20"/>
  <c r="BS14" i="20" s="1"/>
  <c r="BR14" i="31"/>
  <c r="BS14" i="31" s="1"/>
  <c r="BR14" i="24"/>
  <c r="BS14" i="24" s="1"/>
  <c r="BR14" i="36"/>
  <c r="BS14" i="36" s="1"/>
  <c r="BR14" i="26"/>
  <c r="BS14" i="26" s="1"/>
  <c r="BR14" i="27"/>
  <c r="BS14" i="27" s="1"/>
  <c r="BR14" i="34"/>
  <c r="BS14" i="34" s="1"/>
  <c r="AI23" i="16"/>
  <c r="AW36" i="16" s="1"/>
  <c r="AX36" i="16" s="1"/>
  <c r="BR14" i="35"/>
  <c r="BS14" i="35" s="1"/>
  <c r="AI27" i="16"/>
  <c r="AI25" i="16"/>
  <c r="BR14" i="32"/>
  <c r="BS14" i="32" s="1"/>
  <c r="BR14" i="28"/>
  <c r="BS14" i="28" s="1"/>
  <c r="BR14" i="30"/>
  <c r="BS14" i="30" s="1"/>
  <c r="AI22" i="16"/>
  <c r="CO42" i="16" s="1"/>
  <c r="BR14" i="33"/>
  <c r="BS14" i="33" s="1"/>
  <c r="AI24" i="16"/>
  <c r="BR14" i="25"/>
  <c r="BS14" i="25" s="1"/>
  <c r="BS5" i="16"/>
  <c r="K27" i="16"/>
  <c r="BR6" i="30"/>
  <c r="BS6" i="30" s="1"/>
  <c r="BR6" i="26"/>
  <c r="BS6" i="26" s="1"/>
  <c r="BR6" i="32"/>
  <c r="BS6" i="32" s="1"/>
  <c r="K22" i="16"/>
  <c r="BQ42" i="16" s="1"/>
  <c r="BR6" i="35"/>
  <c r="BS6" i="35" s="1"/>
  <c r="BR6" i="28"/>
  <c r="BS6" i="28" s="1"/>
  <c r="K24" i="16"/>
  <c r="BR6" i="33"/>
  <c r="BS6" i="33" s="1"/>
  <c r="BR7" i="20"/>
  <c r="BS7" i="20" s="1"/>
  <c r="BR6" i="27"/>
  <c r="BS6" i="27" s="1"/>
  <c r="BR6" i="29"/>
  <c r="BS6" i="29" s="1"/>
  <c r="K23" i="16"/>
  <c r="AW39" i="16" s="1"/>
  <c r="AX39" i="16" s="1"/>
  <c r="BR10" i="21"/>
  <c r="BS10" i="21" s="1"/>
  <c r="BR6" i="36"/>
  <c r="BS6" i="36" s="1"/>
  <c r="K25" i="16"/>
  <c r="BR6" i="24"/>
  <c r="BS6" i="24" s="1"/>
  <c r="BR6" i="31"/>
  <c r="BS6" i="31" s="1"/>
  <c r="BR6" i="25"/>
  <c r="BS6" i="25" s="1"/>
  <c r="BR10" i="23"/>
  <c r="BS10" i="23" s="1"/>
  <c r="BR6" i="34"/>
  <c r="BS6" i="34" s="1"/>
  <c r="BE5" i="20"/>
  <c r="AC5" i="16"/>
  <c r="E5" i="16"/>
  <c r="BE4" i="20"/>
  <c r="BV5" i="16"/>
  <c r="BR11" i="23"/>
  <c r="BS11" i="23" s="1"/>
  <c r="BR7" i="29"/>
  <c r="BS7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7" i="25"/>
  <c r="BS7" i="25" s="1"/>
  <c r="BR7" i="27"/>
  <c r="BS7" i="27" s="1"/>
  <c r="BR7" i="28"/>
  <c r="BS7" i="28" s="1"/>
  <c r="N23" i="16"/>
  <c r="AW40" i="16" s="1"/>
  <c r="AX40" i="16" s="1"/>
  <c r="BR7" i="32"/>
  <c r="BS7" i="32" s="1"/>
  <c r="N27" i="16"/>
  <c r="BR7" i="31"/>
  <c r="BS7" i="31" s="1"/>
  <c r="BR7" i="24"/>
  <c r="BS7" i="24" s="1"/>
  <c r="BR7" i="30"/>
  <c r="BS7" i="30" s="1"/>
  <c r="BR7" i="26"/>
  <c r="BS7" i="26" s="1"/>
  <c r="BR7" i="33"/>
  <c r="BS7" i="33" s="1"/>
  <c r="BR11" i="21"/>
  <c r="BS11" i="21" s="1"/>
  <c r="N25" i="16"/>
  <c r="CH5" i="16"/>
  <c r="BR11" i="25"/>
  <c r="BS11" i="25" s="1"/>
  <c r="BR11" i="24"/>
  <c r="BS11" i="24" s="1"/>
  <c r="BR11" i="33"/>
  <c r="BS11" i="33" s="1"/>
  <c r="BR11" i="35"/>
  <c r="BS11" i="35" s="1"/>
  <c r="BR11" i="36"/>
  <c r="BS11" i="36" s="1"/>
  <c r="BR14" i="23"/>
  <c r="BS14" i="23" s="1"/>
  <c r="BR11" i="32"/>
  <c r="BS11" i="32" s="1"/>
  <c r="Z27" i="16"/>
  <c r="BR11" i="27"/>
  <c r="BS11" i="27" s="1"/>
  <c r="BR11" i="30"/>
  <c r="BS11" i="30" s="1"/>
  <c r="Z22" i="16"/>
  <c r="CF42" i="16" s="1"/>
  <c r="BR11" i="31"/>
  <c r="BS11" i="31" s="1"/>
  <c r="BR11" i="34"/>
  <c r="BS11" i="34" s="1"/>
  <c r="BR12" i="20"/>
  <c r="BS12" i="20" s="1"/>
  <c r="BR11" i="28"/>
  <c r="BS11" i="28" s="1"/>
  <c r="Z23" i="16"/>
  <c r="AW43" i="16" s="1"/>
  <c r="AX43" i="16" s="1"/>
  <c r="BR11" i="29"/>
  <c r="BS11" i="29" s="1"/>
  <c r="Z24" i="16"/>
  <c r="BR14" i="21"/>
  <c r="BS14" i="21" s="1"/>
  <c r="Z25" i="16"/>
  <c r="BR11" i="26"/>
  <c r="BS11" i="26" s="1"/>
  <c r="G58" i="20"/>
  <c r="AE58" i="20"/>
  <c r="BT11" i="27"/>
  <c r="BV9" i="26"/>
  <c r="BW9" i="26" s="1"/>
  <c r="BB36" i="16"/>
  <c r="BB38" i="16"/>
  <c r="BV6" i="1"/>
  <c r="BB34" i="16"/>
  <c r="BT6" i="1"/>
  <c r="AH40" i="23"/>
  <c r="BV8" i="23"/>
  <c r="BB35" i="16"/>
  <c r="BB44" i="16"/>
  <c r="BB43" i="16"/>
  <c r="AZ43" i="16"/>
  <c r="AZ36" i="16"/>
  <c r="BV11" i="20"/>
  <c r="BT11" i="20"/>
  <c r="Y40" i="20"/>
  <c r="AB40" i="1"/>
  <c r="BT13" i="1"/>
  <c r="BV13" i="1"/>
  <c r="AE40" i="1"/>
  <c r="BV14" i="1"/>
  <c r="BT14" i="1"/>
  <c r="AZ42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8" i="16"/>
  <c r="AZ39" i="16"/>
  <c r="AZ34" i="16"/>
  <c r="AZ37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BT9" i="35"/>
  <c r="V40" i="35"/>
  <c r="BV9" i="35"/>
  <c r="BW9" i="35" s="1"/>
  <c r="AZ41" i="16"/>
  <c r="BT4" i="1"/>
  <c r="BV4" i="1"/>
  <c r="BW4" i="1" s="1"/>
  <c r="J40" i="1"/>
  <c r="AZ35" i="16"/>
  <c r="AK40" i="20"/>
  <c r="BV14" i="20"/>
  <c r="BT14" i="20"/>
  <c r="BT12" i="20"/>
  <c r="BV12" i="20"/>
  <c r="AB40" i="20"/>
  <c r="AK40" i="33"/>
  <c r="BV14" i="33"/>
  <c r="BT14" i="33"/>
  <c r="BT8" i="1"/>
  <c r="BV8" i="1"/>
  <c r="BW8" i="1" s="1"/>
  <c r="M40" i="1"/>
  <c r="AZ33" i="16"/>
  <c r="BV12" i="1"/>
  <c r="Y40" i="1"/>
  <c r="BT12" i="1"/>
  <c r="AZ44" i="16"/>
  <c r="AZ40" i="16"/>
  <c r="BV12" i="30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8" i="20"/>
  <c r="BW8" i="20" s="1"/>
  <c r="P40" i="20"/>
  <c r="BT8" i="20"/>
  <c r="V40" i="20"/>
  <c r="BV10" i="20"/>
  <c r="BW10" i="20" s="1"/>
  <c r="BT10" i="20"/>
  <c r="BV9" i="31"/>
  <c r="BW9" i="31" s="1"/>
  <c r="V40" i="31"/>
  <c r="BT9" i="31"/>
  <c r="V40" i="30" l="1"/>
  <c r="Y40" i="35"/>
  <c r="BV8" i="30"/>
  <c r="BW8" i="30" s="1"/>
  <c r="BV14" i="35"/>
  <c r="BW14" i="35" s="1"/>
  <c r="BV14" i="30"/>
  <c r="BW14" i="30" s="1"/>
  <c r="S40" i="35"/>
  <c r="S40" i="30"/>
  <c r="BT14" i="35"/>
  <c r="BT12" i="30"/>
  <c r="BU12" i="30" s="1"/>
  <c r="BT8" i="35"/>
  <c r="BV9" i="30"/>
  <c r="BW9" i="30" s="1"/>
  <c r="BV10" i="35"/>
  <c r="BW10" i="35" s="1"/>
  <c r="BV12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U6" i="35" s="1"/>
  <c r="BP6" i="35" s="1"/>
  <c r="BV15" i="35"/>
  <c r="Y40" i="30"/>
  <c r="BT10" i="30"/>
  <c r="BU10" i="30" s="1"/>
  <c r="AN40" i="35"/>
  <c r="AB40" i="35"/>
  <c r="BV13" i="35"/>
  <c r="BT11" i="30"/>
  <c r="BU11" i="30" s="1"/>
  <c r="BT12" i="35"/>
  <c r="BU12" i="35" s="1"/>
  <c r="BT5" i="31"/>
  <c r="BU5" i="31" s="1"/>
  <c r="BT5" i="35"/>
  <c r="BT15" i="30"/>
  <c r="BU15" i="30" s="1"/>
  <c r="BV5" i="30"/>
  <c r="BW5" i="30" s="1"/>
  <c r="BV6" i="30"/>
  <c r="BW6" i="30" s="1"/>
  <c r="AH40" i="30"/>
  <c r="BV15" i="30"/>
  <c r="BT4" i="30"/>
  <c r="BU4" i="30" s="1"/>
  <c r="BT13" i="30"/>
  <c r="BU13" i="30" s="1"/>
  <c r="BV9" i="21"/>
  <c r="BT6" i="30"/>
  <c r="BU6" i="30" s="1"/>
  <c r="J40" i="35"/>
  <c r="BV12" i="31"/>
  <c r="G40" i="30"/>
  <c r="Y40" i="32"/>
  <c r="BT13" i="25"/>
  <c r="BU13" i="25" s="1"/>
  <c r="BT7" i="30"/>
  <c r="BU7" i="30" s="1"/>
  <c r="BV5" i="31"/>
  <c r="BW5" i="31" s="1"/>
  <c r="BT11" i="31"/>
  <c r="BU11" i="31" s="1"/>
  <c r="BT8" i="31"/>
  <c r="BU8" i="31" s="1"/>
  <c r="BP8" i="31" s="1"/>
  <c r="BV7" i="30"/>
  <c r="BW7" i="30" s="1"/>
  <c r="BV11" i="31"/>
  <c r="BW11" i="31" s="1"/>
  <c r="J40" i="30"/>
  <c r="BT15" i="27"/>
  <c r="BU15" i="27" s="1"/>
  <c r="BT4" i="29"/>
  <c r="BU4" i="29" s="1"/>
  <c r="BT12" i="27"/>
  <c r="BU12" i="27" s="1"/>
  <c r="BV14" i="32"/>
  <c r="BW14" i="32" s="1"/>
  <c r="BT7" i="25"/>
  <c r="BU7" i="25" s="1"/>
  <c r="BT10" i="31"/>
  <c r="BU10" i="31" s="1"/>
  <c r="BV4" i="36"/>
  <c r="BW4" i="36" s="1"/>
  <c r="BT13" i="31"/>
  <c r="BU13" i="31" s="1"/>
  <c r="BT10" i="33"/>
  <c r="BU10" i="33" s="1"/>
  <c r="BV8" i="29"/>
  <c r="BW8" i="29" s="1"/>
  <c r="BV13" i="31"/>
  <c r="BT15" i="24"/>
  <c r="BU15" i="24" s="1"/>
  <c r="BV11" i="33"/>
  <c r="BW11" i="33" s="1"/>
  <c r="BT7" i="32"/>
  <c r="BU7" i="32" s="1"/>
  <c r="BT15" i="32"/>
  <c r="BU15" i="32" s="1"/>
  <c r="J40" i="33"/>
  <c r="BT15" i="33"/>
  <c r="BU15" i="33" s="1"/>
  <c r="BT4" i="31"/>
  <c r="BU4" i="31" s="1"/>
  <c r="M40" i="31"/>
  <c r="AH40" i="33"/>
  <c r="AB40" i="33"/>
  <c r="V40" i="23"/>
  <c r="BT5" i="33"/>
  <c r="BU5" i="33" s="1"/>
  <c r="BV5" i="27"/>
  <c r="BW5" i="27" s="1"/>
  <c r="AN40" i="24"/>
  <c r="BT13" i="28"/>
  <c r="BU13" i="28" s="1"/>
  <c r="AH40" i="34"/>
  <c r="BV13" i="27"/>
  <c r="BT9" i="21"/>
  <c r="BU9" i="21" s="1"/>
  <c r="AN40" i="32"/>
  <c r="BV4" i="31"/>
  <c r="BW4" i="31" s="1"/>
  <c r="BT15" i="34"/>
  <c r="BU15" i="34" s="1"/>
  <c r="S40" i="29"/>
  <c r="Y40" i="33"/>
  <c r="BT12" i="31"/>
  <c r="BU12" i="31" s="1"/>
  <c r="BT6" i="31"/>
  <c r="BU6" i="31" s="1"/>
  <c r="BP6" i="31" s="1"/>
  <c r="BT13" i="33"/>
  <c r="BU13" i="33" s="1"/>
  <c r="AE40" i="29"/>
  <c r="BT13" i="21"/>
  <c r="BU13" i="21" s="1"/>
  <c r="BP13" i="21" s="1"/>
  <c r="BV15" i="33"/>
  <c r="BV7" i="32"/>
  <c r="BW7" i="32" s="1"/>
  <c r="G40" i="36"/>
  <c r="BV12" i="36"/>
  <c r="V40" i="21"/>
  <c r="BT14" i="29"/>
  <c r="BV15" i="23"/>
  <c r="V40" i="27"/>
  <c r="BT6" i="26"/>
  <c r="BU6" i="26" s="1"/>
  <c r="BP6" i="26" s="1"/>
  <c r="BT5" i="23"/>
  <c r="BU5" i="23" s="1"/>
  <c r="BV12" i="29"/>
  <c r="BV10" i="31"/>
  <c r="BW10" i="31" s="1"/>
  <c r="BT13" i="32"/>
  <c r="BU13" i="32" s="1"/>
  <c r="AH40" i="29"/>
  <c r="BV11" i="32"/>
  <c r="BW11" i="32" s="1"/>
  <c r="BV15" i="31"/>
  <c r="AB40" i="25"/>
  <c r="V40" i="32"/>
  <c r="AN40" i="31"/>
  <c r="S40" i="33"/>
  <c r="BT4" i="28"/>
  <c r="BV9" i="28"/>
  <c r="BW9" i="28" s="1"/>
  <c r="BT4" i="32"/>
  <c r="BU4" i="32" s="1"/>
  <c r="P40" i="31"/>
  <c r="BT14" i="32"/>
  <c r="BT12" i="26"/>
  <c r="BT10" i="26"/>
  <c r="BU10" i="26" s="1"/>
  <c r="BT9" i="32"/>
  <c r="BU9" i="32" s="1"/>
  <c r="BP9" i="32" s="1"/>
  <c r="BV4" i="32"/>
  <c r="BW4" i="32" s="1"/>
  <c r="BV6" i="24"/>
  <c r="BW6" i="24" s="1"/>
  <c r="AB40" i="32"/>
  <c r="AK40" i="24"/>
  <c r="BV14" i="23"/>
  <c r="BW14" i="23" s="1"/>
  <c r="BT11" i="23"/>
  <c r="BU11" i="23" s="1"/>
  <c r="BP11" i="23" s="1"/>
  <c r="Y40" i="24"/>
  <c r="BV14" i="24"/>
  <c r="BW14" i="24" s="1"/>
  <c r="M40" i="32"/>
  <c r="G40" i="33"/>
  <c r="BT7" i="33"/>
  <c r="BU7" i="33" s="1"/>
  <c r="BP7" i="33" s="1"/>
  <c r="BT9" i="29"/>
  <c r="BU9" i="29" s="1"/>
  <c r="AE40" i="32"/>
  <c r="BT10" i="36"/>
  <c r="BU10" i="36" s="1"/>
  <c r="BV12" i="33"/>
  <c r="AE40" i="33"/>
  <c r="BV7" i="25"/>
  <c r="BW7" i="25" s="1"/>
  <c r="BT6" i="33"/>
  <c r="V40" i="33"/>
  <c r="BV14" i="25"/>
  <c r="BW14" i="25" s="1"/>
  <c r="BT14" i="31"/>
  <c r="BV8" i="32"/>
  <c r="BW8" i="32" s="1"/>
  <c r="BV9" i="29"/>
  <c r="BW9" i="29" s="1"/>
  <c r="BV10" i="23"/>
  <c r="BW10" i="23" s="1"/>
  <c r="BV5" i="25"/>
  <c r="BW5" i="25" s="1"/>
  <c r="BV14" i="31"/>
  <c r="BT5" i="25"/>
  <c r="BT7" i="31"/>
  <c r="BU7" i="31" s="1"/>
  <c r="BP7" i="31" s="1"/>
  <c r="BT9" i="25"/>
  <c r="BU9" i="25" s="1"/>
  <c r="BP9" i="25" s="1"/>
  <c r="BV6" i="33"/>
  <c r="BW6" i="33" s="1"/>
  <c r="BV13" i="25"/>
  <c r="BT14" i="27"/>
  <c r="BT7" i="28"/>
  <c r="BU7" i="28" s="1"/>
  <c r="BP7" i="28" s="1"/>
  <c r="S40" i="31"/>
  <c r="BV9" i="36"/>
  <c r="BW9" i="36" s="1"/>
  <c r="BV12" i="24"/>
  <c r="BT10" i="32"/>
  <c r="BU10" i="32" s="1"/>
  <c r="BT10" i="23"/>
  <c r="BU10" i="23" s="1"/>
  <c r="BT12" i="32"/>
  <c r="BU12" i="32" s="1"/>
  <c r="BT4" i="21"/>
  <c r="BU4" i="21" s="1"/>
  <c r="BT11" i="28"/>
  <c r="BU11" i="28" s="1"/>
  <c r="G40" i="29"/>
  <c r="S40" i="32"/>
  <c r="BT9" i="24"/>
  <c r="BU9" i="24" s="1"/>
  <c r="BP9" i="24" s="1"/>
  <c r="BT9" i="33"/>
  <c r="BU9" i="33" s="1"/>
  <c r="BP9" i="33" s="1"/>
  <c r="AH40" i="36"/>
  <c r="J40" i="29"/>
  <c r="BT15" i="29"/>
  <c r="BU15" i="29" s="1"/>
  <c r="BV5" i="32"/>
  <c r="BW5" i="32" s="1"/>
  <c r="P40" i="36"/>
  <c r="Y40" i="27"/>
  <c r="P40" i="29"/>
  <c r="M40" i="29"/>
  <c r="BV8" i="25"/>
  <c r="BW8" i="25" s="1"/>
  <c r="BV6" i="25"/>
  <c r="BW6" i="25" s="1"/>
  <c r="BV13" i="32"/>
  <c r="V40" i="25"/>
  <c r="BV13" i="29"/>
  <c r="BT11" i="29"/>
  <c r="BU11" i="29" s="1"/>
  <c r="BV5" i="24"/>
  <c r="BW5" i="24" s="1"/>
  <c r="BV12" i="34"/>
  <c r="S40" i="21"/>
  <c r="AB40" i="34"/>
  <c r="BT8" i="21"/>
  <c r="BU8" i="21" s="1"/>
  <c r="BV6" i="27"/>
  <c r="BW6" i="27" s="1"/>
  <c r="AK40" i="25"/>
  <c r="AK40" i="21"/>
  <c r="BV10" i="27"/>
  <c r="BW10" i="27" s="1"/>
  <c r="BV11" i="29"/>
  <c r="BW11" i="29" s="1"/>
  <c r="Y40" i="25"/>
  <c r="BV14" i="27"/>
  <c r="BW14" i="27" s="1"/>
  <c r="BT12" i="34"/>
  <c r="G40" i="21"/>
  <c r="BV8" i="21"/>
  <c r="BV6" i="29"/>
  <c r="BW6" i="29" s="1"/>
  <c r="AN40" i="27"/>
  <c r="BV9" i="34"/>
  <c r="BW9" i="34" s="1"/>
  <c r="P40" i="28"/>
  <c r="BV6" i="36"/>
  <c r="BW6" i="36" s="1"/>
  <c r="BT13" i="36"/>
  <c r="BU13" i="36" s="1"/>
  <c r="BV5" i="26"/>
  <c r="BW5" i="26" s="1"/>
  <c r="BV5" i="29"/>
  <c r="BW5" i="29" s="1"/>
  <c r="BT5" i="32"/>
  <c r="BU5" i="32" s="1"/>
  <c r="M40" i="27"/>
  <c r="BV14" i="34"/>
  <c r="BW14" i="34" s="1"/>
  <c r="BT7" i="21"/>
  <c r="BV10" i="25"/>
  <c r="BW10" i="25" s="1"/>
  <c r="BV7" i="29"/>
  <c r="BW7" i="29" s="1"/>
  <c r="BV12" i="21"/>
  <c r="BW12" i="21" s="1"/>
  <c r="BV11" i="34"/>
  <c r="BW11" i="34" s="1"/>
  <c r="BT8" i="25"/>
  <c r="BU8" i="25" s="1"/>
  <c r="M40" i="25"/>
  <c r="V40" i="34"/>
  <c r="V40" i="24"/>
  <c r="M40" i="36"/>
  <c r="J40" i="26"/>
  <c r="AN40" i="29"/>
  <c r="AK40" i="34"/>
  <c r="V40" i="36"/>
  <c r="BV11" i="21"/>
  <c r="BW11" i="21" s="1"/>
  <c r="P40" i="21"/>
  <c r="BT6" i="24"/>
  <c r="BU6" i="24" s="1"/>
  <c r="BP6" i="24" s="1"/>
  <c r="BT8" i="36"/>
  <c r="BU8" i="36" s="1"/>
  <c r="BP8" i="36" s="1"/>
  <c r="BV4" i="24"/>
  <c r="BW4" i="24" s="1"/>
  <c r="BV4" i="33"/>
  <c r="BW4" i="33" s="1"/>
  <c r="BT14" i="23"/>
  <c r="BU14" i="23" s="1"/>
  <c r="BT11" i="24"/>
  <c r="BU11" i="24" s="1"/>
  <c r="AB40" i="26"/>
  <c r="AN40" i="36"/>
  <c r="BT15" i="36"/>
  <c r="BU15" i="36" s="1"/>
  <c r="P40" i="33"/>
  <c r="Y40" i="36"/>
  <c r="BT8" i="26"/>
  <c r="BU8" i="26" s="1"/>
  <c r="BP8" i="26" s="1"/>
  <c r="BV6" i="34"/>
  <c r="BW6" i="34" s="1"/>
  <c r="BV13" i="26"/>
  <c r="AK40" i="23"/>
  <c r="BV12" i="23"/>
  <c r="BW12" i="23" s="1"/>
  <c r="BT14" i="26"/>
  <c r="BV4" i="23"/>
  <c r="BW4" i="23" s="1"/>
  <c r="BT12" i="23"/>
  <c r="BU12" i="23" s="1"/>
  <c r="BT7" i="36"/>
  <c r="BU7" i="36" s="1"/>
  <c r="BP7" i="36" s="1"/>
  <c r="BT4" i="23"/>
  <c r="BV15" i="28"/>
  <c r="AN40" i="25"/>
  <c r="BV7" i="23"/>
  <c r="BW7" i="23" s="1"/>
  <c r="BT6" i="28"/>
  <c r="BU6" i="28" s="1"/>
  <c r="AU37" i="16"/>
  <c r="BT12" i="25"/>
  <c r="AB40" i="28"/>
  <c r="Y40" i="23"/>
  <c r="BV8" i="24"/>
  <c r="BW8" i="24" s="1"/>
  <c r="BT6" i="32"/>
  <c r="BU6" i="32" s="1"/>
  <c r="BP6" i="32" s="1"/>
  <c r="BV11" i="25"/>
  <c r="BW11" i="25" s="1"/>
  <c r="BV8" i="28"/>
  <c r="BW8" i="28" s="1"/>
  <c r="BT7" i="26"/>
  <c r="BU7" i="26" s="1"/>
  <c r="BP7" i="26" s="1"/>
  <c r="BV14" i="36"/>
  <c r="BW14" i="36" s="1"/>
  <c r="BV8" i="33"/>
  <c r="BW8" i="33" s="1"/>
  <c r="BV5" i="36"/>
  <c r="BW5" i="36" s="1"/>
  <c r="BT10" i="24"/>
  <c r="BU10" i="24" s="1"/>
  <c r="G40" i="24"/>
  <c r="BV10" i="26"/>
  <c r="BW10" i="26" s="1"/>
  <c r="BV9" i="23"/>
  <c r="S40" i="36"/>
  <c r="BV11" i="24"/>
  <c r="BW11" i="24" s="1"/>
  <c r="BV11" i="26"/>
  <c r="BV5" i="34"/>
  <c r="BW5" i="34" s="1"/>
  <c r="BT10" i="21"/>
  <c r="BU10" i="21" s="1"/>
  <c r="P40" i="34"/>
  <c r="BT9" i="23"/>
  <c r="BU9" i="23" s="1"/>
  <c r="BV7" i="27"/>
  <c r="BW7" i="27" s="1"/>
  <c r="AK40" i="36"/>
  <c r="BV13" i="24"/>
  <c r="AB40" i="27"/>
  <c r="BT12" i="24"/>
  <c r="AH40" i="26"/>
  <c r="BV8" i="27"/>
  <c r="BW8" i="27" s="1"/>
  <c r="BT5" i="24"/>
  <c r="BU5" i="24" s="1"/>
  <c r="BV15" i="25"/>
  <c r="BV6" i="23"/>
  <c r="BW6" i="23" s="1"/>
  <c r="AE40" i="25"/>
  <c r="S40" i="26"/>
  <c r="BT4" i="26"/>
  <c r="BU4" i="26" s="1"/>
  <c r="BV10" i="28"/>
  <c r="BW10" i="28" s="1"/>
  <c r="G40" i="27"/>
  <c r="BV14" i="29"/>
  <c r="BW14" i="29" s="1"/>
  <c r="BT8" i="24"/>
  <c r="BU8" i="24" s="1"/>
  <c r="BT5" i="21"/>
  <c r="BU5" i="21" s="1"/>
  <c r="BT13" i="27"/>
  <c r="BU13" i="27" s="1"/>
  <c r="M40" i="26"/>
  <c r="BT4" i="34"/>
  <c r="J40" i="27"/>
  <c r="BT4" i="27"/>
  <c r="BU4" i="27" s="1"/>
  <c r="G40" i="25"/>
  <c r="BV5" i="23"/>
  <c r="BW5" i="23" s="1"/>
  <c r="P40" i="23"/>
  <c r="AE40" i="36"/>
  <c r="BT5" i="36"/>
  <c r="BT13" i="24"/>
  <c r="BU13" i="24" s="1"/>
  <c r="BT13" i="23"/>
  <c r="BU13" i="23" s="1"/>
  <c r="BP13" i="23" s="1"/>
  <c r="BT10" i="29"/>
  <c r="BU10" i="29" s="1"/>
  <c r="BT13" i="34"/>
  <c r="BU13" i="34" s="1"/>
  <c r="BT15" i="23"/>
  <c r="BV9" i="27"/>
  <c r="BW9" i="27" s="1"/>
  <c r="BT7" i="24"/>
  <c r="BU7" i="24" s="1"/>
  <c r="BP7" i="24" s="1"/>
  <c r="BT4" i="25"/>
  <c r="BV13" i="28"/>
  <c r="BV10" i="29"/>
  <c r="BW4" i="29" s="1"/>
  <c r="P40" i="24"/>
  <c r="P40" i="26"/>
  <c r="AB40" i="21"/>
  <c r="BV15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4" i="28"/>
  <c r="BW14" i="28" s="1"/>
  <c r="BV12" i="28"/>
  <c r="BT5" i="34"/>
  <c r="BU5" i="34" s="1"/>
  <c r="BV6" i="21"/>
  <c r="BW6" i="21" s="1"/>
  <c r="S40" i="28"/>
  <c r="BT7" i="34"/>
  <c r="BU7" i="34" s="1"/>
  <c r="BP7" i="34" s="1"/>
  <c r="M40" i="34"/>
  <c r="BV6" i="28"/>
  <c r="BW6" i="28" s="1"/>
  <c r="AE40" i="21"/>
  <c r="BT15" i="21"/>
  <c r="AU34" i="16"/>
  <c r="BV4" i="34"/>
  <c r="G40" i="28"/>
  <c r="AU42" i="16"/>
  <c r="BT5" i="28"/>
  <c r="BU5" i="28" s="1"/>
  <c r="Y40" i="34"/>
  <c r="BV15" i="34"/>
  <c r="BT9" i="28"/>
  <c r="BU9" i="28" s="1"/>
  <c r="S40" i="34"/>
  <c r="BT10" i="34"/>
  <c r="BU10" i="34" s="1"/>
  <c r="BT8" i="34"/>
  <c r="BU8" i="34" s="1"/>
  <c r="BP8" i="34" s="1"/>
  <c r="BW4" i="30"/>
  <c r="BT14" i="28"/>
  <c r="AE40" i="28"/>
  <c r="BW4" i="27"/>
  <c r="BW4" i="35"/>
  <c r="BW4" i="21"/>
  <c r="BW4" i="25"/>
  <c r="AU41" i="16"/>
  <c r="AU39" i="16"/>
  <c r="AU40" i="16"/>
  <c r="G49" i="20"/>
  <c r="B1" i="20" s="1"/>
  <c r="CK5" i="16"/>
  <c r="AC27" i="16"/>
  <c r="BR12" i="36"/>
  <c r="BS12" i="36" s="1"/>
  <c r="BR12" i="27"/>
  <c r="BS12" i="27" s="1"/>
  <c r="BR15" i="21"/>
  <c r="BS15" i="21" s="1"/>
  <c r="AC22" i="16"/>
  <c r="CI42" i="16" s="1"/>
  <c r="BR12" i="35"/>
  <c r="BS12" i="35" s="1"/>
  <c r="BR12" i="24"/>
  <c r="BS12" i="24" s="1"/>
  <c r="BR12" i="31"/>
  <c r="BS12" i="31" s="1"/>
  <c r="BR12" i="25"/>
  <c r="BS12" i="25" s="1"/>
  <c r="AC23" i="16"/>
  <c r="AW44" i="16" s="1"/>
  <c r="AX44" i="16" s="1"/>
  <c r="AU44" i="16" s="1"/>
  <c r="BR12" i="26"/>
  <c r="BS12" i="26" s="1"/>
  <c r="AC25" i="16"/>
  <c r="BR12" i="34"/>
  <c r="BS12" i="34" s="1"/>
  <c r="BR12" i="30"/>
  <c r="BS12" i="30" s="1"/>
  <c r="BR12" i="33"/>
  <c r="BS12" i="33" s="1"/>
  <c r="BR6" i="20"/>
  <c r="BS6" i="20" s="1"/>
  <c r="BR12" i="32"/>
  <c r="BS12" i="32" s="1"/>
  <c r="BR12" i="29"/>
  <c r="BS12" i="29" s="1"/>
  <c r="AC24" i="16"/>
  <c r="BR12" i="28"/>
  <c r="BS12" i="28" s="1"/>
  <c r="BR15" i="23"/>
  <c r="BS15" i="23" s="1"/>
  <c r="BM5" i="16"/>
  <c r="E22" i="16"/>
  <c r="BK42" i="16" s="1"/>
  <c r="BR4" i="30"/>
  <c r="BS4" i="30" s="1"/>
  <c r="BR4" i="23"/>
  <c r="BS4" i="23" s="1"/>
  <c r="BR4" i="35"/>
  <c r="BS4" i="35" s="1"/>
  <c r="BR4" i="34"/>
  <c r="BS4" i="34" s="1"/>
  <c r="BR4" i="29"/>
  <c r="BS4" i="29" s="1"/>
  <c r="E25" i="16"/>
  <c r="E27" i="16"/>
  <c r="BR4" i="27"/>
  <c r="BS4" i="27" s="1"/>
  <c r="BR4" i="24"/>
  <c r="BS4" i="24" s="1"/>
  <c r="BR4" i="36"/>
  <c r="BS4" i="36" s="1"/>
  <c r="BR4" i="33"/>
  <c r="BS4" i="33" s="1"/>
  <c r="E24" i="16"/>
  <c r="BR4" i="20"/>
  <c r="BS4" i="20" s="1"/>
  <c r="BR4" i="26"/>
  <c r="BS4" i="26" s="1"/>
  <c r="BR4" i="32"/>
  <c r="BS4" i="32" s="1"/>
  <c r="BR4" i="28"/>
  <c r="BS4" i="28" s="1"/>
  <c r="BR4" i="21"/>
  <c r="BS4" i="21" s="1"/>
  <c r="E23" i="16"/>
  <c r="AW33" i="16" s="1"/>
  <c r="AX33" i="16" s="1"/>
  <c r="AU33" i="16" s="1"/>
  <c r="BR4" i="31"/>
  <c r="BS4" i="31" s="1"/>
  <c r="BR4" i="25"/>
  <c r="BS4" i="25" s="1"/>
  <c r="BU9" i="26"/>
  <c r="BP9" i="26" s="1"/>
  <c r="BU6" i="34"/>
  <c r="AU36" i="16"/>
  <c r="AU38" i="16"/>
  <c r="BW7" i="21"/>
  <c r="BW14" i="33"/>
  <c r="BW6" i="1"/>
  <c r="BW14" i="20"/>
  <c r="BW15" i="20"/>
  <c r="BW14" i="26"/>
  <c r="BW5" i="1"/>
  <c r="BW5" i="35"/>
  <c r="BW5" i="28"/>
  <c r="BW5" i="33"/>
  <c r="BW5" i="21"/>
  <c r="BW5" i="20"/>
  <c r="BW12" i="30"/>
  <c r="BU10" i="27"/>
  <c r="BW12" i="35"/>
  <c r="BU10" i="25"/>
  <c r="AU35" i="16"/>
  <c r="BW12" i="1"/>
  <c r="BW10" i="24"/>
  <c r="BW10" i="36"/>
  <c r="BW10" i="33"/>
  <c r="BW10" i="30"/>
  <c r="BW10" i="34"/>
  <c r="BW10" i="32"/>
  <c r="BW11" i="20"/>
  <c r="BW14" i="1"/>
  <c r="BU11" i="36"/>
  <c r="BP11" i="36" s="1"/>
  <c r="AU43" i="16"/>
  <c r="BW6" i="20"/>
  <c r="BW12" i="20"/>
  <c r="BW11" i="28"/>
  <c r="BW13" i="1"/>
  <c r="BW11" i="30"/>
  <c r="BW11" i="27"/>
  <c r="BU10" i="28"/>
  <c r="BU8" i="1"/>
  <c r="BP8" i="1" s="1"/>
  <c r="BU8" i="20"/>
  <c r="BP8" i="20" s="1"/>
  <c r="BU8" i="23"/>
  <c r="BU13" i="29"/>
  <c r="BU12" i="33"/>
  <c r="BU12" i="20"/>
  <c r="BU11" i="1"/>
  <c r="BP11" i="1" s="1"/>
  <c r="BU8" i="28"/>
  <c r="BU8" i="35"/>
  <c r="BP8" i="35" s="1"/>
  <c r="BU15" i="25"/>
  <c r="BU11" i="35"/>
  <c r="BU5" i="30"/>
  <c r="BU7" i="1"/>
  <c r="BP7" i="1" s="1"/>
  <c r="BU4" i="20"/>
  <c r="BU11" i="26"/>
  <c r="BU6" i="36"/>
  <c r="BU5" i="29"/>
  <c r="BU11" i="20"/>
  <c r="BU4" i="33"/>
  <c r="BU5" i="1"/>
  <c r="BU6" i="29"/>
  <c r="BU13" i="35"/>
  <c r="BU9" i="1"/>
  <c r="BP9" i="1" s="1"/>
  <c r="BU14" i="1"/>
  <c r="BU8" i="27"/>
  <c r="BU15" i="31"/>
  <c r="BU11" i="33"/>
  <c r="BU15" i="26"/>
  <c r="BU11" i="25"/>
  <c r="BU12" i="1"/>
  <c r="BU10" i="35"/>
  <c r="BU12" i="21"/>
  <c r="BU8" i="30"/>
  <c r="BU6" i="20"/>
  <c r="BU11" i="34"/>
  <c r="BU8" i="29"/>
  <c r="BU6" i="25"/>
  <c r="BU9" i="34"/>
  <c r="AR40" i="1"/>
  <c r="AR41" i="1"/>
  <c r="BU14" i="21"/>
  <c r="BU5" i="20"/>
  <c r="BU5" i="26"/>
  <c r="BU6" i="27"/>
  <c r="BU9" i="36"/>
  <c r="BU7" i="27"/>
  <c r="BU4" i="1"/>
  <c r="BP4" i="1" s="1"/>
  <c r="BU4" i="24"/>
  <c r="BU15" i="20"/>
  <c r="BU8" i="32"/>
  <c r="BU15" i="1"/>
  <c r="BP15" i="1" s="1"/>
  <c r="BU6" i="1"/>
  <c r="BU6" i="23"/>
  <c r="BU10" i="20"/>
  <c r="BP10" i="20" s="1"/>
  <c r="BU13" i="20"/>
  <c r="BP13" i="20" s="1"/>
  <c r="BU10" i="1"/>
  <c r="BP10" i="1" s="1"/>
  <c r="BU7" i="29"/>
  <c r="BU9" i="27"/>
  <c r="BU14" i="20"/>
  <c r="BU9" i="35"/>
  <c r="BP9" i="35" s="1"/>
  <c r="BU7" i="20"/>
  <c r="BP7" i="20" s="1"/>
  <c r="BU8" i="33"/>
  <c r="BU5" i="27"/>
  <c r="BU11" i="27"/>
  <c r="BU9" i="31"/>
  <c r="BP9" i="31" s="1"/>
  <c r="BU15" i="28"/>
  <c r="BU11" i="21"/>
  <c r="BU11" i="32"/>
  <c r="BU13" i="26"/>
  <c r="BU15" i="35"/>
  <c r="BU9" i="30"/>
  <c r="BU9" i="20"/>
  <c r="BP9" i="20" s="1"/>
  <c r="AR41" i="20"/>
  <c r="AR40" i="20"/>
  <c r="BU13" i="1"/>
  <c r="BP8" i="30" l="1"/>
  <c r="BP7" i="35"/>
  <c r="BP9" i="30"/>
  <c r="BW15" i="35"/>
  <c r="BP15" i="35" s="1"/>
  <c r="BU14" i="35"/>
  <c r="BP14" i="35" s="1"/>
  <c r="BU5" i="35"/>
  <c r="BP5" i="35" s="1"/>
  <c r="BW13" i="35"/>
  <c r="BP13" i="35" s="1"/>
  <c r="AR40" i="35"/>
  <c r="AK2" i="35" s="1"/>
  <c r="AR41" i="35"/>
  <c r="AN2" i="35" s="1"/>
  <c r="BP7" i="30"/>
  <c r="BP6" i="30"/>
  <c r="AR41" i="30"/>
  <c r="AN2" i="30" s="1"/>
  <c r="BU14" i="30"/>
  <c r="BP14" i="30" s="1"/>
  <c r="BW13" i="30"/>
  <c r="BP13" i="30" s="1"/>
  <c r="AR40" i="30"/>
  <c r="M2" i="30" s="1"/>
  <c r="BW15" i="30"/>
  <c r="BP15" i="30" s="1"/>
  <c r="BP7" i="32"/>
  <c r="BP8" i="29"/>
  <c r="BP8" i="27"/>
  <c r="BP7" i="25"/>
  <c r="BP12" i="21"/>
  <c r="BP9" i="28"/>
  <c r="BU14" i="27"/>
  <c r="BP14" i="27" s="1"/>
  <c r="BW13" i="31"/>
  <c r="BP13" i="31" s="1"/>
  <c r="BP10" i="23"/>
  <c r="BW12" i="31"/>
  <c r="BP12" i="31" s="1"/>
  <c r="BP11" i="21"/>
  <c r="BP7" i="29"/>
  <c r="BU14" i="31"/>
  <c r="BW15" i="31"/>
  <c r="BP15" i="31" s="1"/>
  <c r="BP6" i="27"/>
  <c r="BP9" i="34"/>
  <c r="BW12" i="32"/>
  <c r="BP12" i="32" s="1"/>
  <c r="BP8" i="32"/>
  <c r="BW15" i="26"/>
  <c r="BP15" i="26" s="1"/>
  <c r="BP11" i="29"/>
  <c r="AR40" i="32"/>
  <c r="AK2" i="32" s="1"/>
  <c r="AR40" i="31"/>
  <c r="AK2" i="31" s="1"/>
  <c r="BW12" i="26"/>
  <c r="BU14" i="34"/>
  <c r="BP14" i="34" s="1"/>
  <c r="AR40" i="24"/>
  <c r="AK2" i="24" s="1"/>
  <c r="BW9" i="21"/>
  <c r="BP9" i="21" s="1"/>
  <c r="AR40" i="29"/>
  <c r="AK2" i="29" s="1"/>
  <c r="BU14" i="33"/>
  <c r="BP14" i="33" s="1"/>
  <c r="BU14" i="32"/>
  <c r="BP14" i="32" s="1"/>
  <c r="BW15" i="34"/>
  <c r="BP15" i="34" s="1"/>
  <c r="BW12" i="24"/>
  <c r="BW15" i="21"/>
  <c r="BW15" i="32"/>
  <c r="BP15" i="32" s="1"/>
  <c r="BW14" i="31"/>
  <c r="BU6" i="33"/>
  <c r="BP6" i="33" s="1"/>
  <c r="BW13" i="32"/>
  <c r="BP13" i="32" s="1"/>
  <c r="BW12" i="34"/>
  <c r="BW15" i="36"/>
  <c r="BP15" i="36" s="1"/>
  <c r="BW15" i="24"/>
  <c r="BP15" i="24" s="1"/>
  <c r="BW12" i="28"/>
  <c r="AR41" i="33"/>
  <c r="AN2" i="33" s="1"/>
  <c r="BP8" i="25"/>
  <c r="AR41" i="29"/>
  <c r="AE2" i="29" s="1"/>
  <c r="BU14" i="25"/>
  <c r="BP14" i="25" s="1"/>
  <c r="BW15" i="33"/>
  <c r="BP15" i="33" s="1"/>
  <c r="AR40" i="33"/>
  <c r="AK2" i="33" s="1"/>
  <c r="BU7" i="23"/>
  <c r="BP7" i="23" s="1"/>
  <c r="BW12" i="33"/>
  <c r="BP12" i="33" s="1"/>
  <c r="BW15" i="25"/>
  <c r="BP15" i="25" s="1"/>
  <c r="BU14" i="26"/>
  <c r="BP14" i="26" s="1"/>
  <c r="BU7" i="21"/>
  <c r="BP7" i="21" s="1"/>
  <c r="AR41" i="32"/>
  <c r="AN2" i="32" s="1"/>
  <c r="BU14" i="36"/>
  <c r="BP14" i="36" s="1"/>
  <c r="BW12" i="27"/>
  <c r="BP12" i="27" s="1"/>
  <c r="BW9" i="23"/>
  <c r="BP9" i="23" s="1"/>
  <c r="BU14" i="29"/>
  <c r="BP14" i="29" s="1"/>
  <c r="BP6" i="36"/>
  <c r="BW12" i="29"/>
  <c r="BW12" i="36"/>
  <c r="BW15" i="23"/>
  <c r="BW15" i="27"/>
  <c r="BP15" i="27" s="1"/>
  <c r="BW15" i="28"/>
  <c r="BP15" i="28" s="1"/>
  <c r="BW15" i="29"/>
  <c r="BP15" i="29" s="1"/>
  <c r="BU14" i="24"/>
  <c r="BP14" i="24" s="1"/>
  <c r="BP9" i="36"/>
  <c r="BP6" i="25"/>
  <c r="BP9" i="29"/>
  <c r="BP6" i="29"/>
  <c r="BU5" i="25"/>
  <c r="BP5" i="25" s="1"/>
  <c r="BW12" i="25"/>
  <c r="BU14" i="28"/>
  <c r="BP14" i="28" s="1"/>
  <c r="BU4" i="34"/>
  <c r="BU4" i="28"/>
  <c r="AR41" i="31"/>
  <c r="AN2" i="31" s="1"/>
  <c r="BU12" i="25"/>
  <c r="BU4" i="23"/>
  <c r="BP4" i="23" s="1"/>
  <c r="BU4" i="36"/>
  <c r="BP4" i="36" s="1"/>
  <c r="BU12" i="36"/>
  <c r="AR40" i="25"/>
  <c r="AK2" i="25" s="1"/>
  <c r="BW13" i="33"/>
  <c r="BP13" i="33" s="1"/>
  <c r="BP6" i="34"/>
  <c r="AR41" i="24"/>
  <c r="AN2" i="24" s="1"/>
  <c r="AR40" i="23"/>
  <c r="AK2" i="23" s="1"/>
  <c r="BU4" i="25"/>
  <c r="BP4" i="25" s="1"/>
  <c r="BU5" i="36"/>
  <c r="BP5" i="36" s="1"/>
  <c r="BP12" i="23"/>
  <c r="BP8" i="33"/>
  <c r="BU12" i="26"/>
  <c r="BP8" i="24"/>
  <c r="AR41" i="23"/>
  <c r="AN2" i="23" s="1"/>
  <c r="BW13" i="24"/>
  <c r="BP13" i="24" s="1"/>
  <c r="AR41" i="27"/>
  <c r="AN2" i="27" s="1"/>
  <c r="AR41" i="25"/>
  <c r="AH2" i="25" s="1"/>
  <c r="BW13" i="34"/>
  <c r="BP13" i="34" s="1"/>
  <c r="AR40" i="36"/>
  <c r="G2" i="36" s="1"/>
  <c r="BW8" i="23"/>
  <c r="BP8" i="23" s="1"/>
  <c r="BW13" i="26"/>
  <c r="BP13" i="26" s="1"/>
  <c r="BW13" i="36"/>
  <c r="BP13" i="36" s="1"/>
  <c r="AR41" i="26"/>
  <c r="AH2" i="26" s="1"/>
  <c r="AR41" i="28"/>
  <c r="AN2" i="28" s="1"/>
  <c r="BW13" i="25"/>
  <c r="BP13" i="25" s="1"/>
  <c r="BP7" i="27"/>
  <c r="BP8" i="28"/>
  <c r="BU12" i="29"/>
  <c r="AR40" i="34"/>
  <c r="AK2" i="34" s="1"/>
  <c r="BU15" i="23"/>
  <c r="BP6" i="28"/>
  <c r="BP10" i="21"/>
  <c r="BU12" i="24"/>
  <c r="BW11" i="26"/>
  <c r="BP11" i="26" s="1"/>
  <c r="BU15" i="21"/>
  <c r="BW13" i="27"/>
  <c r="BP13" i="27" s="1"/>
  <c r="BW13" i="29"/>
  <c r="BP13" i="29" s="1"/>
  <c r="AR41" i="36"/>
  <c r="AH2" i="36" s="1"/>
  <c r="BW4" i="34"/>
  <c r="BW13" i="28"/>
  <c r="BP13" i="28" s="1"/>
  <c r="AR40" i="27"/>
  <c r="AR40" i="28"/>
  <c r="AK2" i="28" s="1"/>
  <c r="BW8" i="21"/>
  <c r="BP8" i="21" s="1"/>
  <c r="BW4" i="26"/>
  <c r="BP4" i="26" s="1"/>
  <c r="AR40" i="21"/>
  <c r="AK2" i="21" s="1"/>
  <c r="BP9" i="27"/>
  <c r="BW10" i="29"/>
  <c r="BP10" i="29" s="1"/>
  <c r="AR40" i="26"/>
  <c r="AK2" i="26" s="1"/>
  <c r="AR41" i="21"/>
  <c r="AH2" i="21" s="1"/>
  <c r="AR41" i="34"/>
  <c r="G2" i="34" s="1"/>
  <c r="BU12" i="34"/>
  <c r="BW4" i="28"/>
  <c r="BT5" i="16"/>
  <c r="N26" i="16" s="1"/>
  <c r="BU12" i="28"/>
  <c r="G2" i="23"/>
  <c r="BP4" i="20"/>
  <c r="BP4" i="27"/>
  <c r="BP4" i="24"/>
  <c r="BP4" i="30"/>
  <c r="BP4" i="21"/>
  <c r="BP4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BP12" i="30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5" i="26"/>
  <c r="BP10" i="28"/>
  <c r="BP5" i="32"/>
  <c r="BP5" i="21"/>
  <c r="BP10" i="30"/>
  <c r="BP14" i="1"/>
  <c r="BP5" i="29"/>
  <c r="BP5" i="23"/>
  <c r="BP6" i="23"/>
  <c r="BP5" i="33"/>
  <c r="BP5" i="30"/>
  <c r="BP5" i="34"/>
  <c r="BP12" i="35"/>
  <c r="BP5" i="31"/>
  <c r="BP11" i="20"/>
  <c r="BP14" i="23"/>
  <c r="BP10" i="32"/>
  <c r="BP6" i="20"/>
  <c r="BP5" i="28"/>
  <c r="Y2" i="23"/>
  <c r="BP11" i="25"/>
  <c r="BP5" i="24"/>
  <c r="J2" i="23"/>
  <c r="BP11" i="32"/>
  <c r="BP5" i="27"/>
  <c r="BP5" i="20"/>
  <c r="BP11" i="27"/>
  <c r="BP14" i="21"/>
  <c r="BP10" i="27"/>
  <c r="BP10" i="25"/>
  <c r="BP10" i="34"/>
  <c r="BP11" i="31"/>
  <c r="BP11" i="34"/>
  <c r="BP12" i="20"/>
  <c r="BP10" i="24"/>
  <c r="BP10" i="35"/>
  <c r="BP12" i="1"/>
  <c r="BP10" i="26"/>
  <c r="BP13" i="1"/>
  <c r="BP10" i="36"/>
  <c r="AB2" i="23"/>
  <c r="BP10" i="31"/>
  <c r="BP10" i="33"/>
  <c r="BP11" i="24"/>
  <c r="BP11" i="28"/>
  <c r="BP11" i="30"/>
  <c r="BP11" i="33"/>
  <c r="BP11" i="35"/>
  <c r="AB2" i="30"/>
  <c r="Y2" i="30"/>
  <c r="J2" i="30"/>
  <c r="AE2" i="30"/>
  <c r="S2" i="28"/>
  <c r="J2" i="28"/>
  <c r="AB2" i="28"/>
  <c r="G2" i="28"/>
  <c r="Y2" i="28"/>
  <c r="P2" i="28"/>
  <c r="M2" i="28"/>
  <c r="V2" i="28"/>
  <c r="P2" i="27"/>
  <c r="AB2" i="27"/>
  <c r="Y2" i="27"/>
  <c r="V2" i="27"/>
  <c r="G2" i="27"/>
  <c r="J2" i="27"/>
  <c r="S2" i="27"/>
  <c r="M2" i="27"/>
  <c r="S2" i="32"/>
  <c r="P2" i="32"/>
  <c r="G2" i="32"/>
  <c r="AE2" i="32"/>
  <c r="V2" i="32"/>
  <c r="Y2" i="32"/>
  <c r="M2" i="32"/>
  <c r="AB2" i="32"/>
  <c r="J2" i="32"/>
  <c r="V2" i="33"/>
  <c r="AB2" i="33"/>
  <c r="J2" i="33"/>
  <c r="M2" i="33"/>
  <c r="G2" i="33"/>
  <c r="P2" i="33"/>
  <c r="S2" i="33"/>
  <c r="Y2" i="33"/>
  <c r="AB2" i="34"/>
  <c r="V2" i="34"/>
  <c r="Y2" i="34"/>
  <c r="S2" i="34"/>
  <c r="M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Y2" i="36"/>
  <c r="S2" i="36"/>
  <c r="J2" i="36"/>
  <c r="M2" i="36"/>
  <c r="P2" i="36"/>
  <c r="V2" i="26"/>
  <c r="Y2" i="26"/>
  <c r="AB2" i="26"/>
  <c r="S2" i="26"/>
  <c r="P2" i="26"/>
  <c r="M2" i="26"/>
  <c r="J2" i="26"/>
  <c r="Y2" i="35"/>
  <c r="P2" i="35"/>
  <c r="V2" i="35"/>
  <c r="AE2" i="35"/>
  <c r="G2" i="35"/>
  <c r="AB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M2" i="29"/>
  <c r="AB2" i="29"/>
  <c r="V2" i="29"/>
  <c r="S2" i="29"/>
  <c r="Y2" i="29"/>
  <c r="J2" i="29"/>
  <c r="P2" i="29"/>
  <c r="G2" i="25"/>
  <c r="P2" i="25"/>
  <c r="M2" i="25"/>
  <c r="S2" i="25"/>
  <c r="AB2" i="25"/>
  <c r="J2" i="25"/>
  <c r="Y2" i="25"/>
  <c r="V2" i="25"/>
  <c r="S2" i="31"/>
  <c r="Y2" i="31"/>
  <c r="P2" i="31"/>
  <c r="J2" i="31"/>
  <c r="V2" i="31"/>
  <c r="G2" i="31"/>
  <c r="M2" i="31"/>
  <c r="AB2" i="31"/>
  <c r="R2" i="16"/>
  <c r="U2" i="16"/>
  <c r="AG2" i="16"/>
  <c r="F2" i="16"/>
  <c r="I2" i="16"/>
  <c r="L2" i="16"/>
  <c r="O2" i="16"/>
  <c r="X2" i="16"/>
  <c r="AA2" i="16"/>
  <c r="BP15" i="21" l="1"/>
  <c r="BN8" i="21" s="1"/>
  <c r="AH2" i="35"/>
  <c r="AH2" i="30"/>
  <c r="AK2" i="30"/>
  <c r="BP12" i="26"/>
  <c r="BN6" i="26" s="1"/>
  <c r="AH2" i="31"/>
  <c r="AN2" i="29"/>
  <c r="AH2" i="32"/>
  <c r="BP14" i="31"/>
  <c r="BN5" i="31" s="1"/>
  <c r="AN2" i="36"/>
  <c r="AE2" i="36"/>
  <c r="BP12" i="28"/>
  <c r="AH2" i="28"/>
  <c r="AH2" i="24"/>
  <c r="AE2" i="27"/>
  <c r="BP12" i="34"/>
  <c r="BP15" i="23"/>
  <c r="BN4" i="23" s="1"/>
  <c r="AH2" i="33"/>
  <c r="AE2" i="33"/>
  <c r="AK2" i="36"/>
  <c r="AH2" i="27"/>
  <c r="BP12" i="24"/>
  <c r="BN14" i="24" s="1"/>
  <c r="BP12" i="36"/>
  <c r="BN12" i="36" s="1"/>
  <c r="AH2" i="29"/>
  <c r="AN2" i="26"/>
  <c r="AK2" i="27"/>
  <c r="AE2" i="28"/>
  <c r="AE2" i="26"/>
  <c r="AE2" i="31"/>
  <c r="AE2" i="24"/>
  <c r="AH2" i="23"/>
  <c r="BP12" i="29"/>
  <c r="BN11" i="29" s="1"/>
  <c r="AN2" i="34"/>
  <c r="AE2" i="34"/>
  <c r="AE2" i="23"/>
  <c r="BP12" i="25"/>
  <c r="BN6" i="25" s="1"/>
  <c r="AN2" i="21"/>
  <c r="BP4" i="28"/>
  <c r="AE2" i="21"/>
  <c r="AE2" i="25"/>
  <c r="AN2" i="25"/>
  <c r="BP4" i="34"/>
  <c r="G2" i="26"/>
  <c r="AH2" i="34"/>
  <c r="BN13" i="30"/>
  <c r="BN10" i="20"/>
  <c r="BN12" i="1"/>
  <c r="BN6" i="20"/>
  <c r="BN12" i="27"/>
  <c r="BN11" i="27"/>
  <c r="BN6" i="35"/>
  <c r="BN13" i="1"/>
  <c r="BN4" i="20"/>
  <c r="BN15" i="20"/>
  <c r="BN15" i="27"/>
  <c r="BN8" i="30"/>
  <c r="BN11" i="35"/>
  <c r="BN14" i="30"/>
  <c r="BN6" i="32"/>
  <c r="BN6" i="30"/>
  <c r="BN9" i="32"/>
  <c r="BN13" i="27"/>
  <c r="BN10" i="27"/>
  <c r="BN7" i="27"/>
  <c r="BN7" i="35"/>
  <c r="BN4" i="30"/>
  <c r="BN8" i="27"/>
  <c r="BN8" i="32"/>
  <c r="BN5" i="32"/>
  <c r="BN11" i="30"/>
  <c r="BN9" i="27"/>
  <c r="BN15" i="30"/>
  <c r="BN13" i="33"/>
  <c r="BN6" i="27"/>
  <c r="BN5" i="30"/>
  <c r="BN5" i="27"/>
  <c r="BN10" i="30"/>
  <c r="BN14" i="27"/>
  <c r="BN12" i="30"/>
  <c r="BN4" i="27"/>
  <c r="BN9" i="30"/>
  <c r="BN7" i="30"/>
  <c r="BN10" i="32"/>
  <c r="BN11" i="20"/>
  <c r="BN5" i="20"/>
  <c r="BN9" i="20"/>
  <c r="BN12" i="20"/>
  <c r="BN5" i="33"/>
  <c r="BN14" i="20"/>
  <c r="BN13" i="20"/>
  <c r="BN9" i="1"/>
  <c r="BN7" i="20"/>
  <c r="BN8" i="20"/>
  <c r="BN5" i="1"/>
  <c r="BN6" i="1"/>
  <c r="BN15" i="33"/>
  <c r="BN4" i="1"/>
  <c r="BN6" i="33"/>
  <c r="BN15" i="1"/>
  <c r="BN12" i="35"/>
  <c r="BN4" i="32"/>
  <c r="BN15" i="32"/>
  <c r="BN7" i="1"/>
  <c r="BN11" i="33"/>
  <c r="BN11" i="32"/>
  <c r="BN12" i="33"/>
  <c r="BN8" i="35"/>
  <c r="BN8" i="1"/>
  <c r="BN9" i="35"/>
  <c r="BN14" i="32"/>
  <c r="BN11" i="1"/>
  <c r="BN4" i="33"/>
  <c r="BN10" i="1"/>
  <c r="BN7" i="32"/>
  <c r="BN14" i="1"/>
  <c r="BN15" i="35"/>
  <c r="BN13" i="35"/>
  <c r="BN9" i="33"/>
  <c r="BN10" i="35"/>
  <c r="BN7" i="33"/>
  <c r="BN4" i="35"/>
  <c r="BN8" i="33"/>
  <c r="BN12" i="32"/>
  <c r="BN14" i="35"/>
  <c r="BN13" i="32"/>
  <c r="BN5" i="35"/>
  <c r="BN14" i="33"/>
  <c r="BN10" i="33"/>
  <c r="AD2" i="16"/>
  <c r="AJ2" i="16"/>
  <c r="AM2" i="16"/>
  <c r="BN7" i="21" l="1"/>
  <c r="BN10" i="21"/>
  <c r="BN5" i="21"/>
  <c r="BN11" i="21"/>
  <c r="BN4" i="21"/>
  <c r="BN12" i="21"/>
  <c r="BN14" i="21"/>
  <c r="BN13" i="21"/>
  <c r="BN15" i="21"/>
  <c r="BN6" i="21"/>
  <c r="BN9" i="21"/>
  <c r="BN7" i="26"/>
  <c r="BN9" i="26"/>
  <c r="BN8" i="26"/>
  <c r="BN14" i="26"/>
  <c r="BN10" i="26"/>
  <c r="BN4" i="26"/>
  <c r="BN13" i="26"/>
  <c r="BN12" i="26"/>
  <c r="BN15" i="26"/>
  <c r="BN11" i="26"/>
  <c r="BN5" i="26"/>
  <c r="BN6" i="24"/>
  <c r="BN8" i="24"/>
  <c r="BN10" i="24"/>
  <c r="BN5" i="24"/>
  <c r="BN11" i="31"/>
  <c r="BN15" i="31"/>
  <c r="BN13" i="31"/>
  <c r="BN8" i="34"/>
  <c r="BN7" i="31"/>
  <c r="BN10" i="31"/>
  <c r="BN4" i="31"/>
  <c r="BN8" i="31"/>
  <c r="BN14" i="34"/>
  <c r="BN13" i="28"/>
  <c r="BN14" i="31"/>
  <c r="BN9" i="31"/>
  <c r="BN6" i="31"/>
  <c r="BN11" i="36"/>
  <c r="BN12" i="31"/>
  <c r="BN9" i="24"/>
  <c r="BN13" i="24"/>
  <c r="BN11" i="24"/>
  <c r="BN15" i="24"/>
  <c r="BN4" i="24"/>
  <c r="BN12" i="23"/>
  <c r="BN15" i="34"/>
  <c r="BN11" i="28"/>
  <c r="BN5" i="28"/>
  <c r="BN6" i="28"/>
  <c r="BN7" i="34"/>
  <c r="BN11" i="34"/>
  <c r="BN7" i="24"/>
  <c r="BN12" i="34"/>
  <c r="BN10" i="23"/>
  <c r="BN6" i="23"/>
  <c r="BN5" i="23"/>
  <c r="BN15" i="23"/>
  <c r="BN14" i="23"/>
  <c r="BN12" i="24"/>
  <c r="BN13" i="34"/>
  <c r="BN6" i="29"/>
  <c r="BN8" i="23"/>
  <c r="BN11" i="23"/>
  <c r="BN13" i="23"/>
  <c r="BN9" i="23"/>
  <c r="BN7" i="23"/>
  <c r="BN4" i="36"/>
  <c r="BN12" i="28"/>
  <c r="BN9" i="28"/>
  <c r="BN10" i="34"/>
  <c r="BN4" i="34"/>
  <c r="BN6" i="34"/>
  <c r="BN4" i="28"/>
  <c r="BN8" i="28"/>
  <c r="BN6" i="36"/>
  <c r="BN14" i="36"/>
  <c r="BN15" i="28"/>
  <c r="BN7" i="28"/>
  <c r="BN10" i="28"/>
  <c r="BN9" i="34"/>
  <c r="BN5" i="34"/>
  <c r="BN14" i="28"/>
  <c r="BN8" i="36"/>
  <c r="BN9" i="36"/>
  <c r="BN5" i="36"/>
  <c r="BN15" i="36"/>
  <c r="BN13" i="36"/>
  <c r="BN7" i="36"/>
  <c r="BN10" i="36"/>
  <c r="BN4" i="25"/>
  <c r="BN13" i="29"/>
  <c r="BN10" i="25"/>
  <c r="BN7" i="25"/>
  <c r="BN9" i="29"/>
  <c r="BN15" i="29"/>
  <c r="BN14" i="25"/>
  <c r="BN8" i="29"/>
  <c r="BN11" i="25"/>
  <c r="BN12" i="25"/>
  <c r="BN5" i="29"/>
  <c r="BN13" i="25"/>
  <c r="BN9" i="25"/>
  <c r="BN5" i="25"/>
  <c r="BN14" i="29"/>
  <c r="BN4" i="29"/>
  <c r="BN12" i="29"/>
  <c r="BN15" i="25"/>
  <c r="BN7" i="29"/>
  <c r="BN8" i="25"/>
  <c r="BN10" i="29"/>
</calcChain>
</file>

<file path=xl/sharedStrings.xml><?xml version="1.0" encoding="utf-8"?>
<sst xmlns="http://schemas.openxmlformats.org/spreadsheetml/2006/main" count="4194" uniqueCount="748">
  <si>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</si>
  <si>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</si>
  <si>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</si>
  <si>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</si>
  <si>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</si>
  <si>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</si>
  <si>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</si>
  <si>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</si>
  <si>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</si>
  <si>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</si>
  <si>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</si>
  <si>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</si>
  <si>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</si>
  <si>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</si>
  <si>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</si>
  <si>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</si>
  <si>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</si>
  <si>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</si>
  <si>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</si>
  <si>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</si>
  <si>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</si>
  <si>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</si>
  <si>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</si>
  <si>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</si>
  <si>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</si>
  <si>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</si>
  <si>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</si>
  <si>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</si>
  <si>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</si>
  <si>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</si>
  <si>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</si>
  <si>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</si>
  <si>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</si>
  <si>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</si>
  <si>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</si>
  <si>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</si>
  <si>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</si>
  <si>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</si>
  <si>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</si>
  <si>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</si>
  <si>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</si>
  <si>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</si>
  <si>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</si>
  <si>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</si>
  <si>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</si>
  <si>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</si>
  <si>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</si>
  <si>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</si>
  <si>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</si>
  <si>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</si>
  <si>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</si>
  <si>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</si>
  <si>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</si>
  <si>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</si>
  <si>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</si>
  <si>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</si>
  <si>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</si>
  <si>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</si>
  <si>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</si>
  <si>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</si>
  <si>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</si>
  <si>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</si>
  <si>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</si>
  <si>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</si>
  <si>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</si>
  <si>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</si>
  <si>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</si>
  <si>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</si>
  <si>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</si>
  <si>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</si>
  <si>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</si>
  <si>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</si>
  <si>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</si>
  <si>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</si>
  <si>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</si>
  <si>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</si>
  <si>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</si>
  <si>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</si>
  <si>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</si>
  <si>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</si>
  <si>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</si>
  <si>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</si>
  <si>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</si>
  <si>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</si>
  <si>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</si>
  <si>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</si>
  <si>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</si>
  <si>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</si>
  <si>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</si>
  <si>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</si>
  <si>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</si>
  <si>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</si>
  <si>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</si>
  <si>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</si>
  <si>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</si>
  <si>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</si>
  <si>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</si>
  <si>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</si>
  <si>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</si>
  <si>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</si>
  <si>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</si>
  <si>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</si>
  <si>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</si>
  <si>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</si>
  <si>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</si>
  <si>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</si>
  <si>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</si>
  <si>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</si>
  <si>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</si>
  <si>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</si>
  <si>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</si>
  <si>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</si>
  <si>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</si>
  <si>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</si>
  <si>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</si>
  <si>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</si>
  <si>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</si>
  <si>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</si>
  <si>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</si>
  <si>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</si>
  <si>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</si>
  <si>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</si>
  <si>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</si>
  <si>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</si>
  <si>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</si>
  <si>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</si>
  <si>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</si>
  <si>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</si>
  <si>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</si>
  <si>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</si>
  <si>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</si>
  <si>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</si>
  <si>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</si>
  <si>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</si>
  <si>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</si>
  <si>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</si>
  <si>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</si>
  <si>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</si>
  <si>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</si>
  <si>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</si>
  <si>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</si>
  <si>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</si>
  <si>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</si>
  <si>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</si>
  <si>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</si>
  <si>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</si>
  <si>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</si>
  <si>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</si>
  <si>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</si>
  <si>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</si>
  <si>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</si>
  <si>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</si>
  <si>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</si>
  <si>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</si>
  <si>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</si>
  <si>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</si>
  <si>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</si>
  <si>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</si>
  <si>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</si>
  <si>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</si>
  <si>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</si>
  <si>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</si>
  <si>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</si>
  <si>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</si>
  <si>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</si>
  <si>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</si>
  <si>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</si>
  <si>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</si>
  <si>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</si>
  <si>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</si>
  <si>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</si>
  <si>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</si>
  <si>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</si>
  <si>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</si>
  <si>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</si>
  <si>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</si>
  <si>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</si>
  <si>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</si>
  <si>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</si>
  <si>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</si>
  <si>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</si>
  <si>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</si>
  <si>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</si>
  <si>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</si>
  <si>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</si>
  <si>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</si>
  <si>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</si>
  <si>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</si>
  <si>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</si>
  <si>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</si>
  <si>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</si>
  <si>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</si>
  <si>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</si>
  <si>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</si>
  <si>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</si>
  <si>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</si>
  <si>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</si>
  <si>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</si>
  <si>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</si>
  <si>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</si>
  <si>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</si>
  <si>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</si>
  <si>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</si>
  <si>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</si>
  <si>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</si>
  <si>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</si>
  <si>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</si>
  <si>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</si>
  <si>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</si>
  <si>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</si>
  <si>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</si>
  <si>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</si>
  <si>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</si>
  <si>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</si>
  <si>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</si>
  <si>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</si>
  <si>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</si>
  <si>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</si>
  <si>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</si>
  <si>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</si>
  <si>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</si>
  <si>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</si>
  <si>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</si>
  <si>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</si>
  <si>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</si>
  <si>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</si>
  <si>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</si>
  <si>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</si>
  <si>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</si>
  <si>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</si>
  <si>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</si>
  <si>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</si>
  <si>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</si>
  <si>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</si>
  <si>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</si>
  <si>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</si>
  <si>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</si>
  <si>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</si>
  <si>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</si>
  <si>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</si>
  <si>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</si>
  <si>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</si>
  <si>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</si>
  <si>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</si>
  <si>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</si>
  <si>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</si>
  <si>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</si>
  <si>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</si>
  <si>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</si>
  <si>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</si>
  <si>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</si>
  <si>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</si>
  <si>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</si>
  <si>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</si>
  <si>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</si>
  <si>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</si>
  <si>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</si>
  <si>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</si>
  <si>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</si>
  <si>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</si>
  <si>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</si>
  <si>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</si>
  <si>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</si>
  <si>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</si>
  <si>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</si>
  <si>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</si>
  <si>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</si>
  <si>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</si>
  <si>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</si>
  <si>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</si>
  <si>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</si>
  <si>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</si>
  <si>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</si>
  <si>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</si>
  <si>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</si>
  <si>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</si>
  <si>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</si>
  <si>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</si>
  <si>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</si>
  <si>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</si>
  <si>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</si>
  <si>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</si>
  <si>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</si>
  <si>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</si>
  <si>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</si>
  <si>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</si>
  <si>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</si>
  <si>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</si>
  <si>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</si>
  <si>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</si>
  <si>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</si>
  <si>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</si>
  <si>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</si>
  <si>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</si>
  <si>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</si>
  <si>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</si>
  <si>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</si>
  <si>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</si>
  <si>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</si>
  <si>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</si>
  <si>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</si>
  <si>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</si>
  <si>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</si>
  <si>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</si>
  <si>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</si>
  <si>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</si>
  <si>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</si>
  <si>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</si>
  <si>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</si>
  <si>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</si>
  <si>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</si>
  <si>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</si>
  <si>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</si>
  <si>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</si>
  <si>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</si>
  <si>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</si>
  <si>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</si>
  <si>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</si>
  <si>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</si>
  <si>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</si>
  <si>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</si>
  <si>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</si>
  <si>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</si>
  <si>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</si>
  <si>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</si>
  <si>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</si>
  <si>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</si>
  <si>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</si>
  <si>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</si>
  <si>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</si>
  <si>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</si>
  <si>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</si>
  <si>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</si>
  <si>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</si>
  <si>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</si>
  <si>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</si>
  <si>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</si>
  <si>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</si>
  <si>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</si>
  <si>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</si>
  <si>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</si>
  <si>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</si>
  <si>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</si>
  <si>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</si>
  <si>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</si>
  <si>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</si>
  <si>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</si>
  <si>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</si>
  <si>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</si>
  <si>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</si>
  <si>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</si>
  <si>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</si>
  <si>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</si>
  <si>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</si>
  <si>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</si>
  <si>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</si>
  <si>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</si>
  <si>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</si>
  <si>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</si>
  <si>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</si>
  <si>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</si>
  <si>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</si>
  <si>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</si>
  <si>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</si>
  <si>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</si>
  <si>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</si>
  <si>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</si>
  <si>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</si>
  <si>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</si>
  <si>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</si>
  <si>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</si>
  <si>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</si>
  <si>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</si>
  <si>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</si>
  <si>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</si>
  <si>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</si>
  <si>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</si>
  <si>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</si>
  <si>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</si>
  <si>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</si>
  <si>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</si>
  <si>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</si>
  <si>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</si>
  <si>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</si>
  <si>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</si>
  <si>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</si>
  <si>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</si>
  <si>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</si>
  <si>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</si>
  <si>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</si>
  <si>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</si>
  <si>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</si>
  <si>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</si>
  <si>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</si>
  <si>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</si>
  <si>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</si>
  <si>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</si>
  <si>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</si>
  <si>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</si>
  <si>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</si>
  <si>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</si>
  <si>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</si>
  <si>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</si>
  <si>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</si>
  <si>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</si>
  <si>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</si>
  <si>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</si>
  <si>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</si>
  <si>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</si>
  <si>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</si>
  <si>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</si>
  <si>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</si>
  <si>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</si>
  <si>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</si>
  <si>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</si>
  <si>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</si>
  <si>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</si>
  <si>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</si>
  <si>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</si>
  <si>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</si>
  <si>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</si>
  <si>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</si>
  <si>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</si>
  <si>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</si>
  <si>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</si>
  <si>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</si>
  <si>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</si>
  <si>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</si>
  <si>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</si>
  <si>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</si>
  <si>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</si>
  <si>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</si>
  <si>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</si>
  <si>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</si>
  <si>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</si>
  <si>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</si>
  <si>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</si>
  <si>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</si>
  <si>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</si>
  <si>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</si>
  <si>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</si>
  <si>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</si>
  <si>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</si>
  <si>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</si>
  <si>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</si>
  <si>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</si>
  <si>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</si>
  <si>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</si>
  <si>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</si>
  <si>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</si>
  <si>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</si>
  <si>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</si>
  <si>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</si>
  <si>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</si>
  <si>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</si>
  <si>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</si>
  <si>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</si>
  <si>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</si>
  <si>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</si>
  <si>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</si>
  <si>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</si>
  <si>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</si>
  <si>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</si>
  <si>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</si>
  <si>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</si>
  <si>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</si>
  <si>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</si>
  <si>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</si>
  <si>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</si>
  <si>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</si>
  <si>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</si>
  <si>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</si>
  <si>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</si>
  <si>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</si>
  <si>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</si>
  <si>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</si>
  <si>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</si>
  <si>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</si>
  <si>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</si>
  <si>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</si>
  <si>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</si>
  <si>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</si>
  <si>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</si>
  <si>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</si>
  <si>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</si>
  <si>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</si>
  <si>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</si>
  <si>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</si>
  <si>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</si>
  <si>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</si>
  <si>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</si>
  <si>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</si>
  <si>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</si>
  <si>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</si>
  <si>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</si>
  <si>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</si>
  <si>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</si>
  <si>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</si>
  <si>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</si>
  <si>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</si>
  <si>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</si>
  <si>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</si>
  <si>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</si>
  <si>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</si>
  <si>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</si>
  <si>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</si>
  <si>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</si>
  <si>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</si>
  <si>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</si>
  <si>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</si>
  <si>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</si>
  <si>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</si>
  <si>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</si>
  <si>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</si>
  <si>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</si>
  <si>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</si>
  <si>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</si>
  <si>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</si>
  <si>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</si>
  <si>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</si>
  <si>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</si>
  <si>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</si>
  <si>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</si>
  <si>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</si>
  <si>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</si>
  <si>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</si>
  <si>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</si>
  <si>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</si>
  <si>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</si>
  <si>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</si>
  <si>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</si>
  <si>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</si>
  <si>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</si>
  <si>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</si>
  <si>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</si>
  <si>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</si>
  <si>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</si>
  <si>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</si>
  <si>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</si>
  <si>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</si>
  <si>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</si>
  <si>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</si>
  <si>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</si>
  <si>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</si>
  <si>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</si>
  <si>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</si>
  <si>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</si>
  <si>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</si>
  <si>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</si>
  <si>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</si>
  <si>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</si>
  <si>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</si>
  <si>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</si>
  <si>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</si>
  <si>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</si>
  <si>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</si>
  <si>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</si>
  <si>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</si>
  <si>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</si>
  <si>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</si>
  <si>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</si>
  <si>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</si>
  <si>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</si>
  <si>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</si>
  <si>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</si>
  <si>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</si>
  <si>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</si>
  <si>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</si>
  <si>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</si>
  <si>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</si>
  <si>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</si>
  <si>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</si>
  <si>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</si>
  <si>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</si>
  <si>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</si>
  <si>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</si>
  <si>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</si>
  <si>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</si>
  <si>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</si>
  <si>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</si>
  <si>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</si>
  <si>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</si>
  <si>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</si>
  <si>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</si>
  <si>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</si>
  <si>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</si>
  <si>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</si>
  <si>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</si>
  <si>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</si>
  <si>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</si>
  <si>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</si>
  <si>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</si>
  <si>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</si>
  <si>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</si>
  <si>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</si>
  <si>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</si>
  <si>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</si>
  <si>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</si>
  <si>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</si>
  <si>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</si>
  <si>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</si>
  <si>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</si>
  <si>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</si>
  <si>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</si>
  <si>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</si>
  <si>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</si>
  <si>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</si>
  <si>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</si>
  <si>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</si>
  <si>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</si>
  <si>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</si>
  <si>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</si>
  <si>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</si>
  <si>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</si>
  <si>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</si>
  <si>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</si>
  <si>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</si>
  <si>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</si>
  <si>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</si>
  <si>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</si>
  <si>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</si>
  <si>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</si>
  <si>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</si>
  <si>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</si>
  <si>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</si>
  <si>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</si>
  <si>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</si>
  <si>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</si>
  <si>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</si>
  <si>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</si>
  <si>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</si>
  <si>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</si>
  <si>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</si>
  <si>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</si>
  <si>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</si>
  <si>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</si>
  <si>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</si>
  <si>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</si>
  <si>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</si>
  <si>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</si>
  <si>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</si>
  <si>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</si>
  <si>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</si>
  <si>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</si>
  <si>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</si>
  <si>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</si>
  <si>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</si>
  <si>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</si>
  <si>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</si>
  <si>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</si>
  <si>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</si>
  <si>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</si>
  <si>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</si>
  <si>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</si>
  <si>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</si>
  <si>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</si>
  <si>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</si>
  <si>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</si>
  <si>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</si>
  <si>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Lions, Packers</t>
  </si>
  <si>
    <t>Week 6</t>
  </si>
  <si>
    <t>Patriots, Raiders, Saints, Seahawks</t>
  </si>
  <si>
    <t>Week 7</t>
  </si>
  <si>
    <t>Colts, Jaguars, Titans, Vikings</t>
  </si>
  <si>
    <t>Week 8</t>
  </si>
  <si>
    <t>Week 9</t>
  </si>
  <si>
    <t>Bengals, Browns, Eagles, Rams</t>
  </si>
  <si>
    <t>Week 10</t>
  </si>
  <si>
    <t>Chargers, Chiefs, Cowboys, Falcons</t>
  </si>
  <si>
    <t>Week 11</t>
  </si>
  <si>
    <t>49ers, Bears, Bills, Dolphins, Giants, Jets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</si>
  <si>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</si>
  <si>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</si>
  <si>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</si>
  <si>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</si>
  <si>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</si>
  <si>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</si>
  <si>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</si>
  <si>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</si>
  <si>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</si>
  <si>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</si>
  <si>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</si>
  <si>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</si>
  <si>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</si>
  <si>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</si>
  <si>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</si>
  <si>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</si>
  <si>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</si>
  <si>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</si>
  <si>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</si>
  <si>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</si>
  <si>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</si>
  <si>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</si>
  <si>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</si>
  <si>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</si>
  <si>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</si>
  <si>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</si>
  <si>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</si>
  <si>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</si>
  <si>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</si>
  <si>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</si>
  <si>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</si>
  <si>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</si>
  <si>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</si>
  <si>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</si>
  <si>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</si>
  <si>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</si>
  <si>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</si>
  <si>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</si>
  <si>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</si>
  <si>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</si>
  <si>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</si>
  <si>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</si>
  <si>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</si>
  <si>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</si>
  <si>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</si>
  <si>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</si>
  <si>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</si>
  <si>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</si>
  <si>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</si>
  <si>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</si>
  <si>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</si>
  <si>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</si>
  <si>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</si>
  <si>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</si>
  <si>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</si>
  <si>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</si>
  <si>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</si>
  <si>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</si>
  <si>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</si>
  <si>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</si>
  <si>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</si>
  <si>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</si>
  <si>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</si>
  <si>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</si>
  <si>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</si>
  <si>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</si>
  <si>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</si>
  <si>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</si>
  <si>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</si>
  <si>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</si>
  <si>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</si>
  <si>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</si>
  <si>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</si>
  <si>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</si>
  <si>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</si>
  <si>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Broncos, Cardinals, Ravens, Football Team, Steelers, Texans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</si>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</sst>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7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1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7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9">
        <f ca="1">$J$21</f>
        <v>1</v>
      </c>
      <c r="BF4" s="98" t="str">
        <f>$I$2</f>
        <v>CK</v>
      </c>
      <c r="BG4" s="99">
        <f ca="1">$K$21</f>
        <v>99</v>
      </c>
      <c r="BH4" s="177"/>
      <c r="BI4" s="340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41">
        <f t="shared" ref="BN4:BN15" ca="1" si="18">RANK(BP4,BP$4:BP$15,0)</f>
        <v>1</v>
      </c>
      <c r="BO4" s="84" t="str">
        <f>$I$2</f>
        <v>CK</v>
      </c>
      <c r="BP4" s="342">
        <f t="shared" ref="BP4:BP15" ca="1" si="19">SUM(BQ4,BS4,BU4,BW4)</f>
        <v>31</v>
      </c>
      <c r="BQ4" s="343">
        <f ca="1">-$AR$3*'Season Summary'!$AO$3</f>
        <v>-3</v>
      </c>
      <c r="BR4" s="344">
        <f ca="1">IF(COUNTIF('Season Summary'!H$3:OFFSET('Season Summary'!H$3,$C$2+$AR$2,0),"=1")&gt;0,COUNTIF('Season Summary'!H$3:OFFSET('Season Summary'!H$3,$C$2+$AR$2,0),"=1"),"")</f>
        <v>1</v>
      </c>
      <c r="BS4" s="345">
        <f ca="1">IF(BR4="","",BR4*'Season Summary'!$AO$6)</f>
        <v>31</v>
      </c>
      <c r="BT4" s="346" t="str">
        <f ca="1">IF($J$22=1,"✓","")</f>
        <v>✓</v>
      </c>
      <c r="BU4" s="345">
        <f t="shared" ref="BU4:BU15" ca="1" si="20">IF(BT4="✓",IF(COUNTIF(BT$4:BT$15,"✓")&gt;1,($Y$27+$AH$27)/COUNTIF(BT$4:BT$15,"✓"),$Y$27  ),"")</f>
        <v>3</v>
      </c>
      <c r="BV4" s="346" t="str">
        <f ca="1">IF($J$22=2,"✓","")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8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8">
        <f ca="1">$AK$21</f>
        <v>2</v>
      </c>
      <c r="BF5" s="100" t="str">
        <f>$AJ$2</f>
        <v>MB</v>
      </c>
      <c r="BG5" s="101">
        <f ca="1">$AL$21</f>
        <v>98</v>
      </c>
      <c r="BH5" s="177"/>
      <c r="BI5" s="349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9">
        <f t="shared" ca="1" si="18"/>
        <v>2</v>
      </c>
      <c r="BO5" s="85" t="str">
        <f>$AJ$2</f>
        <v>MB</v>
      </c>
      <c r="BP5" s="350">
        <f t="shared" ca="1" si="19"/>
        <v>-2</v>
      </c>
      <c r="BQ5" s="351">
        <f ca="1">-$AR$3*'Season Summary'!$AO$3</f>
        <v>-3</v>
      </c>
      <c r="BR5" s="352" t="str">
        <f ca="1">IF(COUNTIF('Season Summary'!AI$3:OFFSET('Season Summary'!AI$3,$C$2+$AR$2,0),"=1")&gt;0,COUNTIF('Season Summary'!AI$3:OFFSET('Season Summary'!AI$3,$C$2+$AR$2,0),"=1"),"")</f>
        <v/>
      </c>
      <c r="BS5" s="353" t="str">
        <f ca="1">IF(BR5="","",BR5*'Season Summary'!$AO$6)</f>
        <v/>
      </c>
      <c r="BT5" s="354" t="str">
        <f ca="1">IF($AK$22=1,"✓","")</f>
        <v/>
      </c>
      <c r="BU5" s="353" t="str">
        <f t="shared" ca="1" si="20"/>
        <v/>
      </c>
      <c r="BV5" s="354" t="str">
        <f ca="1">IF($AK$22=2,"✓","")</f>
        <v>✓</v>
      </c>
      <c r="BW5" s="355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8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8">
        <f ca="1">$AN$21</f>
        <v>2</v>
      </c>
      <c r="BF6" s="100" t="str">
        <f>$AM$2</f>
        <v>RR</v>
      </c>
      <c r="BG6" s="101">
        <f ca="1">$AO$21</f>
        <v>98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9">
        <f t="shared" ca="1" si="18"/>
        <v>2</v>
      </c>
      <c r="BO6" s="85" t="str">
        <f>$AM$2</f>
        <v>RR</v>
      </c>
      <c r="BP6" s="350">
        <f t="shared" ca="1" si="19"/>
        <v>-2</v>
      </c>
      <c r="BQ6" s="351">
        <f ca="1">-$AR$3*'Season Summary'!$AO$3</f>
        <v>-3</v>
      </c>
      <c r="BR6" s="352" t="str">
        <f ca="1">IF(COUNTIF('Season Summary'!AL$3:OFFSET('Season Summary'!AL$3,$C$2+$AR$2,0),"=1")&gt;0,COUNTIF('Season Summary'!AL$3:OFFSET('Season Summary'!AL$3,$C$2+$AR$2,0),"=1"),"")</f>
        <v/>
      </c>
      <c r="BS6" s="353" t="str">
        <f ca="1">IF(BR6="","",BR6*'Season Summary'!$AO$6)</f>
        <v/>
      </c>
      <c r="BT6" s="354" t="str">
        <f ca="1">IF($AN$22=1,"✓","")</f>
        <v/>
      </c>
      <c r="BU6" s="353" t="str">
        <f t="shared" ca="1" si="20"/>
        <v/>
      </c>
      <c r="BV6" s="354" t="str">
        <f ca="1">IF($AN$22=2,"✓","")</f>
        <v>✓</v>
      </c>
      <c r="BW6" s="355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8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8">
        <f ca="1">$Y$21</f>
        <v>4</v>
      </c>
      <c r="BF7" s="100" t="str">
        <f>$X$2</f>
        <v>JH</v>
      </c>
      <c r="BG7" s="101">
        <f ca="1">$Z$21</f>
        <v>97</v>
      </c>
      <c r="BH7" s="177"/>
      <c r="BI7" s="349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9">
        <f t="shared" ca="1" si="18"/>
        <v>4</v>
      </c>
      <c r="BO7" s="85" t="str">
        <f>$F$2</f>
        <v>BM</v>
      </c>
      <c r="BP7" s="350">
        <f t="shared" ca="1" si="19"/>
        <v>-3</v>
      </c>
      <c r="BQ7" s="351">
        <f ca="1">-$AR$3*'Season Summary'!$AO$3</f>
        <v>-3</v>
      </c>
      <c r="BR7" s="352" t="str">
        <f ca="1">IF(COUNTIF('Season Summary'!E$3:OFFSET('Season Summary'!E$3,$C$2+$AR$2,0),"=1")&gt;0,COUNTIF('Season Summary'!E$3:OFFSET('Season Summary'!E$3,$C$2+$AR$2,0),"=1"),"")</f>
        <v/>
      </c>
      <c r="BS7" s="353" t="str">
        <f ca="1">IF(BR7="","",BR7*'Season Summary'!$AO$6)</f>
        <v/>
      </c>
      <c r="BT7" s="354" t="str">
        <f ca="1">IF($G$22=1,"✓","")</f>
        <v/>
      </c>
      <c r="BU7" s="353" t="str">
        <f t="shared" ca="1" si="20"/>
        <v/>
      </c>
      <c r="BV7" s="354" t="str">
        <f ca="1">IF($G$22=2,"✓","")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8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8">
        <f ca="1">$AH$21</f>
        <v>4</v>
      </c>
      <c r="BF8" s="100" t="str">
        <f>$AG$2</f>
        <v>KK</v>
      </c>
      <c r="BG8" s="101">
        <f ca="1">$AI$21</f>
        <v>97</v>
      </c>
      <c r="BH8" s="177"/>
      <c r="BI8" s="349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9">
        <f t="shared" ca="1" si="18"/>
        <v>4</v>
      </c>
      <c r="BO8" s="85" t="str">
        <f>$L$2</f>
        <v>CP</v>
      </c>
      <c r="BP8" s="350">
        <f t="shared" ca="1" si="19"/>
        <v>-3</v>
      </c>
      <c r="BQ8" s="351">
        <f ca="1">-$AR$3*'Season Summary'!$AO$3</f>
        <v>-3</v>
      </c>
      <c r="BR8" s="352" t="str">
        <f ca="1">IF(COUNTIF('Season Summary'!K$3:OFFSET('Season Summary'!K$3,$C$2+$AR$2,0),"=1")&gt;0,COUNTIF('Season Summary'!K$3:OFFSET('Season Summary'!K$3,$C$2+$AR$2,0),"=1"),"")</f>
        <v/>
      </c>
      <c r="BS8" s="353" t="str">
        <f ca="1">IF(BR8="","",BR8*'Season Summary'!$AO$6)</f>
        <v/>
      </c>
      <c r="BT8" s="354" t="str">
        <f ca="1">IF($M$22=1,"✓","")</f>
        <v/>
      </c>
      <c r="BU8" s="353" t="str">
        <f t="shared" ca="1" si="20"/>
        <v/>
      </c>
      <c r="BV8" s="354" t="str">
        <f ca="1">IF($M$22=2,"✓","")</f>
        <v/>
      </c>
      <c r="BW8" s="355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8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8">
        <f ca="1">$AE$21</f>
        <v>6</v>
      </c>
      <c r="BF9" s="100" t="str">
        <f>$AD$2</f>
        <v>KC</v>
      </c>
      <c r="BG9" s="101">
        <f ca="1">$AF$21</f>
        <v>87</v>
      </c>
      <c r="BH9" s="177"/>
      <c r="BI9" s="349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9">
        <f t="shared" ca="1" si="18"/>
        <v>4</v>
      </c>
      <c r="BO9" s="85" t="str">
        <f>$O$2</f>
        <v>DC</v>
      </c>
      <c r="BP9" s="350">
        <f t="shared" ca="1" si="19"/>
        <v>-3</v>
      </c>
      <c r="BQ9" s="351">
        <f ca="1">-$AR$3*'Season Summary'!$AO$3</f>
        <v>-3</v>
      </c>
      <c r="BR9" s="352" t="str">
        <f ca="1">IF(COUNTIF('Season Summary'!N$3:OFFSET('Season Summary'!N$3,$C$2+$AR$2,0),"=1")&gt;0,COUNTIF('Season Summary'!N$3:OFFSET('Season Summary'!N$3,$C$2+$AR$2,0),"=1"),"")</f>
        <v/>
      </c>
      <c r="BS9" s="353" t="str">
        <f ca="1">IF(BR9="","",BR9*'Season Summary'!$AO$6)</f>
        <v/>
      </c>
      <c r="BT9" s="354" t="str">
        <f ca="1">IF($P$22=1,"✓","")</f>
        <v/>
      </c>
      <c r="BU9" s="353" t="str">
        <f t="shared" ca="1" si="20"/>
        <v/>
      </c>
      <c r="BV9" s="354" t="str">
        <f ca="1">IF($P$22=2,"✓","")</f>
        <v/>
      </c>
      <c r="BW9" s="355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8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8">
        <f ca="1">$M$21</f>
        <v>7</v>
      </c>
      <c r="BF10" s="100" t="str">
        <f>$L$2</f>
        <v>CP</v>
      </c>
      <c r="BG10" s="101">
        <f ca="1">$N$21</f>
        <v>86</v>
      </c>
      <c r="BH10" s="177"/>
      <c r="BI10" s="349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9">
        <f t="shared" ca="1" si="18"/>
        <v>4</v>
      </c>
      <c r="BO10" s="85" t="str">
        <f>$R$2</f>
        <v>DH</v>
      </c>
      <c r="BP10" s="350">
        <f t="shared" ca="1" si="19"/>
        <v>-3</v>
      </c>
      <c r="BQ10" s="351">
        <f ca="1">-$AR$3*'Season Summary'!$AO$3</f>
        <v>-3</v>
      </c>
      <c r="BR10" s="352" t="str">
        <f ca="1">IF(COUNTIF('Season Summary'!Q$3:OFFSET('Season Summary'!Q$3,$C$2+$AR$2,0),"=1")&gt;0,COUNTIF('Season Summary'!Q$3:OFFSET('Season Summary'!Q$3,$C$2+$AR$2,0),"=1"),"")</f>
        <v/>
      </c>
      <c r="BS10" s="353" t="str">
        <f ca="1">IF(BR10="","",BR10*'Season Summary'!$AO$6)</f>
        <v/>
      </c>
      <c r="BT10" s="354" t="str">
        <f ca="1">IF($S$22=1,"✓","")</f>
        <v/>
      </c>
      <c r="BU10" s="353" t="str">
        <f t="shared" ca="1" si="20"/>
        <v/>
      </c>
      <c r="BV10" s="354" t="str">
        <f ca="1">IF($S$22=2,"✓","")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8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8">
        <f ca="1">$V$21</f>
        <v>8</v>
      </c>
      <c r="BF11" s="100" t="str">
        <f>$U$2</f>
        <v>JG</v>
      </c>
      <c r="BG11" s="101">
        <f ca="1">$W$21</f>
        <v>78</v>
      </c>
      <c r="BH11" s="177"/>
      <c r="BI11" s="349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9">
        <f t="shared" ca="1" si="18"/>
        <v>4</v>
      </c>
      <c r="BO11" s="85" t="str">
        <f>$U$2</f>
        <v>JG</v>
      </c>
      <c r="BP11" s="350">
        <f t="shared" ca="1" si="19"/>
        <v>-3</v>
      </c>
      <c r="BQ11" s="351">
        <f ca="1">-$AR$3*'Season Summary'!$AO$3</f>
        <v>-3</v>
      </c>
      <c r="BR11" s="352" t="str">
        <f ca="1">IF(COUNTIF('Season Summary'!T$3:OFFSET('Season Summary'!T$3,$C$2+$AR$2,0),"=1")&gt;0,COUNTIF('Season Summary'!T$3:OFFSET('Season Summary'!T$3,$C$2+$AR$2,0),"=1"),"")</f>
        <v/>
      </c>
      <c r="BS11" s="353" t="str">
        <f ca="1">IF(BR11="","",BR11*'Season Summary'!$AO$6)</f>
        <v/>
      </c>
      <c r="BT11" s="354" t="str">
        <f ca="1">IF($V$22=1,"✓","")</f>
        <v/>
      </c>
      <c r="BU11" s="353" t="str">
        <f t="shared" ca="1" si="20"/>
        <v/>
      </c>
      <c r="BV11" s="354" t="str">
        <f ca="1">IF($V$22=2,"✓","")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8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8">
        <f ca="1">$P$21</f>
        <v>9</v>
      </c>
      <c r="BF12" s="100" t="str">
        <f>$O$2</f>
        <v>DC</v>
      </c>
      <c r="BG12" s="101">
        <f ca="1">$Q$21</f>
        <v>77</v>
      </c>
      <c r="BH12" s="177"/>
      <c r="BI12" s="349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9">
        <f t="shared" ca="1" si="18"/>
        <v>4</v>
      </c>
      <c r="BO12" s="85" t="str">
        <f>$X$2</f>
        <v>JH</v>
      </c>
      <c r="BP12" s="350">
        <f t="shared" ca="1" si="19"/>
        <v>-3</v>
      </c>
      <c r="BQ12" s="351">
        <f ca="1">-$AR$3*'Season Summary'!$AO$3</f>
        <v>-3</v>
      </c>
      <c r="BR12" s="352" t="str">
        <f ca="1">IF(COUNTIF('Season Summary'!W$3:OFFSET('Season Summary'!W$3,$C$2+$AR$2,0),"=1")&gt;0,COUNTIF('Season Summary'!W$3:OFFSET('Season Summary'!W$3,$C$2+$AR$2,0),"=1"),"")</f>
        <v/>
      </c>
      <c r="BS12" s="353" t="str">
        <f ca="1">IF(BR12="","",BR12*'Season Summary'!$AO$6)</f>
        <v/>
      </c>
      <c r="BT12" s="354" t="str">
        <f ca="1">IF($Y$22=1,"✓","")</f>
        <v/>
      </c>
      <c r="BU12" s="353" t="str">
        <f t="shared" ca="1" si="20"/>
        <v/>
      </c>
      <c r="BV12" s="354" t="str">
        <f ca="1">IF($Y$22=2,"✓","")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8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8">
        <f ca="1">$S$21</f>
        <v>10</v>
      </c>
      <c r="BF13" s="100" t="str">
        <f>$R$2</f>
        <v>DH</v>
      </c>
      <c r="BG13" s="101">
        <f ca="1">$T$21</f>
        <v>73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9">
        <f t="shared" ca="1" si="18"/>
        <v>4</v>
      </c>
      <c r="BO13" s="85" t="str">
        <f>$AA$2</f>
        <v>JL</v>
      </c>
      <c r="BP13" s="350">
        <f t="shared" ca="1" si="19"/>
        <v>-3</v>
      </c>
      <c r="BQ13" s="351">
        <f ca="1">-$AR$3*'Season Summary'!$AO$3</f>
        <v>-3</v>
      </c>
      <c r="BR13" s="352" t="str">
        <f ca="1">IF(COUNTIF('Season Summary'!Z$3:OFFSET('Season Summary'!Z$3,$C$2+$AR$2,0),"=1")&gt;0,COUNTIF('Season Summary'!Z$3:OFFSET('Season Summary'!Z$3,$C$2+$AR$2,0),"=1"),"")</f>
        <v/>
      </c>
      <c r="BS13" s="353" t="str">
        <f ca="1">IF(BR13="","",BR13*'Season Summary'!$AO$6)</f>
        <v/>
      </c>
      <c r="BT13" s="354" t="str">
        <f ca="1">IF($AB$22=1,"✓","")</f>
        <v/>
      </c>
      <c r="BU13" s="353" t="str">
        <f t="shared" ca="1" si="20"/>
        <v/>
      </c>
      <c r="BV13" s="354" t="str">
        <f ca="1">IF($AB$22=2,"✓","")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8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8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9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9">
        <f t="shared" ca="1" si="18"/>
        <v>4</v>
      </c>
      <c r="BO14" s="85" t="str">
        <f>$AD$2</f>
        <v>KC</v>
      </c>
      <c r="BP14" s="350">
        <f t="shared" ca="1" si="19"/>
        <v>-3</v>
      </c>
      <c r="BQ14" s="351">
        <f ca="1">-$AR$3*'Season Summary'!$AO$3</f>
        <v>-3</v>
      </c>
      <c r="BR14" s="352" t="str">
        <f ca="1">IF(COUNTIF('Season Summary'!AC$3:OFFSET('Season Summary'!AC$3,$C$2+$AR$2,0),"=1")&gt;0,COUNTIF('Season Summary'!AC$3:OFFSET('Season Summary'!AC$3,$C$2+$AR$2,0),"=1"),"")</f>
        <v/>
      </c>
      <c r="BS14" s="353" t="str">
        <f ca="1">IF(BR14="","",BR14*'Season Summary'!$AO$6)</f>
        <v/>
      </c>
      <c r="BT14" s="354" t="str">
        <f ca="1">IF($AE$22=1,"✓","")</f>
        <v/>
      </c>
      <c r="BU14" s="353" t="str">
        <f t="shared" ca="1" si="20"/>
        <v/>
      </c>
      <c r="BV14" s="354" t="str">
        <f ca="1">IF($AE$22=2,"✓","")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8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6">
        <f ca="1">$G$21</f>
        <v>12</v>
      </c>
      <c r="BF15" s="102" t="str">
        <f>$F$2</f>
        <v>BM</v>
      </c>
      <c r="BG15" s="103">
        <f ca="1">$H$21</f>
        <v>68</v>
      </c>
      <c r="BH15" s="177"/>
      <c r="BI15" s="357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7">
        <f t="shared" ca="1" si="18"/>
        <v>4</v>
      </c>
      <c r="BO15" s="86" t="str">
        <f>$AG$2</f>
        <v>KK</v>
      </c>
      <c r="BP15" s="358">
        <f t="shared" ca="1" si="19"/>
        <v>-3</v>
      </c>
      <c r="BQ15" s="359">
        <f ca="1">-$AR$3*'Season Summary'!$AO$3</f>
        <v>-3</v>
      </c>
      <c r="BR15" s="360" t="str">
        <f ca="1">IF(COUNTIF('Season Summary'!AF$3:OFFSET('Season Summary'!AF$3,$C$2+$AR$2,0),"=1")&gt;0,COUNTIF('Season Summary'!AF$3:OFFSET('Season Summary'!AF$3,$C$2+$AR$2,0),"=1"),"")</f>
        <v/>
      </c>
      <c r="BS15" s="361" t="str">
        <f ca="1">IF(BR15="","",BR15*'Season Summary'!$AO$6)</f>
        <v/>
      </c>
      <c r="BT15" s="362" t="str">
        <f ca="1">IF($AH$22=1,"✓","")</f>
        <v/>
      </c>
      <c r="BU15" s="361" t="str">
        <f t="shared" ca="1" si="20"/>
        <v/>
      </c>
      <c r="BV15" s="362" t="str">
        <f ca="1">IF($AH$22=2,"✓","")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8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8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8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8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43</v>
      </c>
      <c r="H20" s="147"/>
      <c r="I20" s="365" t="s">
        <v>747</v>
      </c>
      <c r="J20" s="110">
        <v>49</v>
      </c>
      <c r="K20" s="147"/>
      <c r="L20" s="365" t="s">
        <v>747</v>
      </c>
      <c r="M20" s="110">
        <v>50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37</v>
      </c>
      <c r="T20" s="147"/>
      <c r="U20" s="365" t="s">
        <v>747</v>
      </c>
      <c r="V20" s="110">
        <v>38</v>
      </c>
      <c r="W20" s="147"/>
      <c r="X20" s="365" t="s">
        <v>747</v>
      </c>
      <c r="Y20" s="110">
        <v>37</v>
      </c>
      <c r="Z20" s="147"/>
      <c r="AA20" s="365" t="s">
        <v>747</v>
      </c>
      <c r="AB20" s="110">
        <v>47</v>
      </c>
      <c r="AC20" s="147"/>
      <c r="AD20" s="365" t="s">
        <v>747</v>
      </c>
      <c r="AE20" s="110">
        <v>50</v>
      </c>
      <c r="AF20" s="147"/>
      <c r="AG20" s="365" t="s">
        <v>747</v>
      </c>
      <c r="AH20" s="110">
        <v>56</v>
      </c>
      <c r="AI20" s="147"/>
      <c r="AJ20" s="365" t="s">
        <v>747</v>
      </c>
      <c r="AK20" s="110">
        <v>38</v>
      </c>
      <c r="AL20" s="147"/>
      <c r="AM20" s="365" t="s">
        <v>747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9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2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7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9">
        <f ca="1">$G$21</f>
        <v>1</v>
      </c>
      <c r="BF4" s="98" t="str">
        <f>$F$2</f>
        <v>BM</v>
      </c>
      <c r="BG4" s="99">
        <f ca="1">$H$21</f>
        <v>130</v>
      </c>
      <c r="BH4" s="177"/>
      <c r="BI4" s="340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41">
        <f t="shared" ref="BN4:BN15" ca="1" si="18">RANK(BP4,BP$4:BP$15,0)</f>
        <v>1</v>
      </c>
      <c r="BO4" s="84" t="str">
        <f>$F$2</f>
        <v>BM</v>
      </c>
      <c r="BP4" s="342">
        <f t="shared" ref="BP4:BP15" ca="1" si="19">SUM(BQ4,BS4,BU4,BW4)</f>
        <v>30</v>
      </c>
      <c r="BQ4" s="343">
        <f ca="1">-$AR$3*'Season Summary'!$AO$3</f>
        <v>-6</v>
      </c>
      <c r="BR4" s="344">
        <f ca="1">IF(COUNTIF('Season Summary'!E$3:OFFSET('Season Summary'!E$3,$C$2+$AR$2,0),"=1")&gt;0,COUNTIF('Season Summary'!E$3:OFFSET('Season Summary'!E$3,$C$2+$AR$2,0),"=1"),"")</f>
        <v>1</v>
      </c>
      <c r="BS4" s="345">
        <f ca="1">IF(BR4="","",BR4*'Season Summary'!$AO$6)</f>
        <v>31</v>
      </c>
      <c r="BT4" s="346" t="str">
        <f ca="1">IF($G$22=1,"✓","")</f>
        <v>✓</v>
      </c>
      <c r="BU4" s="345">
        <f t="shared" ref="BU4:BU15" ca="1" si="20">IF(BT4="✓",IF(COUNTIF(BT$4:BT$15,"✓")&gt;1,($Y$27+$AH$27)/COUNTIF(BT$4:BT$15,"✓"),$Y$27  ),"")</f>
        <v>5</v>
      </c>
      <c r="BV4" s="346" t="str">
        <f ca="1">IF($G$22=2,"✓","")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8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8">
        <f ca="1">$AE$21</f>
        <v>2</v>
      </c>
      <c r="BF5" s="100" t="str">
        <f>$AD$2</f>
        <v>KC</v>
      </c>
      <c r="BG5" s="101">
        <f ca="1">$AF$21</f>
        <v>130</v>
      </c>
      <c r="BH5" s="177"/>
      <c r="BI5" s="349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9">
        <f t="shared" ca="1" si="18"/>
        <v>2</v>
      </c>
      <c r="BO5" s="85" t="str">
        <f>$I$2</f>
        <v>CK</v>
      </c>
      <c r="BP5" s="350">
        <f t="shared" ca="1" si="19"/>
        <v>25</v>
      </c>
      <c r="BQ5" s="351">
        <f ca="1">-$AR$3*'Season Summary'!$AO$3</f>
        <v>-6</v>
      </c>
      <c r="BR5" s="352">
        <f ca="1">IF(COUNTIF('Season Summary'!H$3:OFFSET('Season Summary'!H$3,$C$2+$AR$2,0),"=1")&gt;0,COUNTIF('Season Summary'!H$3:OFFSET('Season Summary'!H$3,$C$2+$AR$2,0),"=1"),"")</f>
        <v>1</v>
      </c>
      <c r="BS5" s="353">
        <f ca="1">IF(BR5="","",BR5*'Season Summary'!$AO$6)</f>
        <v>31</v>
      </c>
      <c r="BT5" s="354" t="str">
        <f ca="1">IF($J$22=1,"✓","")</f>
        <v/>
      </c>
      <c r="BU5" s="353" t="str">
        <f t="shared" ca="1" si="20"/>
        <v/>
      </c>
      <c r="BV5" s="354" t="str">
        <f ca="1">IF($J$22=2,"✓","")</f>
        <v/>
      </c>
      <c r="BW5" s="355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8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8">
        <f ca="1">$M$21</f>
        <v>3</v>
      </c>
      <c r="BF6" s="100" t="str">
        <f>$L$2</f>
        <v>CP</v>
      </c>
      <c r="BG6" s="101">
        <f ca="1">$N$21</f>
        <v>128</v>
      </c>
      <c r="BH6" s="177"/>
      <c r="BI6" s="349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9">
        <f t="shared" ca="1" si="18"/>
        <v>3</v>
      </c>
      <c r="BO6" s="85" t="str">
        <f>$AD$2</f>
        <v>KC</v>
      </c>
      <c r="BP6" s="350">
        <f t="shared" ca="1" si="19"/>
        <v>-1</v>
      </c>
      <c r="BQ6" s="351">
        <f ca="1">-$AR$3*'Season Summary'!$AO$3</f>
        <v>-6</v>
      </c>
      <c r="BR6" s="352" t="str">
        <f ca="1">IF(COUNTIF('Season Summary'!AC$3:OFFSET('Season Summary'!AC$3,$C$2+$AR$2,0),"=1")&gt;0,COUNTIF('Season Summary'!AC$3:OFFSET('Season Summary'!AC$3,$C$2+$AR$2,0),"=1"),"")</f>
        <v/>
      </c>
      <c r="BS6" s="353" t="str">
        <f ca="1">IF(BR6="","",BR6*'Season Summary'!$AO$6)</f>
        <v/>
      </c>
      <c r="BT6" s="354" t="str">
        <f ca="1">IF($AE$22=1,"✓","")</f>
        <v>✓</v>
      </c>
      <c r="BU6" s="353">
        <f t="shared" ca="1" si="20"/>
        <v>5</v>
      </c>
      <c r="BV6" s="354" t="str">
        <f ca="1">IF($AE$22=2,"✓","")</f>
        <v/>
      </c>
      <c r="BW6" s="355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8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8">
        <f ca="1">$AK$21</f>
        <v>4</v>
      </c>
      <c r="BF7" s="100" t="str">
        <f>$AJ$2</f>
        <v>MB</v>
      </c>
      <c r="BG7" s="101">
        <f ca="1">$AL$21</f>
        <v>127</v>
      </c>
      <c r="BH7" s="177"/>
      <c r="BI7" s="349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9">
        <f t="shared" ca="1" si="18"/>
        <v>4</v>
      </c>
      <c r="BO7" s="85" t="str">
        <f>$L$2</f>
        <v>CP</v>
      </c>
      <c r="BP7" s="350">
        <f t="shared" ca="1" si="19"/>
        <v>-6</v>
      </c>
      <c r="BQ7" s="351">
        <f ca="1">-$AR$3*'Season Summary'!$AO$3</f>
        <v>-6</v>
      </c>
      <c r="BR7" s="352" t="str">
        <f ca="1">IF(COUNTIF('Season Summary'!K$3:OFFSET('Season Summary'!K$3,$C$2+$AR$2,0),"=1")&gt;0,COUNTIF('Season Summary'!K$3:OFFSET('Season Summary'!K$3,$C$2+$AR$2,0),"=1"),"")</f>
        <v/>
      </c>
      <c r="BS7" s="353" t="str">
        <f ca="1">IF(BR7="","",BR7*'Season Summary'!$AO$6)</f>
        <v/>
      </c>
      <c r="BT7" s="354" t="str">
        <f ca="1">IF($M$22=1,"✓","")</f>
        <v/>
      </c>
      <c r="BU7" s="353" t="str">
        <f t="shared" ca="1" si="20"/>
        <v/>
      </c>
      <c r="BV7" s="354" t="str">
        <f ca="1">IF($M$22=2,"✓","")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8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8">
        <f ca="1">$P$21</f>
        <v>5</v>
      </c>
      <c r="BF8" s="100" t="str">
        <f>$O$2</f>
        <v>DC</v>
      </c>
      <c r="BG8" s="101">
        <f ca="1">$Q$21</f>
        <v>124</v>
      </c>
      <c r="BH8" s="177"/>
      <c r="BI8" s="349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9">
        <f t="shared" ca="1" si="18"/>
        <v>4</v>
      </c>
      <c r="BO8" s="85" t="str">
        <f>$O$2</f>
        <v>DC</v>
      </c>
      <c r="BP8" s="350">
        <f t="shared" ca="1" si="19"/>
        <v>-6</v>
      </c>
      <c r="BQ8" s="351">
        <f ca="1">-$AR$3*'Season Summary'!$AO$3</f>
        <v>-6</v>
      </c>
      <c r="BR8" s="352" t="str">
        <f ca="1">IF(COUNTIF('Season Summary'!N$3:OFFSET('Season Summary'!N$3,$C$2+$AR$2,0),"=1")&gt;0,COUNTIF('Season Summary'!N$3:OFFSET('Season Summary'!N$3,$C$2+$AR$2,0),"=1"),"")</f>
        <v/>
      </c>
      <c r="BS8" s="353" t="str">
        <f ca="1">IF(BR8="","",BR8*'Season Summary'!$AO$6)</f>
        <v/>
      </c>
      <c r="BT8" s="354" t="str">
        <f ca="1">IF($P$22=1,"✓","")</f>
        <v/>
      </c>
      <c r="BU8" s="353" t="str">
        <f t="shared" ca="1" si="20"/>
        <v/>
      </c>
      <c r="BV8" s="354" t="str">
        <f ca="1">IF($P$22=2,"✓","")</f>
        <v/>
      </c>
      <c r="BW8" s="355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8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8">
        <f ca="1">$AH$21</f>
        <v>5</v>
      </c>
      <c r="BF9" s="100" t="str">
        <f>$AG$2</f>
        <v>KK</v>
      </c>
      <c r="BG9" s="101">
        <f ca="1">$AI$21</f>
        <v>124</v>
      </c>
      <c r="BH9" s="177"/>
      <c r="BI9" s="349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9">
        <f t="shared" ca="1" si="18"/>
        <v>4</v>
      </c>
      <c r="BO9" s="85" t="str">
        <f>$R$2</f>
        <v>DH</v>
      </c>
      <c r="BP9" s="350">
        <f t="shared" ca="1" si="19"/>
        <v>-6</v>
      </c>
      <c r="BQ9" s="351">
        <f ca="1">-$AR$3*'Season Summary'!$AO$3</f>
        <v>-6</v>
      </c>
      <c r="BR9" s="352" t="str">
        <f ca="1">IF(COUNTIF('Season Summary'!Q$3:OFFSET('Season Summary'!Q$3,$C$2+$AR$2,0),"=1")&gt;0,COUNTIF('Season Summary'!Q$3:OFFSET('Season Summary'!Q$3,$C$2+$AR$2,0),"=1"),"")</f>
        <v/>
      </c>
      <c r="BS9" s="353" t="str">
        <f ca="1">IF(BR9="","",BR9*'Season Summary'!$AO$6)</f>
        <v/>
      </c>
      <c r="BT9" s="354" t="str">
        <f ca="1">IF($S$22=1,"✓","")</f>
        <v/>
      </c>
      <c r="BU9" s="353" t="str">
        <f t="shared" ca="1" si="20"/>
        <v/>
      </c>
      <c r="BV9" s="354" t="str">
        <f ca="1">IF($S$22=2,"✓","")</f>
        <v/>
      </c>
      <c r="BW9" s="355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8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8">
        <f ca="1">$S$21</f>
        <v>7</v>
      </c>
      <c r="BF10" s="100" t="str">
        <f>$R$2</f>
        <v>DH</v>
      </c>
      <c r="BG10" s="101">
        <f ca="1">$T$21</f>
        <v>123</v>
      </c>
      <c r="BH10" s="177"/>
      <c r="BI10" s="349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9">
        <f t="shared" ca="1" si="18"/>
        <v>4</v>
      </c>
      <c r="BO10" s="85" t="str">
        <f>$U$2</f>
        <v>JG</v>
      </c>
      <c r="BP10" s="350">
        <f t="shared" ca="1" si="19"/>
        <v>-6</v>
      </c>
      <c r="BQ10" s="351">
        <f ca="1">-$AR$3*'Season Summary'!$AO$3</f>
        <v>-6</v>
      </c>
      <c r="BR10" s="352" t="str">
        <f ca="1">IF(COUNTIF('Season Summary'!T$3:OFFSET('Season Summary'!T$3,$C$2+$AR$2,0),"=1")&gt;0,COUNTIF('Season Summary'!T$3:OFFSET('Season Summary'!T$3,$C$2+$AR$2,0),"=1"),"")</f>
        <v/>
      </c>
      <c r="BS10" s="353" t="str">
        <f ca="1">IF(BR10="","",BR10*'Season Summary'!$AO$6)</f>
        <v/>
      </c>
      <c r="BT10" s="354" t="str">
        <f ca="1">IF($V$22=1,"✓","")</f>
        <v/>
      </c>
      <c r="BU10" s="353" t="str">
        <f t="shared" ca="1" si="20"/>
        <v/>
      </c>
      <c r="BV10" s="354" t="str">
        <f ca="1">IF($V$22=2,"✓","")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8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8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9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9">
        <f t="shared" ca="1" si="18"/>
        <v>4</v>
      </c>
      <c r="BO11" s="85" t="str">
        <f>$X$2</f>
        <v>JH</v>
      </c>
      <c r="BP11" s="350">
        <f t="shared" ca="1" si="19"/>
        <v>-6</v>
      </c>
      <c r="BQ11" s="351">
        <f ca="1">-$AR$3*'Season Summary'!$AO$3</f>
        <v>-6</v>
      </c>
      <c r="BR11" s="352" t="str">
        <f ca="1">IF(COUNTIF('Season Summary'!W$3:OFFSET('Season Summary'!W$3,$C$2+$AR$2,0),"=1")&gt;0,COUNTIF('Season Summary'!W$3:OFFSET('Season Summary'!W$3,$C$2+$AR$2,0),"=1"),"")</f>
        <v/>
      </c>
      <c r="BS11" s="353" t="str">
        <f ca="1">IF(BR11="","",BR11*'Season Summary'!$AO$6)</f>
        <v/>
      </c>
      <c r="BT11" s="354" t="str">
        <f ca="1">IF($Y$22=1,"✓","")</f>
        <v/>
      </c>
      <c r="BU11" s="353" t="str">
        <f t="shared" ca="1" si="20"/>
        <v/>
      </c>
      <c r="BV11" s="354" t="str">
        <f ca="1">IF($Y$22=2,"✓","")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8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8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9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9">
        <f t="shared" ca="1" si="18"/>
        <v>4</v>
      </c>
      <c r="BO12" s="85" t="str">
        <f>$AA$2</f>
        <v>JL</v>
      </c>
      <c r="BP12" s="350">
        <f t="shared" ca="1" si="19"/>
        <v>-6</v>
      </c>
      <c r="BQ12" s="351">
        <f ca="1">-$AR$3*'Season Summary'!$AO$3</f>
        <v>-6</v>
      </c>
      <c r="BR12" s="352" t="str">
        <f ca="1">IF(COUNTIF('Season Summary'!Z$3:OFFSET('Season Summary'!Z$3,$C$2+$AR$2,0),"=1")&gt;0,COUNTIF('Season Summary'!Z$3:OFFSET('Season Summary'!Z$3,$C$2+$AR$2,0),"=1"),"")</f>
        <v/>
      </c>
      <c r="BS12" s="353" t="str">
        <f ca="1">IF(BR12="","",BR12*'Season Summary'!$AO$6)</f>
        <v/>
      </c>
      <c r="BT12" s="354" t="str">
        <f ca="1">IF($AB$22=1,"✓","")</f>
        <v/>
      </c>
      <c r="BU12" s="353" t="str">
        <f t="shared" ca="1" si="20"/>
        <v/>
      </c>
      <c r="BV12" s="354" t="str">
        <f ca="1">IF($AB$22=2,"✓","")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8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8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9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9">
        <f t="shared" ca="1" si="18"/>
        <v>4</v>
      </c>
      <c r="BO13" s="85" t="str">
        <f>$AG$2</f>
        <v>KK</v>
      </c>
      <c r="BP13" s="350">
        <f t="shared" ca="1" si="19"/>
        <v>-6</v>
      </c>
      <c r="BQ13" s="351">
        <f ca="1">-$AR$3*'Season Summary'!$AO$3</f>
        <v>-6</v>
      </c>
      <c r="BR13" s="352" t="str">
        <f ca="1">IF(COUNTIF('Season Summary'!AF$3:OFFSET('Season Summary'!AF$3,$C$2+$AR$2,0),"=1")&gt;0,COUNTIF('Season Summary'!AF$3:OFFSET('Season Summary'!AF$3,$C$2+$AR$2,0),"=1"),"")</f>
        <v/>
      </c>
      <c r="BS13" s="353" t="str">
        <f ca="1">IF(BR13="","",BR13*'Season Summary'!$AO$6)</f>
        <v/>
      </c>
      <c r="BT13" s="354" t="str">
        <f ca="1">IF($AH$22=1,"✓","")</f>
        <v/>
      </c>
      <c r="BU13" s="353" t="str">
        <f t="shared" ca="1" si="20"/>
        <v/>
      </c>
      <c r="BV13" s="354" t="str">
        <f ca="1">IF($AH$22=2,"✓","")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8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8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9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9">
        <f t="shared" ca="1" si="18"/>
        <v>4</v>
      </c>
      <c r="BO14" s="85" t="str">
        <f>$AJ$2</f>
        <v>MB</v>
      </c>
      <c r="BP14" s="350">
        <f t="shared" ca="1" si="19"/>
        <v>-6</v>
      </c>
      <c r="BQ14" s="351">
        <f ca="1">-$AR$3*'Season Summary'!$AO$3</f>
        <v>-6</v>
      </c>
      <c r="BR14" s="352" t="str">
        <f ca="1">IF(COUNTIF('Season Summary'!AI$3:OFFSET('Season Summary'!AI$3,$C$2+$AR$2,0),"=1")&gt;0,COUNTIF('Season Summary'!AI$3:OFFSET('Season Summary'!AI$3,$C$2+$AR$2,0),"=1"),"")</f>
        <v/>
      </c>
      <c r="BS14" s="353" t="str">
        <f ca="1">IF(BR14="","",BR14*'Season Summary'!$AO$6)</f>
        <v/>
      </c>
      <c r="BT14" s="354" t="str">
        <f ca="1">IF($AK$22=1,"✓","")</f>
        <v/>
      </c>
      <c r="BU14" s="353" t="str">
        <f t="shared" ca="1" si="20"/>
        <v/>
      </c>
      <c r="BV14" s="354" t="str">
        <f ca="1">IF($AK$22=2,"✓","")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8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6">
        <f ca="1">$J$21</f>
        <v>12</v>
      </c>
      <c r="BF15" s="102" t="str">
        <f>$I$2</f>
        <v>CK</v>
      </c>
      <c r="BG15" s="103">
        <f>$K$21</f>
        <v>0</v>
      </c>
      <c r="BH15" s="177"/>
      <c r="BI15" s="357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7">
        <f t="shared" ca="1" si="18"/>
        <v>4</v>
      </c>
      <c r="BO15" s="86" t="str">
        <f>$AM$2</f>
        <v>RR</v>
      </c>
      <c r="BP15" s="358">
        <f t="shared" ca="1" si="19"/>
        <v>-6</v>
      </c>
      <c r="BQ15" s="359">
        <f ca="1">-$AR$3*'Season Summary'!$AO$3</f>
        <v>-6</v>
      </c>
      <c r="BR15" s="360" t="str">
        <f ca="1">IF(COUNTIF('Season Summary'!AL$3:OFFSET('Season Summary'!AL$3,$C$2+$AR$2,0),"=1")&gt;0,COUNTIF('Season Summary'!AL$3:OFFSET('Season Summary'!AL$3,$C$2+$AR$2,0),"=1"),"")</f>
        <v/>
      </c>
      <c r="BS15" s="361" t="str">
        <f ca="1">IF(BR15="","",BR15*'Season Summary'!$AO$6)</f>
        <v/>
      </c>
      <c r="BT15" s="362" t="str">
        <f ca="1">IF($AN$22=1,"✓","")</f>
        <v/>
      </c>
      <c r="BU15" s="361" t="str">
        <f t="shared" ca="1" si="20"/>
        <v/>
      </c>
      <c r="BV15" s="362" t="str">
        <f ca="1">IF($AN$22=2,"✓","")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8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8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8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8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51</v>
      </c>
      <c r="H20" s="147"/>
      <c r="I20" s="365" t="s">
        <v>3</v>
      </c>
      <c r="J20" s="110"/>
      <c r="K20" s="147"/>
      <c r="L20" s="365" t="s">
        <v>747</v>
      </c>
      <c r="M20" s="110">
        <v>49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41</v>
      </c>
      <c r="T20" s="147"/>
      <c r="U20" s="365" t="s">
        <v>747</v>
      </c>
      <c r="V20" s="110">
        <v>38</v>
      </c>
      <c r="W20" s="147"/>
      <c r="X20" s="365" t="s">
        <v>747</v>
      </c>
      <c r="Y20" s="110">
        <v>44</v>
      </c>
      <c r="Z20" s="147"/>
      <c r="AA20" s="365" t="s">
        <v>747</v>
      </c>
      <c r="AB20" s="110">
        <v>50</v>
      </c>
      <c r="AC20" s="147"/>
      <c r="AD20" s="365" t="s">
        <v>747</v>
      </c>
      <c r="AE20" s="110">
        <v>47</v>
      </c>
      <c r="AF20" s="147"/>
      <c r="AG20" s="365" t="s">
        <v>747</v>
      </c>
      <c r="AH20" s="110">
        <v>52</v>
      </c>
      <c r="AI20" s="147"/>
      <c r="AJ20" s="365" t="s">
        <v>747</v>
      </c>
      <c r="AK20" s="110">
        <v>47</v>
      </c>
      <c r="AL20" s="147"/>
      <c r="AM20" s="365" t="s">
        <v>747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0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3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7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9">
        <f ca="1">$Y$21</f>
        <v>1</v>
      </c>
      <c r="BF4" s="98" t="str">
        <f>$X$2</f>
        <v>JH</v>
      </c>
      <c r="BG4" s="99">
        <f ca="1">$Z$21</f>
        <v>92</v>
      </c>
      <c r="BH4" s="177"/>
      <c r="BI4" s="340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41">
        <f t="shared" ref="BN4:BN15" ca="1" si="18">RANK(BP4,BP$4:BP$15,0)</f>
        <v>1</v>
      </c>
      <c r="BO4" s="84" t="str">
        <f>$F$2</f>
        <v>BM</v>
      </c>
      <c r="BP4" s="342">
        <f t="shared" ref="BP4:BP15" ca="1" si="19">SUM(BQ4,BS4,BU4,BW4)</f>
        <v>22</v>
      </c>
      <c r="BQ4" s="343">
        <f ca="1">-$AR$3*'Season Summary'!$AO$3</f>
        <v>-9</v>
      </c>
      <c r="BR4" s="344">
        <f ca="1">IF(COUNTIF('Season Summary'!E$3:OFFSET('Season Summary'!E$3,$C$2+$AR$2,0),"=1")&gt;0,COUNTIF('Season Summary'!E$3:OFFSET('Season Summary'!E$3,$C$2+$AR$2,0),"=1"),"")</f>
        <v>1</v>
      </c>
      <c r="BS4" s="345">
        <f ca="1">IF(BR4="","",BR4*'Season Summary'!$AO$6)</f>
        <v>31</v>
      </c>
      <c r="BT4" s="346" t="str">
        <f ca="1">IF($G$22=1,"✓","")</f>
        <v/>
      </c>
      <c r="BU4" s="345" t="str">
        <f t="shared" ref="BU4:BU15" ca="1" si="20">IF(BT4="✓",IF(COUNTIF(BT$4:BT$15,"✓")&gt;1,($Y$27+$AH$27)/COUNTIF(BT$4:BT$15,"✓"),$Y$27  ),"")</f>
        <v/>
      </c>
      <c r="BV4" s="346" t="str">
        <f ca="1">IF($G$22=2,"✓","")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8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8">
        <f ca="1">$P$21</f>
        <v>2</v>
      </c>
      <c r="BF5" s="100" t="str">
        <f>$O$2</f>
        <v>DC</v>
      </c>
      <c r="BG5" s="101">
        <f ca="1">$Q$21</f>
        <v>83</v>
      </c>
      <c r="BH5" s="177"/>
      <c r="BI5" s="349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9">
        <f t="shared" ca="1" si="18"/>
        <v>1</v>
      </c>
      <c r="BO5" s="85" t="str">
        <f>$I$2</f>
        <v>CK</v>
      </c>
      <c r="BP5" s="350">
        <f t="shared" ca="1" si="19"/>
        <v>22</v>
      </c>
      <c r="BQ5" s="351">
        <f ca="1">-$AR$3*'Season Summary'!$AO$3</f>
        <v>-9</v>
      </c>
      <c r="BR5" s="352">
        <f ca="1">IF(COUNTIF('Season Summary'!H$3:OFFSET('Season Summary'!H$3,$C$2+$AR$2,0),"=1")&gt;0,COUNTIF('Season Summary'!H$3:OFFSET('Season Summary'!H$3,$C$2+$AR$2,0),"=1"),"")</f>
        <v>1</v>
      </c>
      <c r="BS5" s="353">
        <f ca="1">IF(BR5="","",BR5*'Season Summary'!$AO$6)</f>
        <v>31</v>
      </c>
      <c r="BT5" s="354" t="str">
        <f ca="1">IF($J$22=1,"✓","")</f>
        <v/>
      </c>
      <c r="BU5" s="353" t="str">
        <f t="shared" ca="1" si="20"/>
        <v/>
      </c>
      <c r="BV5" s="354" t="str">
        <f ca="1">IF($J$22=2,"✓","")</f>
        <v/>
      </c>
      <c r="BW5" s="355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8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8">
        <f ca="1">$V$21</f>
        <v>3</v>
      </c>
      <c r="BF6" s="100" t="str">
        <f>$U$2</f>
        <v>JG</v>
      </c>
      <c r="BG6" s="101">
        <f ca="1">$W$21</f>
        <v>82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9">
        <f t="shared" ca="1" si="18"/>
        <v>1</v>
      </c>
      <c r="BO6" s="85" t="str">
        <f>$X$2</f>
        <v>JH</v>
      </c>
      <c r="BP6" s="350">
        <f t="shared" ca="1" si="19"/>
        <v>22</v>
      </c>
      <c r="BQ6" s="351">
        <f ca="1">-$AR$3*'Season Summary'!$AO$3</f>
        <v>-9</v>
      </c>
      <c r="BR6" s="352">
        <f ca="1">IF(COUNTIF('Season Summary'!W$3:OFFSET('Season Summary'!W$3,$C$2+$AR$2,0),"=1")&gt;0,COUNTIF('Season Summary'!W$3:OFFSET('Season Summary'!W$3,$C$2+$AR$2,0),"=1"),"")</f>
        <v>1</v>
      </c>
      <c r="BS6" s="353">
        <f ca="1">IF(BR6="","",BR6*'Season Summary'!$AO$6)</f>
        <v>31</v>
      </c>
      <c r="BT6" s="354" t="str">
        <f ca="1">IF($Y$22=1,"✓","")</f>
        <v/>
      </c>
      <c r="BU6" s="353" t="str">
        <f t="shared" ca="1" si="20"/>
        <v/>
      </c>
      <c r="BV6" s="354" t="str">
        <f ca="1">IF($Y$22=2,"✓","")</f>
        <v/>
      </c>
      <c r="BW6" s="355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8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8">
        <f ca="1">$AE$21</f>
        <v>3</v>
      </c>
      <c r="BF7" s="100" t="str">
        <f>$AD$2</f>
        <v>KC</v>
      </c>
      <c r="BG7" s="101">
        <f ca="1">$AF$21</f>
        <v>82</v>
      </c>
      <c r="BH7" s="177"/>
      <c r="BI7" s="349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9">
        <f t="shared" ca="1" si="18"/>
        <v>4</v>
      </c>
      <c r="BO7" s="85" t="str">
        <f>$AJ$2</f>
        <v>MB</v>
      </c>
      <c r="BP7" s="350">
        <f t="shared" ca="1" si="19"/>
        <v>0</v>
      </c>
      <c r="BQ7" s="351">
        <f ca="1">-$AR$3*'Season Summary'!$AO$3</f>
        <v>-9</v>
      </c>
      <c r="BR7" s="352" t="str">
        <f ca="1">IF(COUNTIF('Season Summary'!AI$3:OFFSET('Season Summary'!AI$3,$C$2+$AR$2,0),"=1")&gt;0,COUNTIF('Season Summary'!AI$3:OFFSET('Season Summary'!AI$3,$C$2+$AR$2,0),"=1"),"")</f>
        <v/>
      </c>
      <c r="BS7" s="353" t="str">
        <f ca="1">IF(BR7="","",BR7*'Season Summary'!$AO$6)</f>
        <v/>
      </c>
      <c r="BT7" s="354" t="str">
        <f ca="1">IF($AK$22=1,"✓","")</f>
        <v>✓</v>
      </c>
      <c r="BU7" s="353">
        <f t="shared" ca="1" si="20"/>
        <v>9</v>
      </c>
      <c r="BV7" s="354" t="str">
        <f ca="1">IF($AK$22=2,"✓","")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8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8">
        <f ca="1">$G$21</f>
        <v>5</v>
      </c>
      <c r="BF8" s="100" t="str">
        <f>$F$2</f>
        <v>BM</v>
      </c>
      <c r="BG8" s="101">
        <f ca="1">$H$21</f>
        <v>81</v>
      </c>
      <c r="BH8" s="177"/>
      <c r="BI8" s="349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9">
        <f t="shared" ca="1" si="18"/>
        <v>5</v>
      </c>
      <c r="BO8" s="85" t="str">
        <f>$AG$2</f>
        <v>KK</v>
      </c>
      <c r="BP8" s="350">
        <f t="shared" ca="1" si="19"/>
        <v>-6</v>
      </c>
      <c r="BQ8" s="351">
        <f ca="1">-$AR$3*'Season Summary'!$AO$3</f>
        <v>-9</v>
      </c>
      <c r="BR8" s="352" t="str">
        <f ca="1">IF(COUNTIF('Season Summary'!AF$3:OFFSET('Season Summary'!AF$3,$C$2+$AR$2,0),"=1")&gt;0,COUNTIF('Season Summary'!AF$3:OFFSET('Season Summary'!AF$3,$C$2+$AR$2,0),"=1"),"")</f>
        <v/>
      </c>
      <c r="BS8" s="353" t="str">
        <f ca="1">IF(BR8="","",BR8*'Season Summary'!$AO$6)</f>
        <v/>
      </c>
      <c r="BT8" s="354" t="str">
        <f ca="1">IF($AH$22=1,"✓","")</f>
        <v/>
      </c>
      <c r="BU8" s="353" t="str">
        <f t="shared" ca="1" si="20"/>
        <v/>
      </c>
      <c r="BV8" s="354" t="str">
        <f ca="1">IF($AH$22=2,"✓","")</f>
        <v>✓</v>
      </c>
      <c r="BW8" s="355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8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8">
        <f ca="1">$M$21</f>
        <v>5</v>
      </c>
      <c r="BF9" s="100" t="str">
        <f>$L$2</f>
        <v>CP</v>
      </c>
      <c r="BG9" s="101">
        <f ca="1">$N$21</f>
        <v>81</v>
      </c>
      <c r="BH9" s="177"/>
      <c r="BI9" s="349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9">
        <f t="shared" ca="1" si="18"/>
        <v>5</v>
      </c>
      <c r="BO9" s="85" t="str">
        <f>$AM$2</f>
        <v>RR</v>
      </c>
      <c r="BP9" s="350">
        <f t="shared" ca="1" si="19"/>
        <v>-6</v>
      </c>
      <c r="BQ9" s="351">
        <f ca="1">-$AR$3*'Season Summary'!$AO$3</f>
        <v>-9</v>
      </c>
      <c r="BR9" s="352" t="str">
        <f ca="1">IF(COUNTIF('Season Summary'!AL$3:OFFSET('Season Summary'!AL$3,$C$2+$AR$2,0),"=1")&gt;0,COUNTIF('Season Summary'!AL$3:OFFSET('Season Summary'!AL$3,$C$2+$AR$2,0),"=1"),"")</f>
        <v/>
      </c>
      <c r="BS9" s="353" t="str">
        <f ca="1">IF(BR9="","",BR9*'Season Summary'!$AO$6)</f>
        <v/>
      </c>
      <c r="BT9" s="354" t="str">
        <f ca="1">IF($AN$22=1,"✓","")</f>
        <v/>
      </c>
      <c r="BU9" s="353" t="str">
        <f t="shared" ca="1" si="20"/>
        <v/>
      </c>
      <c r="BV9" s="354" t="str">
        <f ca="1">IF($AN$22=2,"✓","")</f>
        <v>✓</v>
      </c>
      <c r="BW9" s="355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8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8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9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9">
        <f t="shared" ca="1" si="18"/>
        <v>7</v>
      </c>
      <c r="BO10" s="85" t="str">
        <f>$L$2</f>
        <v>CP</v>
      </c>
      <c r="BP10" s="350">
        <f t="shared" ca="1" si="19"/>
        <v>-9</v>
      </c>
      <c r="BQ10" s="351">
        <f ca="1">-$AR$3*'Season Summary'!$AO$3</f>
        <v>-9</v>
      </c>
      <c r="BR10" s="352" t="str">
        <f ca="1">IF(COUNTIF('Season Summary'!K$3:OFFSET('Season Summary'!K$3,$C$2+$AR$2,0),"=1")&gt;0,COUNTIF('Season Summary'!K$3:OFFSET('Season Summary'!K$3,$C$2+$AR$2,0),"=1"),"")</f>
        <v/>
      </c>
      <c r="BS10" s="353" t="str">
        <f ca="1">IF(BR10="","",BR10*'Season Summary'!$AO$6)</f>
        <v/>
      </c>
      <c r="BT10" s="354" t="str">
        <f ca="1">IF($M$22=1,"✓","")</f>
        <v/>
      </c>
      <c r="BU10" s="353" t="str">
        <f t="shared" ca="1" si="20"/>
        <v/>
      </c>
      <c r="BV10" s="354" t="str">
        <f ca="1">IF($M$22=2,"✓","")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8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8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9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9">
        <f t="shared" ca="1" si="18"/>
        <v>7</v>
      </c>
      <c r="BO11" s="85" t="str">
        <f>$O$2</f>
        <v>DC</v>
      </c>
      <c r="BP11" s="350">
        <f t="shared" ca="1" si="19"/>
        <v>-9</v>
      </c>
      <c r="BQ11" s="351">
        <f ca="1">-$AR$3*'Season Summary'!$AO$3</f>
        <v>-9</v>
      </c>
      <c r="BR11" s="352" t="str">
        <f ca="1">IF(COUNTIF('Season Summary'!N$3:OFFSET('Season Summary'!N$3,$C$2+$AR$2,0),"=1")&gt;0,COUNTIF('Season Summary'!N$3:OFFSET('Season Summary'!N$3,$C$2+$AR$2,0),"=1"),"")</f>
        <v/>
      </c>
      <c r="BS11" s="353" t="str">
        <f ca="1">IF(BR11="","",BR11*'Season Summary'!$AO$6)</f>
        <v/>
      </c>
      <c r="BT11" s="354" t="str">
        <f ca="1">IF($P$22=1,"✓","")</f>
        <v/>
      </c>
      <c r="BU11" s="353" t="str">
        <f t="shared" ca="1" si="20"/>
        <v/>
      </c>
      <c r="BV11" s="354" t="str">
        <f ca="1">IF($P$22=2,"✓","")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8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8">
        <f ca="1">$J$21</f>
        <v>9</v>
      </c>
      <c r="BF12" s="100" t="str">
        <f>$I$2</f>
        <v>CK</v>
      </c>
      <c r="BG12" s="101">
        <f ca="1">$K$21</f>
        <v>73</v>
      </c>
      <c r="BH12" s="177"/>
      <c r="BI12" s="349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9">
        <f t="shared" ca="1" si="18"/>
        <v>7</v>
      </c>
      <c r="BO12" s="85" t="str">
        <f>$R$2</f>
        <v>DH</v>
      </c>
      <c r="BP12" s="350">
        <f t="shared" ca="1" si="19"/>
        <v>-9</v>
      </c>
      <c r="BQ12" s="351">
        <f ca="1">-$AR$3*'Season Summary'!$AO$3</f>
        <v>-9</v>
      </c>
      <c r="BR12" s="352" t="str">
        <f ca="1">IF(COUNTIF('Season Summary'!Q$3:OFFSET('Season Summary'!Q$3,$C$2+$AR$2,0),"=1")&gt;0,COUNTIF('Season Summary'!Q$3:OFFSET('Season Summary'!Q$3,$C$2+$AR$2,0),"=1"),"")</f>
        <v/>
      </c>
      <c r="BS12" s="353" t="str">
        <f ca="1">IF(BR12="","",BR12*'Season Summary'!$AO$6)</f>
        <v/>
      </c>
      <c r="BT12" s="354" t="str">
        <f ca="1">IF($S$22=1,"✓","")</f>
        <v/>
      </c>
      <c r="BU12" s="353" t="str">
        <f t="shared" ca="1" si="20"/>
        <v/>
      </c>
      <c r="BV12" s="354" t="str">
        <f ca="1">IF($S$22=2,"✓","")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8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8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9">
        <f t="shared" ca="1" si="18"/>
        <v>7</v>
      </c>
      <c r="BO13" s="85" t="str">
        <f>$U$2</f>
        <v>JG</v>
      </c>
      <c r="BP13" s="350">
        <f t="shared" ca="1" si="19"/>
        <v>-9</v>
      </c>
      <c r="BQ13" s="351">
        <f ca="1">-$AR$3*'Season Summary'!$AO$3</f>
        <v>-9</v>
      </c>
      <c r="BR13" s="352" t="str">
        <f ca="1">IF(COUNTIF('Season Summary'!T$3:OFFSET('Season Summary'!T$3,$C$2+$AR$2,0),"=1")&gt;0,COUNTIF('Season Summary'!T$3:OFFSET('Season Summary'!T$3,$C$2+$AR$2,0),"=1"),"")</f>
        <v/>
      </c>
      <c r="BS13" s="353" t="str">
        <f ca="1">IF(BR13="","",BR13*'Season Summary'!$AO$6)</f>
        <v/>
      </c>
      <c r="BT13" s="354" t="str">
        <f ca="1">IF($V$22=1,"✓","")</f>
        <v/>
      </c>
      <c r="BU13" s="353" t="str">
        <f t="shared" ca="1" si="20"/>
        <v/>
      </c>
      <c r="BV13" s="354" t="str">
        <f ca="1">IF($V$22=2,"✓","")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8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8">
        <f ca="1">$S$21</f>
        <v>11</v>
      </c>
      <c r="BF14" s="100" t="str">
        <f>$R$2</f>
        <v>DH</v>
      </c>
      <c r="BG14" s="101">
        <f ca="1">$T$21</f>
        <v>68</v>
      </c>
      <c r="BH14" s="177"/>
      <c r="BI14" s="349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9">
        <f t="shared" ca="1" si="18"/>
        <v>7</v>
      </c>
      <c r="BO14" s="85" t="str">
        <f>$AA$2</f>
        <v>JL</v>
      </c>
      <c r="BP14" s="350">
        <f t="shared" ca="1" si="19"/>
        <v>-9</v>
      </c>
      <c r="BQ14" s="351">
        <f ca="1">-$AR$3*'Season Summary'!$AO$3</f>
        <v>-9</v>
      </c>
      <c r="BR14" s="352" t="str">
        <f ca="1">IF(COUNTIF('Season Summary'!Z$3:OFFSET('Season Summary'!Z$3,$C$2+$AR$2,0),"=1")&gt;0,COUNTIF('Season Summary'!Z$3:OFFSET('Season Summary'!Z$3,$C$2+$AR$2,0),"=1"),"")</f>
        <v/>
      </c>
      <c r="BS14" s="353" t="str">
        <f ca="1">IF(BR14="","",BR14*'Season Summary'!$AO$6)</f>
        <v/>
      </c>
      <c r="BT14" s="354" t="str">
        <f ca="1">IF($AB$22=1,"✓","")</f>
        <v/>
      </c>
      <c r="BU14" s="353" t="str">
        <f t="shared" ca="1" si="20"/>
        <v/>
      </c>
      <c r="BV14" s="354" t="str">
        <f ca="1">IF($AB$22=2,"✓","")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8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6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7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7">
        <f t="shared" ca="1" si="18"/>
        <v>7</v>
      </c>
      <c r="BO15" s="86" t="str">
        <f>$AD$2</f>
        <v>KC</v>
      </c>
      <c r="BP15" s="358">
        <f t="shared" ca="1" si="19"/>
        <v>-9</v>
      </c>
      <c r="BQ15" s="359">
        <f ca="1">-$AR$3*'Season Summary'!$AO$3</f>
        <v>-9</v>
      </c>
      <c r="BR15" s="360" t="str">
        <f ca="1">IF(COUNTIF('Season Summary'!AC$3:OFFSET('Season Summary'!AC$3,$C$2+$AR$2,0),"=1")&gt;0,COUNTIF('Season Summary'!AC$3:OFFSET('Season Summary'!AC$3,$C$2+$AR$2,0),"=1"),"")</f>
        <v/>
      </c>
      <c r="BS15" s="361" t="str">
        <f ca="1">IF(BR15="","",BR15*'Season Summary'!$AO$6)</f>
        <v/>
      </c>
      <c r="BT15" s="362" t="str">
        <f ca="1">IF($AE$22=1,"✓","")</f>
        <v/>
      </c>
      <c r="BU15" s="361" t="str">
        <f t="shared" ca="1" si="20"/>
        <v/>
      </c>
      <c r="BV15" s="362" t="str">
        <f ca="1">IF($AE$22=2,"✓","")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8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8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8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8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58</v>
      </c>
      <c r="H20" s="147"/>
      <c r="I20" s="365" t="s">
        <v>747</v>
      </c>
      <c r="J20" s="110">
        <v>51</v>
      </c>
      <c r="K20" s="147"/>
      <c r="L20" s="365" t="s">
        <v>747</v>
      </c>
      <c r="M20" s="110">
        <v>54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57</v>
      </c>
      <c r="T20" s="147"/>
      <c r="U20" s="365" t="s">
        <v>747</v>
      </c>
      <c r="V20" s="110">
        <v>54</v>
      </c>
      <c r="W20" s="147"/>
      <c r="X20" s="365" t="s">
        <v>747</v>
      </c>
      <c r="Y20" s="110">
        <v>58</v>
      </c>
      <c r="Z20" s="147"/>
      <c r="AA20" s="365" t="s">
        <v>747</v>
      </c>
      <c r="AB20" s="110">
        <v>52</v>
      </c>
      <c r="AC20" s="147"/>
      <c r="AD20" s="365" t="s">
        <v>747</v>
      </c>
      <c r="AE20" s="110">
        <v>54</v>
      </c>
      <c r="AF20" s="147"/>
      <c r="AG20" s="365" t="s">
        <v>747</v>
      </c>
      <c r="AH20" s="110">
        <v>60</v>
      </c>
      <c r="AI20" s="147"/>
      <c r="AJ20" s="365" t="s">
        <v>747</v>
      </c>
      <c r="AK20" s="110">
        <v>62</v>
      </c>
      <c r="AL20" s="147"/>
      <c r="AM20" s="365" t="s">
        <v>747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1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4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191"/>
      <c r="F4" s="229" t="s">
        <v>44</v>
      </c>
      <c r="G4" s="198">
        <v>6</v>
      </c>
      <c r="H4" s="194" t="str">
        <f>IF(G4&gt;0,IF(ISTEXT($E4),IF($E4&lt;&gt;F4,G4-2*G4,""),""),"")</f>
        <v/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44</v>
      </c>
      <c r="M4" s="198">
        <v>3</v>
      </c>
      <c r="N4" s="194" t="str">
        <f t="shared" ref="N4:N19" si="1">IF(M4&gt;0,IF(ISTEXT($E4),IF($E4&lt;&gt;L4,M4-2*M4,""),""),"")</f>
        <v/>
      </c>
      <c r="O4" s="232" t="s">
        <v>44</v>
      </c>
      <c r="P4" s="198">
        <v>2</v>
      </c>
      <c r="Q4" s="194" t="str">
        <f t="shared" ref="Q4:Q19" si="2">IF(P4&gt;0,IF(ISTEXT($E4),IF($E4&lt;&gt;O4,P4-2*P4,""),""),"")</f>
        <v/>
      </c>
      <c r="R4" s="232" t="s">
        <v>44</v>
      </c>
      <c r="S4" s="198">
        <v>3</v>
      </c>
      <c r="T4" s="194" t="str">
        <f t="shared" ref="T4:T19" si="3">IF(S4&gt;0,IF(ISTEXT($E4),IF($E4&lt;&gt;R4,S4-2*S4,""),""),"")</f>
        <v/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9">
        <f ca="1">$G$21</f>
        <v>1</v>
      </c>
      <c r="BF4" s="98" t="str">
        <f>$F$2</f>
        <v>BM</v>
      </c>
      <c r="BG4" s="99">
        <f ca="1">$H$21</f>
        <v>135</v>
      </c>
      <c r="BH4" s="177"/>
      <c r="BI4" s="340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41">
        <f t="shared" ref="BN4:BN15" ca="1" si="18">RANK(BP4,BP$4:BP$15,0)</f>
        <v>1</v>
      </c>
      <c r="BO4" s="84" t="str">
        <f>$F$2</f>
        <v>BM</v>
      </c>
      <c r="BP4" s="342">
        <f t="shared" ref="BP4:BP15" ca="1" si="19">SUM(BQ4,BS4,BU4,BW4)</f>
        <v>22</v>
      </c>
      <c r="BQ4" s="343">
        <f ca="1">-$AR$3*'Season Summary'!$AO$3</f>
        <v>-9</v>
      </c>
      <c r="BR4" s="344">
        <f ca="1">IF(COUNTIF('Season Summary'!E$3:OFFSET('Season Summary'!E$3,$C$2+$AR$2,0),"=1")&gt;0,COUNTIF('Season Summary'!E$3:OFFSET('Season Summary'!E$3,$C$2+$AR$2,0),"=1"),"")</f>
        <v>1</v>
      </c>
      <c r="BS4" s="345">
        <f ca="1">IF(BR4="","",BR4*'Season Summary'!$AO$6)</f>
        <v>31</v>
      </c>
      <c r="BT4" s="346" t="str">
        <f ca="1">IF($G$22=1,"✓","")</f>
        <v/>
      </c>
      <c r="BU4" s="345" t="str">
        <f t="shared" ref="BU4:BU15" ca="1" si="20">IF(BT4="✓",IF(COUNTIF(BT$4:BT$15,"✓")&gt;1,($Y$27+$AH$27)/COUNTIF(BT$4:BT$15,"✓"),$Y$27  ),"")</f>
        <v/>
      </c>
      <c r="BV4" s="346" t="str">
        <f ca="1">IF($G$22=2,"✓","")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202"/>
      <c r="F5" s="238" t="s">
        <v>45</v>
      </c>
      <c r="G5" s="209">
        <v>7</v>
      </c>
      <c r="H5" s="205" t="str">
        <f>IF(G5&gt;0,IF(ISTEXT($E5),IF($E5&lt;&gt;F5,G5-2*G5,""),""),"")</f>
        <v/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 t="str">
        <f>IF(M5&gt;0,IF(ISTEXT($E5),IF($E5&lt;&gt;L5,M5-2*M5,""),""),"")</f>
        <v/>
      </c>
      <c r="O5" s="241" t="s">
        <v>45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 t="str">
        <f>IF(Y5&gt;0,IF(ISTEXT($E5),IF($E5&lt;&gt;X5,Y5-2*Y5,""),""),"")</f>
        <v/>
      </c>
      <c r="AA5" s="241" t="s">
        <v>45</v>
      </c>
      <c r="AB5" s="209">
        <v>4</v>
      </c>
      <c r="AC5" s="205" t="str">
        <f>IF(AB5&gt;0,IF(ISTEXT($E5),IF($E5&lt;&gt;AA5,AB5-2*AB5,""),""),"")</f>
        <v/>
      </c>
      <c r="AD5" s="241" t="s">
        <v>45</v>
      </c>
      <c r="AE5" s="209">
        <v>7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45</v>
      </c>
      <c r="AN5" s="209">
        <v>8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8">
        <f ca="1">$J$21</f>
        <v>1</v>
      </c>
      <c r="BF5" s="100" t="str">
        <f>$I$2</f>
        <v>CK</v>
      </c>
      <c r="BG5" s="101">
        <f ca="1">$K$21</f>
        <v>135</v>
      </c>
      <c r="BH5" s="177"/>
      <c r="BI5" s="349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9">
        <f t="shared" ca="1" si="18"/>
        <v>1</v>
      </c>
      <c r="BO5" s="85" t="str">
        <f>$I$2</f>
        <v>CK</v>
      </c>
      <c r="BP5" s="350">
        <f t="shared" ca="1" si="19"/>
        <v>22</v>
      </c>
      <c r="BQ5" s="351">
        <f ca="1">-$AR$3*'Season Summary'!$AO$3</f>
        <v>-9</v>
      </c>
      <c r="BR5" s="352">
        <f ca="1">IF(COUNTIF('Season Summary'!H$3:OFFSET('Season Summary'!H$3,$C$2+$AR$2,0),"=1")&gt;0,COUNTIF('Season Summary'!H$3:OFFSET('Season Summary'!H$3,$C$2+$AR$2,0),"=1"),"")</f>
        <v>1</v>
      </c>
      <c r="BS5" s="353">
        <f ca="1">IF(BR5="","",BR5*'Season Summary'!$AO$6)</f>
        <v>31</v>
      </c>
      <c r="BT5" s="354" t="str">
        <f ca="1">IF($J$22=1,"✓","")</f>
        <v/>
      </c>
      <c r="BU5" s="353" t="str">
        <f t="shared" ca="1" si="20"/>
        <v/>
      </c>
      <c r="BV5" s="354" t="str">
        <f ca="1">IF($J$22=2,"✓","")</f>
        <v/>
      </c>
      <c r="BW5" s="355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202"/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 t="str">
        <f t="shared" si="0"/>
        <v/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 t="str">
        <f t="shared" si="3"/>
        <v/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 t="str">
        <f t="shared" si="5"/>
        <v/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8">
        <f ca="1">$M$21</f>
        <v>1</v>
      </c>
      <c r="BF6" s="100" t="str">
        <f>$L$2</f>
        <v>CP</v>
      </c>
      <c r="BG6" s="101">
        <f ca="1">$N$21</f>
        <v>135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9">
        <f t="shared" ca="1" si="18"/>
        <v>1</v>
      </c>
      <c r="BO6" s="85" t="str">
        <f>$X$2</f>
        <v>JH</v>
      </c>
      <c r="BP6" s="350">
        <f t="shared" ca="1" si="19"/>
        <v>22</v>
      </c>
      <c r="BQ6" s="351">
        <f ca="1">-$AR$3*'Season Summary'!$AO$3</f>
        <v>-9</v>
      </c>
      <c r="BR6" s="352">
        <f ca="1">IF(COUNTIF('Season Summary'!W$3:OFFSET('Season Summary'!W$3,$C$2+$AR$2,0),"=1")&gt;0,COUNTIF('Season Summary'!W$3:OFFSET('Season Summary'!W$3,$C$2+$AR$2,0),"=1"),"")</f>
        <v>1</v>
      </c>
      <c r="BS6" s="353">
        <f ca="1">IF(BR6="","",BR6*'Season Summary'!$AO$6)</f>
        <v>31</v>
      </c>
      <c r="BT6" s="354" t="str">
        <f ca="1">IF($Y$22=1,"✓","")</f>
        <v/>
      </c>
      <c r="BU6" s="353" t="str">
        <f t="shared" ca="1" si="20"/>
        <v/>
      </c>
      <c r="BV6" s="354" t="str">
        <f ca="1">IF($Y$22=2,"✓","")</f>
        <v/>
      </c>
      <c r="BW6" s="355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202"/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 t="str">
        <f t="shared" si="6"/>
        <v/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 t="str">
        <f t="shared" si="8"/>
        <v/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8">
        <f ca="1">$P$21</f>
        <v>1</v>
      </c>
      <c r="BF7" s="100" t="str">
        <f>$O$2</f>
        <v>DC</v>
      </c>
      <c r="BG7" s="101">
        <f ca="1">$Q$21</f>
        <v>135</v>
      </c>
      <c r="BH7" s="177"/>
      <c r="BI7" s="349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9">
        <f t="shared" ca="1" si="18"/>
        <v>4</v>
      </c>
      <c r="BO7" s="85" t="str">
        <f>$AJ$2</f>
        <v>MB</v>
      </c>
      <c r="BP7" s="350">
        <f t="shared" ca="1" si="19"/>
        <v>0</v>
      </c>
      <c r="BQ7" s="351">
        <f ca="1">-$AR$3*'Season Summary'!$AO$3</f>
        <v>-9</v>
      </c>
      <c r="BR7" s="352" t="str">
        <f ca="1">IF(COUNTIF('Season Summary'!AI$3:OFFSET('Season Summary'!AI$3,$C$2+$AR$2,0),"=1")&gt;0,COUNTIF('Season Summary'!AI$3:OFFSET('Season Summary'!AI$3,$C$2+$AR$2,0),"=1"),"")</f>
        <v/>
      </c>
      <c r="BS7" s="353" t="str">
        <f ca="1">IF(BR7="","",BR7*'Season Summary'!$AO$6)</f>
        <v/>
      </c>
      <c r="BT7" s="354" t="str">
        <f ca="1">IF($AK$22=1,"✓","")</f>
        <v>✓</v>
      </c>
      <c r="BU7" s="353">
        <f t="shared" ca="1" si="20"/>
        <v>9</v>
      </c>
      <c r="BV7" s="354" t="str">
        <f ca="1">IF($AK$22=2,"✓","")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202"/>
      <c r="F8" s="238" t="s">
        <v>44</v>
      </c>
      <c r="G8" s="209">
        <v>9</v>
      </c>
      <c r="H8" s="205" t="str">
        <f t="shared" si="23"/>
        <v/>
      </c>
      <c r="I8" s="241" t="s">
        <v>44</v>
      </c>
      <c r="J8" s="209">
        <v>9</v>
      </c>
      <c r="K8" s="205" t="str">
        <f t="shared" si="0"/>
        <v/>
      </c>
      <c r="L8" s="241" t="s">
        <v>44</v>
      </c>
      <c r="M8" s="209">
        <v>9</v>
      </c>
      <c r="N8" s="205" t="str">
        <f t="shared" si="1"/>
        <v/>
      </c>
      <c r="O8" s="241" t="s">
        <v>44</v>
      </c>
      <c r="P8" s="209">
        <v>9</v>
      </c>
      <c r="Q8" s="205" t="str">
        <f t="shared" si="2"/>
        <v/>
      </c>
      <c r="R8" s="241" t="s">
        <v>44</v>
      </c>
      <c r="S8" s="209">
        <v>13</v>
      </c>
      <c r="T8" s="205" t="str">
        <f t="shared" si="3"/>
        <v/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 t="str">
        <f t="shared" si="5"/>
        <v/>
      </c>
      <c r="AA8" s="241" t="s">
        <v>44</v>
      </c>
      <c r="AB8" s="209">
        <v>7</v>
      </c>
      <c r="AC8" s="205" t="str">
        <f t="shared" si="6"/>
        <v/>
      </c>
      <c r="AD8" s="241" t="s">
        <v>44</v>
      </c>
      <c r="AE8" s="209">
        <v>9</v>
      </c>
      <c r="AF8" s="205" t="str">
        <f t="shared" si="7"/>
        <v/>
      </c>
      <c r="AG8" s="241" t="s">
        <v>44</v>
      </c>
      <c r="AH8" s="209">
        <v>8</v>
      </c>
      <c r="AI8" s="205" t="str">
        <f t="shared" si="8"/>
        <v/>
      </c>
      <c r="AJ8" s="241" t="s">
        <v>44</v>
      </c>
      <c r="AK8" s="209">
        <v>13</v>
      </c>
      <c r="AL8" s="205" t="str">
        <f t="shared" si="9"/>
        <v/>
      </c>
      <c r="AM8" s="241" t="s">
        <v>44</v>
      </c>
      <c r="AN8" s="209">
        <v>10</v>
      </c>
      <c r="AO8" s="207" t="str">
        <f t="shared" si="10"/>
        <v/>
      </c>
      <c r="AT8" s="208" t="str">
        <f t="shared" si="11"/>
        <v>H</v>
      </c>
      <c r="AU8" s="209">
        <f t="shared" ca="1" si="12"/>
        <v>10</v>
      </c>
      <c r="AV8" s="207" t="str">
        <f t="shared" ca="1" si="13"/>
        <v/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8">
        <f ca="1">$S$21</f>
        <v>1</v>
      </c>
      <c r="BF8" s="100" t="str">
        <f>$R$2</f>
        <v>DH</v>
      </c>
      <c r="BG8" s="101">
        <f ca="1">$T$21</f>
        <v>135</v>
      </c>
      <c r="BH8" s="177"/>
      <c r="BI8" s="349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9">
        <f t="shared" ca="1" si="18"/>
        <v>5</v>
      </c>
      <c r="BO8" s="85" t="str">
        <f>$AG$2</f>
        <v>KK</v>
      </c>
      <c r="BP8" s="350">
        <f t="shared" ca="1" si="19"/>
        <v>-6</v>
      </c>
      <c r="BQ8" s="351">
        <f ca="1">-$AR$3*'Season Summary'!$AO$3</f>
        <v>-9</v>
      </c>
      <c r="BR8" s="352" t="str">
        <f ca="1">IF(COUNTIF('Season Summary'!AF$3:OFFSET('Season Summary'!AF$3,$C$2+$AR$2,0),"=1")&gt;0,COUNTIF('Season Summary'!AF$3:OFFSET('Season Summary'!AF$3,$C$2+$AR$2,0),"=1"),"")</f>
        <v/>
      </c>
      <c r="BS8" s="353" t="str">
        <f ca="1">IF(BR8="","",BR8*'Season Summary'!$AO$6)</f>
        <v/>
      </c>
      <c r="BT8" s="354" t="str">
        <f ca="1">IF($AH$22=1,"✓","")</f>
        <v/>
      </c>
      <c r="BU8" s="353" t="str">
        <f t="shared" ca="1" si="20"/>
        <v/>
      </c>
      <c r="BV8" s="354" t="str">
        <f ca="1">IF($AH$22=2,"✓","")</f>
        <v>✓</v>
      </c>
      <c r="BW8" s="355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202"/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 t="str">
        <f t="shared" si="3"/>
        <v/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8">
        <f ca="1">$Y$21</f>
        <v>1</v>
      </c>
      <c r="BF9" s="100" t="str">
        <f>$X$2</f>
        <v>JH</v>
      </c>
      <c r="BG9" s="101">
        <f ca="1">$Z$21</f>
        <v>135</v>
      </c>
      <c r="BH9" s="177"/>
      <c r="BI9" s="349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9">
        <f t="shared" ca="1" si="18"/>
        <v>5</v>
      </c>
      <c r="BO9" s="85" t="str">
        <f>$AM$2</f>
        <v>RR</v>
      </c>
      <c r="BP9" s="350">
        <f t="shared" ca="1" si="19"/>
        <v>-6</v>
      </c>
      <c r="BQ9" s="351">
        <f ca="1">-$AR$3*'Season Summary'!$AO$3</f>
        <v>-9</v>
      </c>
      <c r="BR9" s="352" t="str">
        <f ca="1">IF(COUNTIF('Season Summary'!AL$3:OFFSET('Season Summary'!AL$3,$C$2+$AR$2,0),"=1")&gt;0,COUNTIF('Season Summary'!AL$3:OFFSET('Season Summary'!AL$3,$C$2+$AR$2,0),"=1"),"")</f>
        <v/>
      </c>
      <c r="BS9" s="353" t="str">
        <f ca="1">IF(BR9="","",BR9*'Season Summary'!$AO$6)</f>
        <v/>
      </c>
      <c r="BT9" s="354" t="str">
        <f ca="1">IF($AN$22=1,"✓","")</f>
        <v/>
      </c>
      <c r="BU9" s="353" t="str">
        <f t="shared" ca="1" si="20"/>
        <v/>
      </c>
      <c r="BV9" s="354" t="str">
        <f ca="1">IF($AN$22=2,"✓","")</f>
        <v>✓</v>
      </c>
      <c r="BW9" s="355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202"/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 t="str">
        <f t="shared" si="0"/>
        <v/>
      </c>
      <c r="L10" s="241" t="s">
        <v>44</v>
      </c>
      <c r="M10" s="209">
        <v>2</v>
      </c>
      <c r="N10" s="205" t="str">
        <f t="shared" si="1"/>
        <v/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9</v>
      </c>
      <c r="T10" s="205" t="str">
        <f t="shared" si="3"/>
        <v/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 t="str">
        <f t="shared" si="6"/>
        <v/>
      </c>
      <c r="AD10" s="241" t="s">
        <v>44</v>
      </c>
      <c r="AE10" s="209">
        <v>2</v>
      </c>
      <c r="AF10" s="205" t="str">
        <f t="shared" si="7"/>
        <v/>
      </c>
      <c r="AG10" s="241" t="s">
        <v>44</v>
      </c>
      <c r="AH10" s="209">
        <v>9</v>
      </c>
      <c r="AI10" s="205" t="str">
        <f t="shared" si="8"/>
        <v/>
      </c>
      <c r="AJ10" s="241" t="s">
        <v>44</v>
      </c>
      <c r="AK10" s="209">
        <v>5</v>
      </c>
      <c r="AL10" s="205" t="str">
        <f t="shared" si="9"/>
        <v/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8">
        <f ca="1">$AB$21</f>
        <v>1</v>
      </c>
      <c r="BF10" s="100" t="str">
        <f>$AA$2</f>
        <v>JL</v>
      </c>
      <c r="BG10" s="101">
        <f ca="1">$AC$21</f>
        <v>135</v>
      </c>
      <c r="BH10" s="177"/>
      <c r="BI10" s="349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9">
        <f t="shared" ca="1" si="18"/>
        <v>7</v>
      </c>
      <c r="BO10" s="85" t="str">
        <f>$L$2</f>
        <v>CP</v>
      </c>
      <c r="BP10" s="350">
        <f t="shared" ca="1" si="19"/>
        <v>-9</v>
      </c>
      <c r="BQ10" s="351">
        <f ca="1">-$AR$3*'Season Summary'!$AO$3</f>
        <v>-9</v>
      </c>
      <c r="BR10" s="352" t="str">
        <f ca="1">IF(COUNTIF('Season Summary'!K$3:OFFSET('Season Summary'!K$3,$C$2+$AR$2,0),"=1")&gt;0,COUNTIF('Season Summary'!K$3:OFFSET('Season Summary'!K$3,$C$2+$AR$2,0),"=1"),"")</f>
        <v/>
      </c>
      <c r="BS10" s="353" t="str">
        <f ca="1">IF(BR10="","",BR10*'Season Summary'!$AO$6)</f>
        <v/>
      </c>
      <c r="BT10" s="354" t="str">
        <f ca="1">IF($M$22=1,"✓","")</f>
        <v/>
      </c>
      <c r="BU10" s="353" t="str">
        <f t="shared" ca="1" si="20"/>
        <v/>
      </c>
      <c r="BV10" s="354" t="str">
        <f ca="1">IF($M$22=2,"✓","")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202"/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8">
        <f ca="1">$AE$21</f>
        <v>1</v>
      </c>
      <c r="BF11" s="100" t="str">
        <f>$AD$2</f>
        <v>KC</v>
      </c>
      <c r="BG11" s="101">
        <f ca="1">$AF$21</f>
        <v>135</v>
      </c>
      <c r="BH11" s="177"/>
      <c r="BI11" s="349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9">
        <f t="shared" ca="1" si="18"/>
        <v>7</v>
      </c>
      <c r="BO11" s="85" t="str">
        <f>$O$2</f>
        <v>DC</v>
      </c>
      <c r="BP11" s="350">
        <f t="shared" ca="1" si="19"/>
        <v>-9</v>
      </c>
      <c r="BQ11" s="351">
        <f ca="1">-$AR$3*'Season Summary'!$AO$3</f>
        <v>-9</v>
      </c>
      <c r="BR11" s="352" t="str">
        <f ca="1">IF(COUNTIF('Season Summary'!N$3:OFFSET('Season Summary'!N$3,$C$2+$AR$2,0),"=1")&gt;0,COUNTIF('Season Summary'!N$3:OFFSET('Season Summary'!N$3,$C$2+$AR$2,0),"=1"),"")</f>
        <v/>
      </c>
      <c r="BS11" s="353" t="str">
        <f ca="1">IF(BR11="","",BR11*'Season Summary'!$AO$6)</f>
        <v/>
      </c>
      <c r="BT11" s="354" t="str">
        <f ca="1">IF($P$22=1,"✓","")</f>
        <v/>
      </c>
      <c r="BU11" s="353" t="str">
        <f t="shared" ca="1" si="20"/>
        <v/>
      </c>
      <c r="BV11" s="354" t="str">
        <f ca="1">IF($P$22=2,"✓","")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202"/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8">
        <f ca="1">$AH$21</f>
        <v>1</v>
      </c>
      <c r="BF12" s="100" t="str">
        <f>$AG$2</f>
        <v>KK</v>
      </c>
      <c r="BG12" s="101">
        <f ca="1">$AI$21</f>
        <v>135</v>
      </c>
      <c r="BH12" s="177"/>
      <c r="BI12" s="349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9">
        <f t="shared" ca="1" si="18"/>
        <v>7</v>
      </c>
      <c r="BO12" s="85" t="str">
        <f>$R$2</f>
        <v>DH</v>
      </c>
      <c r="BP12" s="350">
        <f t="shared" ca="1" si="19"/>
        <v>-9</v>
      </c>
      <c r="BQ12" s="351">
        <f ca="1">-$AR$3*'Season Summary'!$AO$3</f>
        <v>-9</v>
      </c>
      <c r="BR12" s="352" t="str">
        <f ca="1">IF(COUNTIF('Season Summary'!Q$3:OFFSET('Season Summary'!Q$3,$C$2+$AR$2,0),"=1")&gt;0,COUNTIF('Season Summary'!Q$3:OFFSET('Season Summary'!Q$3,$C$2+$AR$2,0),"=1"),"")</f>
        <v/>
      </c>
      <c r="BS12" s="353" t="str">
        <f ca="1">IF(BR12="","",BR12*'Season Summary'!$AO$6)</f>
        <v/>
      </c>
      <c r="BT12" s="354" t="str">
        <f ca="1">IF($S$22=1,"✓","")</f>
        <v/>
      </c>
      <c r="BU12" s="353" t="str">
        <f t="shared" ca="1" si="20"/>
        <v/>
      </c>
      <c r="BV12" s="354" t="str">
        <f ca="1">IF($S$22=2,"✓","")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202"/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8">
        <f ca="1">$AK$21</f>
        <v>1</v>
      </c>
      <c r="BF13" s="100" t="str">
        <f>$AJ$2</f>
        <v>MB</v>
      </c>
      <c r="BG13" s="101">
        <f ca="1">$AL$21</f>
        <v>135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9">
        <f t="shared" ca="1" si="18"/>
        <v>7</v>
      </c>
      <c r="BO13" s="85" t="str">
        <f>$U$2</f>
        <v>JG</v>
      </c>
      <c r="BP13" s="350">
        <f t="shared" ca="1" si="19"/>
        <v>-9</v>
      </c>
      <c r="BQ13" s="351">
        <f ca="1">-$AR$3*'Season Summary'!$AO$3</f>
        <v>-9</v>
      </c>
      <c r="BR13" s="352" t="str">
        <f ca="1">IF(COUNTIF('Season Summary'!T$3:OFFSET('Season Summary'!T$3,$C$2+$AR$2,0),"=1")&gt;0,COUNTIF('Season Summary'!T$3:OFFSET('Season Summary'!T$3,$C$2+$AR$2,0),"=1"),"")</f>
        <v/>
      </c>
      <c r="BS13" s="353" t="str">
        <f ca="1">IF(BR13="","",BR13*'Season Summary'!$AO$6)</f>
        <v/>
      </c>
      <c r="BT13" s="354" t="str">
        <f ca="1">IF($V$22=1,"✓","")</f>
        <v/>
      </c>
      <c r="BU13" s="353" t="str">
        <f t="shared" ca="1" si="20"/>
        <v/>
      </c>
      <c r="BV13" s="354" t="str">
        <f ca="1">IF($V$22=2,"✓","")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202"/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8">
        <f ca="1">$AN$21</f>
        <v>1</v>
      </c>
      <c r="BF14" s="100" t="str">
        <f>$AM$2</f>
        <v>RR</v>
      </c>
      <c r="BG14" s="101">
        <f ca="1">$AO$21</f>
        <v>135</v>
      </c>
      <c r="BH14" s="177"/>
      <c r="BI14" s="349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9">
        <f t="shared" ca="1" si="18"/>
        <v>7</v>
      </c>
      <c r="BO14" s="85" t="str">
        <f>$AA$2</f>
        <v>JL</v>
      </c>
      <c r="BP14" s="350">
        <f t="shared" ca="1" si="19"/>
        <v>-9</v>
      </c>
      <c r="BQ14" s="351">
        <f ca="1">-$AR$3*'Season Summary'!$AO$3</f>
        <v>-9</v>
      </c>
      <c r="BR14" s="352" t="str">
        <f ca="1">IF(COUNTIF('Season Summary'!Z$3:OFFSET('Season Summary'!Z$3,$C$2+$AR$2,0),"=1")&gt;0,COUNTIF('Season Summary'!Z$3:OFFSET('Season Summary'!Z$3,$C$2+$AR$2,0),"=1"),"")</f>
        <v/>
      </c>
      <c r="BS14" s="353" t="str">
        <f ca="1">IF(BR14="","",BR14*'Season Summary'!$AO$6)</f>
        <v/>
      </c>
      <c r="BT14" s="354" t="str">
        <f ca="1">IF($AB$22=1,"✓","")</f>
        <v/>
      </c>
      <c r="BU14" s="353" t="str">
        <f t="shared" ca="1" si="20"/>
        <v/>
      </c>
      <c r="BV14" s="354" t="str">
        <f ca="1">IF($AB$22=2,"✓","")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202"/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6">
        <f ca="1">$V$21</f>
        <v>12</v>
      </c>
      <c r="BF15" s="102" t="str">
        <f>$U$2</f>
        <v>JG</v>
      </c>
      <c r="BG15" s="103">
        <f>$W$21</f>
        <v>0</v>
      </c>
      <c r="BH15" s="177"/>
      <c r="BI15" s="357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7">
        <f t="shared" ca="1" si="18"/>
        <v>7</v>
      </c>
      <c r="BO15" s="86" t="str">
        <f>$AD$2</f>
        <v>KC</v>
      </c>
      <c r="BP15" s="358">
        <f t="shared" ca="1" si="19"/>
        <v>-9</v>
      </c>
      <c r="BQ15" s="359">
        <f ca="1">-$AR$3*'Season Summary'!$AO$3</f>
        <v>-9</v>
      </c>
      <c r="BR15" s="360" t="str">
        <f ca="1">IF(COUNTIF('Season Summary'!AC$3:OFFSET('Season Summary'!AC$3,$C$2+$AR$2,0),"=1")&gt;0,COUNTIF('Season Summary'!AC$3:OFFSET('Season Summary'!AC$3,$C$2+$AR$2,0),"=1"),"")</f>
        <v/>
      </c>
      <c r="BS15" s="361" t="str">
        <f ca="1">IF(BR15="","",BR15*'Season Summary'!$AO$6)</f>
        <v/>
      </c>
      <c r="BT15" s="362" t="str">
        <f ca="1">IF($AE$22=1,"✓","")</f>
        <v/>
      </c>
      <c r="BU15" s="361" t="str">
        <f t="shared" ca="1" si="20"/>
        <v/>
      </c>
      <c r="BV15" s="362" t="str">
        <f ca="1">IF($AE$22=2,"✓","")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202"/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 t="str">
        <f t="shared" si="5"/>
        <v/>
      </c>
      <c r="AA16" s="241" t="s">
        <v>44</v>
      </c>
      <c r="AB16" s="209">
        <v>2</v>
      </c>
      <c r="AC16" s="205" t="str">
        <f t="shared" si="6"/>
        <v/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 t="str">
        <f t="shared" si="9"/>
        <v/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202"/>
      <c r="F17" s="238" t="s">
        <v>44</v>
      </c>
      <c r="G17" s="209">
        <v>8</v>
      </c>
      <c r="H17" s="205" t="str">
        <f t="shared" si="23"/>
        <v/>
      </c>
      <c r="I17" s="241" t="s">
        <v>44</v>
      </c>
      <c r="J17" s="209">
        <v>3</v>
      </c>
      <c r="K17" s="205" t="str">
        <f t="shared" si="0"/>
        <v/>
      </c>
      <c r="L17" s="241" t="s">
        <v>44</v>
      </c>
      <c r="M17" s="209">
        <v>11</v>
      </c>
      <c r="N17" s="205" t="str">
        <f t="shared" si="1"/>
        <v/>
      </c>
      <c r="O17" s="241" t="s">
        <v>44</v>
      </c>
      <c r="P17" s="209">
        <v>11</v>
      </c>
      <c r="Q17" s="205" t="str">
        <f t="shared" si="2"/>
        <v/>
      </c>
      <c r="R17" s="241" t="s">
        <v>44</v>
      </c>
      <c r="S17" s="209">
        <v>10</v>
      </c>
      <c r="T17" s="205" t="str">
        <f t="shared" si="3"/>
        <v/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 t="str">
        <f t="shared" si="5"/>
        <v/>
      </c>
      <c r="AA17" s="241" t="s">
        <v>44</v>
      </c>
      <c r="AB17" s="209">
        <v>15</v>
      </c>
      <c r="AC17" s="205" t="str">
        <f t="shared" si="6"/>
        <v/>
      </c>
      <c r="AD17" s="241" t="s">
        <v>44</v>
      </c>
      <c r="AE17" s="209">
        <v>11</v>
      </c>
      <c r="AF17" s="205" t="str">
        <f t="shared" si="7"/>
        <v/>
      </c>
      <c r="AG17" s="241" t="s">
        <v>44</v>
      </c>
      <c r="AH17" s="209">
        <v>11</v>
      </c>
      <c r="AI17" s="205" t="str">
        <f t="shared" si="8"/>
        <v/>
      </c>
      <c r="AJ17" s="241" t="s">
        <v>44</v>
      </c>
      <c r="AK17" s="209">
        <v>10</v>
      </c>
      <c r="AL17" s="205" t="str">
        <f t="shared" si="9"/>
        <v/>
      </c>
      <c r="AM17" s="241" t="s">
        <v>44</v>
      </c>
      <c r="AN17" s="209">
        <v>3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11</v>
      </c>
      <c r="AV17" s="207" t="str">
        <f t="shared" ca="1" si="13"/>
        <v/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202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202"/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56</v>
      </c>
      <c r="H20" s="147"/>
      <c r="I20" s="365" t="s">
        <v>747</v>
      </c>
      <c r="J20" s="110">
        <v>51</v>
      </c>
      <c r="K20" s="147"/>
      <c r="L20" s="365" t="s">
        <v>747</v>
      </c>
      <c r="M20" s="110">
        <v>57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63</v>
      </c>
      <c r="T20" s="147"/>
      <c r="U20" s="365" t="s">
        <v>3</v>
      </c>
      <c r="V20" s="110"/>
      <c r="W20" s="147"/>
      <c r="X20" s="365" t="s">
        <v>747</v>
      </c>
      <c r="Y20" s="110">
        <v>50</v>
      </c>
      <c r="Z20" s="147"/>
      <c r="AA20" s="365" t="s">
        <v>747</v>
      </c>
      <c r="AB20" s="110">
        <v>59</v>
      </c>
      <c r="AC20" s="147"/>
      <c r="AD20" s="365" t="s">
        <v>747</v>
      </c>
      <c r="AE20" s="110">
        <v>57</v>
      </c>
      <c r="AF20" s="147"/>
      <c r="AG20" s="365" t="s">
        <v>747</v>
      </c>
      <c r="AH20" s="110">
        <v>60</v>
      </c>
      <c r="AI20" s="147"/>
      <c r="AJ20" s="365" t="s">
        <v>747</v>
      </c>
      <c r="AK20" s="110">
        <v>60</v>
      </c>
      <c r="AL20" s="147"/>
      <c r="AM20" s="365" t="s">
        <v>747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135</v>
      </c>
      <c r="I21" s="219"/>
      <c r="J21" s="217">
        <f ca="1">RANK(K21,$H34:$AO34,0)+J52</f>
        <v>1</v>
      </c>
      <c r="K21" s="218">
        <f ca="1">IF(SUM(J4:J19)&gt;0,SUM(K4:K19)+$F$31,0)</f>
        <v>135</v>
      </c>
      <c r="L21" s="219"/>
      <c r="M21" s="217">
        <f ca="1">RANK(N21,$H34:$AO34,0)+M52</f>
        <v>1</v>
      </c>
      <c r="N21" s="218">
        <f ca="1">IF(SUM(M4:M19)&gt;0,SUM(N4:N19)+$F$31,0)</f>
        <v>135</v>
      </c>
      <c r="O21" s="219"/>
      <c r="P21" s="217">
        <f ca="1">RANK(Q21,$H34:$AO34,0)+P52</f>
        <v>1</v>
      </c>
      <c r="Q21" s="218">
        <f ca="1">IF(SUM(P4:P19)&gt;0,SUM(Q4:Q19)+$F$31,0)</f>
        <v>135</v>
      </c>
      <c r="R21" s="219"/>
      <c r="S21" s="217">
        <f ca="1">RANK(T21,$H34:$AO34,0)+S52</f>
        <v>1</v>
      </c>
      <c r="T21" s="218">
        <f ca="1">IF(SUM(S4:S19)&gt;0,SUM(T4:T19)+$F$31,0)</f>
        <v>135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1</v>
      </c>
      <c r="Z21" s="218">
        <f ca="1">IF(SUM(Y4:Y19)&gt;0,SUM(Z4:Z19)+$F$31,0)</f>
        <v>135</v>
      </c>
      <c r="AA21" s="219"/>
      <c r="AB21" s="217">
        <f ca="1">RANK(AC21,$H34:$AO34,0)+AB52</f>
        <v>1</v>
      </c>
      <c r="AC21" s="218">
        <f ca="1">IF(SUM(AB4:AB19)&gt;0,SUM(AC4:AC19)+$F$31,0)</f>
        <v>135</v>
      </c>
      <c r="AD21" s="219"/>
      <c r="AE21" s="217">
        <f ca="1">RANK(AF21,$H34:$AO34,0)+AE52</f>
        <v>1</v>
      </c>
      <c r="AF21" s="218">
        <f ca="1">IF(SUM(AE4:AE19)&gt;0,SUM(AF4:AF19)+$F$31,0)</f>
        <v>135</v>
      </c>
      <c r="AG21" s="219"/>
      <c r="AH21" s="217">
        <f ca="1">RANK(AI21,$H34:$AO34,0)+AH52</f>
        <v>1</v>
      </c>
      <c r="AI21" s="218">
        <f ca="1">IF(SUM(AH4:AH19)&gt;0,SUM(AI4:AI19)+$F$31,0)</f>
        <v>135</v>
      </c>
      <c r="AJ21" s="219"/>
      <c r="AK21" s="217">
        <f ca="1">RANK(AL21,$H34:$AO34,0)+AK52</f>
        <v>1</v>
      </c>
      <c r="AL21" s="218">
        <f ca="1">IF(SUM(AK4:AK19)&gt;0,SUM(AL4:AL19)+$F$31,0)</f>
        <v>135</v>
      </c>
      <c r="AM21" s="219"/>
      <c r="AN21" s="217">
        <f ca="1">RANK(AO21,$H34:$AO34,0)+AN52</f>
        <v>1</v>
      </c>
      <c r="AO21" s="220">
        <f ca="1">IF(SUM(AN4:AN19)&gt;0,SUM(AO4:AO19)+$F$31,0)</f>
        <v>135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135</v>
      </c>
      <c r="I34" s="26"/>
      <c r="J34" s="26"/>
      <c r="K34" s="26">
        <f t="shared" ref="K34:K39" ca="1" si="25">K21</f>
        <v>135</v>
      </c>
      <c r="L34" s="26"/>
      <c r="M34" s="26"/>
      <c r="N34" s="26">
        <f t="shared" ref="N34:N39" ca="1" si="26">N21</f>
        <v>135</v>
      </c>
      <c r="Q34" s="26">
        <f t="shared" ref="Q34:Q39" ca="1" si="27">Q21</f>
        <v>135</v>
      </c>
      <c r="T34" s="26">
        <f t="shared" ref="T34:T39" ca="1" si="28">T21</f>
        <v>135</v>
      </c>
      <c r="W34" s="26">
        <f t="shared" ref="W34:W39" si="29">W21</f>
        <v>0</v>
      </c>
      <c r="Z34" s="26">
        <f t="shared" ref="Z34:Z39" ca="1" si="30">Z21</f>
        <v>135</v>
      </c>
      <c r="AC34" s="26">
        <f t="shared" ref="AC34:AC39" ca="1" si="31">AC21</f>
        <v>135</v>
      </c>
      <c r="AF34" s="26">
        <f t="shared" ref="AF34:AF39" ca="1" si="32">AF21</f>
        <v>135</v>
      </c>
      <c r="AI34" s="26">
        <f t="shared" ref="AI34:AI39" ca="1" si="33">AI21</f>
        <v>135</v>
      </c>
      <c r="AL34" s="26">
        <f t="shared" ref="AL34:AL39" ca="1" si="34">AL21</f>
        <v>135</v>
      </c>
      <c r="AO34" s="26">
        <f t="shared" ref="AO34:AO39" ca="1" si="35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5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200" t="str">
        <f>IF('NFL Schedule'!A87="","",'NFL Schedule'!A87)</f>
        <v>Broncos</v>
      </c>
      <c r="C9" s="201" t="str">
        <f>IF('NFL Schedule'!B87="","",'NFL Schedule'!B87)</f>
        <v>at</v>
      </c>
      <c r="D9" s="201" t="str">
        <f>IF('NFL Schedule'!C87="","",'NFL Schedule'!C87)</f>
        <v>Patriots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200" t="str">
        <f>IF('NFL Schedule'!A88="","",'NFL Schedule'!A88)</f>
        <v>Cardinals</v>
      </c>
      <c r="C10" s="201" t="str">
        <f>IF('NFL Schedule'!B88="","",'NFL Schedule'!B88)</f>
        <v>at</v>
      </c>
      <c r="D10" s="201" t="str">
        <f>IF('NFL Schedule'!C88="","",'NFL Schedule'!C88)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200" t="str">
        <f>IF('NFL Schedule'!A89="","",'NFL Schedule'!A89)</f>
        <v>Eagles</v>
      </c>
      <c r="C11" s="201" t="str">
        <f>IF('NFL Schedule'!B89="","",'NFL Schedule'!B89)</f>
        <v>at</v>
      </c>
      <c r="D11" s="201" t="str">
        <f>IF('NFL Schedule'!C89="","",'NFL Schedule'!C89)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200" t="str">
        <f>IF('NFL Schedule'!A90="","",'NFL Schedule'!A90)</f>
        <v>Bills</v>
      </c>
      <c r="C12" s="201" t="str">
        <f>IF('NFL Schedule'!B90="","",'NFL Schedule'!B90)</f>
        <v>at</v>
      </c>
      <c r="D12" s="201" t="str">
        <f>IF('NFL Schedule'!C90="","",'NFL Schedule'!C90)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200" t="str">
        <f>IF('NFL Schedule'!A91="","",'NFL Schedule'!A91)</f>
        <v>Rams</v>
      </c>
      <c r="C13" s="201" t="str">
        <f>IF('NFL Schedule'!B91="","",'NFL Schedule'!B91)</f>
        <v>at</v>
      </c>
      <c r="D13" s="201" t="str">
        <f>IF('NFL Schedule'!C91="","",'NFL Schedule'!C91)</f>
        <v>Football Team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ca="1">IF(BV13="✓",$AH$27/COUNTIF(BV$4:BV$15,"✓"),"")</f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200" t="str">
        <f>IF('NFL Schedule'!A92="","",'NFL Schedule'!A92)</f>
        <v>Dolphins</v>
      </c>
      <c r="C14" s="201" t="str">
        <f>IF('NFL Schedule'!B92="","",'NFL Schedule'!B92)</f>
        <v>at</v>
      </c>
      <c r="D14" s="201" t="str">
        <f>IF('NFL Schedule'!C92="","",'NFL Schedule'!C92)</f>
        <v>49ers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200" t="str">
        <f>IF('NFL Schedule'!A93="","",'NFL Schedule'!A93)</f>
        <v>Colts</v>
      </c>
      <c r="C15" s="201" t="str">
        <f>IF('NFL Schedule'!B93="","",'NFL Schedule'!B93)</f>
        <v>at</v>
      </c>
      <c r="D15" s="201" t="str">
        <f>IF('NFL Schedule'!C93="","",'NFL Schedule'!C93)</f>
        <v>Browns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200" t="str">
        <f>IF('NFL Schedule'!A94="","",'NFL Schedule'!A94)</f>
        <v>Giants</v>
      </c>
      <c r="C16" s="201" t="str">
        <f>IF('NFL Schedule'!B94="","",'NFL Schedule'!B94)</f>
        <v>at</v>
      </c>
      <c r="D16" s="201" t="str">
        <f>IF('NFL Schedule'!C94="","",'NFL Schedule'!C94)</f>
        <v>Cowboys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200" t="str">
        <f>IF('NFL Schedule'!A95="","",'NFL Schedule'!A95)</f>
        <v>Vikings</v>
      </c>
      <c r="C17" s="201" t="str">
        <f>IF('NFL Schedule'!B95="","",'NFL Schedule'!B95)</f>
        <v>at</v>
      </c>
      <c r="D17" s="201" t="str">
        <f>IF('NFL Schedule'!C95="","",'NFL Schedule'!C95)</f>
        <v>Seahawks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Lions, Packers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6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200" t="str">
        <f>IF('NFL Schedule'!A103="","",'NFL Schedule'!A103)</f>
        <v>Bears</v>
      </c>
      <c r="C5" s="201" t="str">
        <f>IF('NFL Schedule'!B103="","",'NFL Schedule'!B103)</f>
        <v>at</v>
      </c>
      <c r="D5" s="201" t="str">
        <f>IF('NFL Schedule'!C103="","",'NFL Schedule'!C103)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Bengals</v>
      </c>
      <c r="C6" s="201" t="str">
        <f>IF('NFL Schedule'!B104="","",'NFL Schedule'!B104)</f>
        <v>at</v>
      </c>
      <c r="D6" s="201" t="str">
        <f>IF('NFL Schedule'!C104="","",'NFL Schedule'!C104)</f>
        <v>Colts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200" t="str">
        <f>IF('NFL Schedule'!A105="","",'NFL Schedule'!A105)</f>
        <v>Lions</v>
      </c>
      <c r="C7" s="201" t="str">
        <f>IF('NFL Schedule'!B105="","",'NFL Schedule'!B105)</f>
        <v>at</v>
      </c>
      <c r="D7" s="201" t="str">
        <f>IF('NFL Schedule'!C105="","",'NFL Schedule'!C105)</f>
        <v>Jaguars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200" t="str">
        <f>IF('NFL Schedule'!A106="","",'NFL Schedule'!A106)</f>
        <v>Falcons</v>
      </c>
      <c r="C8" s="201" t="str">
        <f>IF('NFL Schedule'!B106="","",'NFL Schedule'!B106)</f>
        <v>at</v>
      </c>
      <c r="D8" s="201" t="str">
        <f>IF('NFL Schedule'!C106="","",'NFL Schedule'!C106)</f>
        <v>Vikings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200" t="str">
        <f>IF('NFL Schedule'!A107="","",'NFL Schedule'!A107)</f>
        <v>Football Team</v>
      </c>
      <c r="C9" s="201" t="str">
        <f>IF('NFL Schedule'!B107="","",'NFL Schedule'!B107)</f>
        <v>at</v>
      </c>
      <c r="D9" s="201" t="str">
        <f>IF('NFL Schedule'!C107="","",'NFL Schedule'!C107)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200" t="str">
        <f>IF('NFL Schedule'!A108="","",'NFL Schedule'!A108)</f>
        <v>Ravens</v>
      </c>
      <c r="C10" s="201" t="str">
        <f>IF('NFL Schedule'!B108="","",'NFL Schedule'!B108)</f>
        <v>at</v>
      </c>
      <c r="D10" s="201" t="str">
        <f>IF('NFL Schedule'!C108="","",'NFL Schedule'!C108)</f>
        <v>Eagles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200" t="str">
        <f>IF('NFL Schedule'!A109="","",'NFL Schedule'!A109)</f>
        <v>Browns</v>
      </c>
      <c r="C11" s="201" t="str">
        <f>IF('NFL Schedule'!B109="","",'NFL Schedule'!B109)</f>
        <v>at</v>
      </c>
      <c r="D11" s="201" t="str">
        <f>IF('NFL Schedule'!C109="","",'NFL Schedule'!C109)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200" t="str">
        <f>IF('NFL Schedule'!A110="","",'NFL Schedule'!A110)</f>
        <v>Texans</v>
      </c>
      <c r="C12" s="201" t="str">
        <f>IF('NFL Schedule'!B110="","",'NFL Schedule'!B110)</f>
        <v>at</v>
      </c>
      <c r="D12" s="201" t="str">
        <f>IF('NFL Schedule'!C110="","",'NFL Schedule'!C110)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200" t="str">
        <f>IF('NFL Schedule'!A111="","",'NFL Schedule'!A111)</f>
        <v>Dolphins</v>
      </c>
      <c r="C13" s="201" t="str">
        <f>IF('NFL Schedule'!B111="","",'NFL Schedule'!B111)</f>
        <v>at</v>
      </c>
      <c r="D13" s="201" t="str">
        <f>IF('NFL Schedule'!C111="","",'NFL Schedule'!C111)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200" t="str">
        <f>IF('NFL Schedule'!A112="","",'NFL Schedule'!A112)</f>
        <v>Jets</v>
      </c>
      <c r="C14" s="201" t="str">
        <f>IF('NFL Schedule'!B112="","",'NFL Schedule'!B112)</f>
        <v>at</v>
      </c>
      <c r="D14" s="201" t="str">
        <f>IF('NFL Schedule'!C112="","",'NFL Schedule'!C112)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200" t="str">
        <f>IF('NFL Schedule'!A113="","",'NFL Schedule'!A113)</f>
        <v>Packers</v>
      </c>
      <c r="C15" s="201" t="str">
        <f>IF('NFL Schedule'!B113="","",'NFL Schedule'!B113)</f>
        <v>at</v>
      </c>
      <c r="D15" s="201" t="str">
        <f>IF('NFL Schedule'!C113="","",'NFL Schedule'!C113)</f>
        <v>Buccaneers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Patriots,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7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200" t="str">
        <f>IF('NFL Schedule'!A123="","",'NFL Schedule'!A123)</f>
        <v>Lions</v>
      </c>
      <c r="C5" s="201" t="str">
        <f>IF('NFL Schedule'!B123="","",'NFL Schedule'!B123)</f>
        <v>at</v>
      </c>
      <c r="D5" s="201" t="str">
        <f>IF('NFL Schedule'!C123="","",'NFL Schedule'!C123)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200" t="str">
        <f>IF('NFL Schedule'!A124="","",'NFL Schedule'!A124)</f>
        <v>Steelers</v>
      </c>
      <c r="C6" s="201" t="str">
        <f>IF('NFL Schedule'!B124="","",'NFL Schedule'!B124)</f>
        <v>at</v>
      </c>
      <c r="D6" s="201" t="str">
        <f>IF('NFL Schedule'!C124="","",'NFL Schedule'!C124)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200" t="str">
        <f>IF('NFL Schedule'!A127="","",'NFL Schedule'!A127)</f>
        <v>Chargers</v>
      </c>
      <c r="C9" s="201" t="str">
        <f>IF('NFL Schedule'!B127="","",'NFL Schedule'!B127)</f>
        <v>at</v>
      </c>
      <c r="D9" s="201" t="str">
        <f>IF('NFL Schedule'!C127="","",'NFL Schedule'!C127)</f>
        <v>Dolphins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200" t="str">
        <f>IF('NFL Schedule'!A128="","",'NFL Schedule'!A128)</f>
        <v>Panthers</v>
      </c>
      <c r="C10" s="201" t="str">
        <f>IF('NFL Schedule'!B128="","",'NFL Schedule'!B128)</f>
        <v>at</v>
      </c>
      <c r="D10" s="201" t="str">
        <f>IF('NFL Schedule'!C128="","",'NFL Schedule'!C128)</f>
        <v>Saints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200" t="str">
        <f>IF('NFL Schedule'!A129="","",'NFL Schedule'!A129)</f>
        <v>Bills</v>
      </c>
      <c r="C11" s="201" t="str">
        <f>IF('NFL Schedule'!B129="","",'NFL Schedule'!B129)</f>
        <v>at</v>
      </c>
      <c r="D11" s="201" t="str">
        <f>IF('NFL Schedule'!C129="","",'NFL Schedule'!C129)</f>
        <v>Jets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200" t="str">
        <f>IF('NFL Schedule'!A130="","",'NFL Schedule'!A130)</f>
        <v>Cowboys</v>
      </c>
      <c r="C12" s="201" t="str">
        <f>IF('NFL Schedule'!B130="","",'NFL Schedule'!B130)</f>
        <v>at</v>
      </c>
      <c r="D12" s="201" t="str">
        <f>IF('NFL Schedule'!C130="","",'NFL Schedule'!C130)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200" t="str">
        <f>IF('NFL Schedule'!A131="","",'NFL Schedule'!A131)</f>
        <v>Seahawks</v>
      </c>
      <c r="C13" s="201" t="str">
        <f>IF('NFL Schedule'!B131="","",'NFL Schedule'!B131)</f>
        <v>at</v>
      </c>
      <c r="D13" s="201" t="str">
        <f>IF('NFL Schedule'!C131="","",'NFL Schedule'!C131)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200" t="str">
        <f>IF('NFL Schedule'!A132="","",'NFL Schedule'!A132)</f>
        <v>Chiefs</v>
      </c>
      <c r="C14" s="201" t="str">
        <f>IF('NFL Schedule'!B132="","",'NFL Schedule'!B132)</f>
        <v>at</v>
      </c>
      <c r="D14" s="201" t="str">
        <f>IF('NFL Schedule'!C132="","",'NFL Schedule'!C132)</f>
        <v>Broncos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200" t="str">
        <f>IF('NFL Schedule'!A133="","",'NFL Schedule'!A133)</f>
        <v>49ers</v>
      </c>
      <c r="C15" s="201" t="str">
        <f>IF('NFL Schedule'!B133="","",'NFL Schedule'!B133)</f>
        <v>at</v>
      </c>
      <c r="D15" s="201" t="str">
        <f>IF('NFL Schedule'!C133="","",'NFL Schedule'!C133)</f>
        <v>Patriots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Jaguars, Titans,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8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200" t="str">
        <f>IF('NFL Schedule'!A143="","",'NFL Schedule'!A143)</f>
        <v>Patriots</v>
      </c>
      <c r="C5" s="201" t="str">
        <f>IF('NFL Schedule'!B143="","",'NFL Schedule'!B143)</f>
        <v>at</v>
      </c>
      <c r="D5" s="201" t="str">
        <f>IF('NFL Schedule'!C143="","",'NFL Schedule'!C143)</f>
        <v>Bills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200" t="str">
        <f>IF('NFL Schedule'!A144="","",'NFL Schedule'!A144)</f>
        <v>Titans</v>
      </c>
      <c r="C6" s="201" t="str">
        <f>IF('NFL Schedule'!B144="","",'NFL Schedule'!B144)</f>
        <v>at</v>
      </c>
      <c r="D6" s="201" t="str">
        <f>IF('NFL Schedule'!C144="","",'NFL Schedule'!C144)</f>
        <v>Bengals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200" t="str">
        <f>IF('NFL Schedule'!A145="","",'NFL Schedule'!A145)</f>
        <v>Raiders</v>
      </c>
      <c r="C7" s="201" t="str">
        <f>IF('NFL Schedule'!B145="","",'NFL Schedule'!B145)</f>
        <v>at</v>
      </c>
      <c r="D7" s="201" t="str">
        <f>IF('NFL Schedule'!C145="","",'NFL Schedule'!C145)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200" t="str">
        <f>IF('NFL Schedule'!A146="","",'NFL Schedule'!A146)</f>
        <v>Colts</v>
      </c>
      <c r="C8" s="201" t="str">
        <f>IF('NFL Schedule'!B146="","",'NFL Schedule'!B146)</f>
        <v>at</v>
      </c>
      <c r="D8" s="201" t="str">
        <f>IF('NFL Schedule'!C146="","",'NFL Schedule'!C146)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200" t="str">
        <f>IF('NFL Schedule'!A147="","",'NFL Schedule'!A147)</f>
        <v>Vikings</v>
      </c>
      <c r="C9" s="201" t="str">
        <f>IF('NFL Schedule'!B147="","",'NFL Schedule'!B147)</f>
        <v>at</v>
      </c>
      <c r="D9" s="201" t="str">
        <f>IF('NFL Schedule'!C147="","",'NFL Schedule'!C147)</f>
        <v>Packers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200" t="str">
        <f>IF('NFL Schedule'!A148="","",'NFL Schedule'!A148)</f>
        <v>Jets</v>
      </c>
      <c r="C10" s="201" t="str">
        <f>IF('NFL Schedule'!B148="","",'NFL Schedule'!B148)</f>
        <v>at</v>
      </c>
      <c r="D10" s="201" t="str">
        <f>IF('NFL Schedule'!C148="","",'NFL Schedule'!C148)</f>
        <v>Chiefs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200" t="str">
        <f>IF('NFL Schedule'!A149="","",'NFL Schedule'!A149)</f>
        <v>Rams</v>
      </c>
      <c r="C11" s="201" t="str">
        <f>IF('NFL Schedule'!B149="","",'NFL Schedule'!B149)</f>
        <v>at</v>
      </c>
      <c r="D11" s="201" t="str">
        <f>IF('NFL Schedule'!C149="","",'NFL Schedule'!C149)</f>
        <v>Dolphins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200" t="str">
        <f>IF('NFL Schedule'!A150="","",'NFL Schedule'!A150)</f>
        <v>Jaguars</v>
      </c>
      <c r="C12" s="201" t="str">
        <f>IF('NFL Schedule'!B150="","",'NFL Schedule'!B150)</f>
        <v>at</v>
      </c>
      <c r="D12" s="201" t="str">
        <f>IF('NFL Schedule'!C150="","",'NFL Schedule'!C150)</f>
        <v>Chargers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200" t="str">
        <f>IF('NFL Schedule'!A153="","",'NFL Schedule'!A153)</f>
        <v>Cowboys</v>
      </c>
      <c r="C15" s="201" t="str">
        <f>IF('NFL Schedule'!B153="","",'NFL Schedule'!B153)</f>
        <v>at</v>
      </c>
      <c r="D15" s="201" t="str">
        <f>IF('NFL Schedule'!C153="","",'NFL Schedule'!C153)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200" t="str">
        <f>IF('NFL Schedule'!A154="","",'NFL Schedule'!A154)</f>
        <v/>
      </c>
      <c r="C16" s="201" t="str">
        <f>IF('NFL Schedule'!B154="","",'NFL Schedule'!B154)</f>
        <v/>
      </c>
      <c r="D16" s="201" t="str">
        <f>IF('NFL Schedule'!C154="","",'NFL Schedule'!C154)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Broncos, Cardinals, Ravens, Football Team, Steelers,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9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10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Jets</v>
      </c>
      <c r="C13" s="201" t="str">
        <f>IF('NFL Schedule'!B191="","",'NFL Schedule'!B191)</f>
        <v>at</v>
      </c>
      <c r="D13" s="201" t="str">
        <f>IF('NFL Schedule'!C191="","",'NFL Schedule'!C191)</f>
        <v>Dolphins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Seahawks</v>
      </c>
      <c r="C14" s="201" t="str">
        <f>IF('NFL Schedule'!B192="","",'NFL Schedule'!B192)</f>
        <v>at</v>
      </c>
      <c r="D14" s="201" t="str">
        <f>IF('NFL Schedule'!C192="","",'NFL Schedule'!C192)</f>
        <v>Rams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49ers</v>
      </c>
      <c r="C15" s="201" t="str">
        <f>IF('NFL Schedule'!B193="","",'NFL Schedule'!B193)</f>
        <v>at</v>
      </c>
      <c r="D15" s="201" t="str">
        <f>IF('NFL Schedule'!C193="","",'NFL Schedule'!C193)</f>
        <v>Saints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Chargers, Chiefs, Cowboys, Falcons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11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Chargers</v>
      </c>
      <c r="C13" s="201" t="str">
        <f>IF('NFL Schedule'!B211="","",'NFL Schedule'!B211)</f>
        <v>at</v>
      </c>
      <c r="D13" s="201" t="str">
        <f>IF('NFL Schedule'!C211="","",'NFL Schedule'!C211)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ca="1">IF(BV13="✓",$AH$27/COUNTIF(BV$4:BV$15,"✓"),"")</f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Cowboys</v>
      </c>
      <c r="C14" s="201" t="str">
        <f>IF('NFL Schedule'!B212="","",'NFL Schedule'!B212)</f>
        <v>at</v>
      </c>
      <c r="D14" s="201" t="str">
        <f>IF('NFL Schedule'!C212="","",'NFL Schedule'!C212)</f>
        <v>Vikings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Chiefs</v>
      </c>
      <c r="C15" s="201" t="str">
        <f>IF('NFL Schedule'!B213="","",'NFL Schedule'!B213)</f>
        <v>at</v>
      </c>
      <c r="D15" s="201" t="str">
        <f>IF('NFL Schedule'!C213="","",'NFL Schedule'!C213)</f>
        <v>Raiders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/>
      </c>
      <c r="C16" s="201" t="str">
        <f>IF('NFL Schedule'!B214="","",'NFL Schedule'!B214)</f>
        <v/>
      </c>
      <c r="D16" s="201" t="str">
        <f>IF('NFL Schedule'!C214="","",'NFL Schedule'!C214)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Dolphins, Giants,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12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3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3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3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13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14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15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16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17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4"/>
    </row>
    <row r="2" spans="2:101" ht="27" customHeight="1" thickTop="1" thickBot="1" x14ac:dyDescent="0.25">
      <c r="B2" s="387" t="str">
        <f ca="1">$AR$12</f>
        <v>Week 3 Final</v>
      </c>
      <c r="C2" s="388" t="str">
        <f ca="1">$AR$12</f>
        <v>Week 3 Final</v>
      </c>
      <c r="D2" s="389"/>
      <c r="E2" s="122" t="s">
        <v>678</v>
      </c>
      <c r="F2" s="123">
        <f ca="1">INDIRECT("'"&amp;INDEX(worksheet_names,_xlfn.SHEET()-1)&amp;"'!G2")</f>
        <v>22</v>
      </c>
      <c r="G2" s="124"/>
      <c r="H2" s="122" t="s">
        <v>679</v>
      </c>
      <c r="I2" s="123">
        <f ca="1">INDIRECT("'"&amp;INDEX(worksheet_names,_xlfn.SHEET()-1)&amp;"'!J2")</f>
        <v>22</v>
      </c>
      <c r="J2" s="124"/>
      <c r="K2" s="122" t="s">
        <v>680</v>
      </c>
      <c r="L2" s="123">
        <f ca="1">INDIRECT("'"&amp;INDEX(worksheet_names,_xlfn.SHEET()-1)&amp;"'!M2")</f>
        <v>-9</v>
      </c>
      <c r="M2" s="124"/>
      <c r="N2" s="122" t="s">
        <v>681</v>
      </c>
      <c r="O2" s="123">
        <f ca="1">INDIRECT("'"&amp;INDEX(worksheet_names,_xlfn.SHEET()-1)&amp;"'!P2")</f>
        <v>-9</v>
      </c>
      <c r="P2" s="124"/>
      <c r="Q2" s="122" t="s">
        <v>682</v>
      </c>
      <c r="R2" s="123">
        <f ca="1">INDIRECT("'"&amp;INDEX(worksheet_names,_xlfn.SHEET()-1)&amp;"'!S2")</f>
        <v>-9</v>
      </c>
      <c r="S2" s="124"/>
      <c r="T2" s="122" t="s">
        <v>683</v>
      </c>
      <c r="U2" s="123">
        <f ca="1">INDIRECT("'"&amp;INDEX(worksheet_names,_xlfn.SHEET()-1)&amp;"'!V2")</f>
        <v>-9</v>
      </c>
      <c r="V2" s="124"/>
      <c r="W2" s="122" t="s">
        <v>684</v>
      </c>
      <c r="X2" s="123">
        <f ca="1">INDIRECT("'"&amp;INDEX(worksheet_names,_xlfn.SHEET()-1)&amp;"'!Y2")</f>
        <v>22</v>
      </c>
      <c r="Y2" s="124"/>
      <c r="Z2" s="122" t="s">
        <v>685</v>
      </c>
      <c r="AA2" s="123">
        <f ca="1">INDIRECT("'"&amp;INDEX(worksheet_names,_xlfn.SHEET()-1)&amp;"'!AB2")</f>
        <v>-9</v>
      </c>
      <c r="AB2" s="124"/>
      <c r="AC2" s="122" t="s">
        <v>686</v>
      </c>
      <c r="AD2" s="123">
        <f ca="1">INDIRECT("'"&amp;INDEX(worksheet_names,_xlfn.SHEET()-1)&amp;"'!AE2")</f>
        <v>-9</v>
      </c>
      <c r="AE2" s="124"/>
      <c r="AF2" s="122" t="s">
        <v>687</v>
      </c>
      <c r="AG2" s="123">
        <f ca="1">INDIRECT("'"&amp;INDEX(worksheet_names,_xlfn.SHEET()-1)&amp;"'!AH2")</f>
        <v>-6</v>
      </c>
      <c r="AH2" s="124"/>
      <c r="AI2" s="122" t="s">
        <v>688</v>
      </c>
      <c r="AJ2" s="123">
        <f ca="1">INDIRECT("'"&amp;INDEX(worksheet_names,_xlfn.SHEET()-1)&amp;"'!AK2")</f>
        <v>0</v>
      </c>
      <c r="AK2" s="124"/>
      <c r="AL2" s="122" t="s">
        <v>689</v>
      </c>
      <c r="AM2" s="123">
        <f ca="1">INDIRECT("'"&amp;INDEX(worksheet_names,_xlfn.SHEET()-1)&amp;"'!AN2")</f>
        <v>-6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3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4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5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6" t="s">
        <v>743</v>
      </c>
    </row>
    <row r="7" spans="2:101" ht="18" customHeight="1" x14ac:dyDescent="0.2">
      <c r="B7" s="236">
        <v>4</v>
      </c>
      <c r="C7" s="201">
        <f>16 - COUNTBLANK('Week 4'!$B$4:$B$19)</f>
        <v>15</v>
      </c>
      <c r="D7" s="237" t="str">
        <f>IF('Week 4'!$E$4="","",C7)</f>
        <v/>
      </c>
      <c r="E7" s="238" t="str">
        <f>IF('Week 4'!$AR$2=0,IF('Week 4'!F$4="","",'Week 4'!G$21),"")</f>
        <v/>
      </c>
      <c r="F7" s="239" t="str">
        <f>IF('Week 4'!$AR$2=0,IF('Week 4'!F$4="",0,'Week 4'!H$25),"")</f>
        <v/>
      </c>
      <c r="G7" s="240" t="str">
        <f>IF('Week 4'!$AR$2=0,IF('Week 4'!F$4="",0,'Week 4'!H$21),"")</f>
        <v/>
      </c>
      <c r="H7" s="241" t="str">
        <f>IF('Week 4'!$AR$2=0,IF('Week 4'!I$4="","",'Week 4'!J$21),"")</f>
        <v/>
      </c>
      <c r="I7" s="239" t="str">
        <f>IF('Week 4'!$AR$2=0,IF('Week 4'!I$4="",0,'Week 4'!K$25),"")</f>
        <v/>
      </c>
      <c r="J7" s="240" t="str">
        <f>IF('Week 4'!$AR$2=0,IF('Week 4'!I$4="",0,'Week 4'!K$21),"")</f>
        <v/>
      </c>
      <c r="K7" s="241" t="str">
        <f>IF('Week 4'!$AR$2=0,IF('Week 4'!L$4="","",'Week 4'!M$21),"")</f>
        <v/>
      </c>
      <c r="L7" s="239" t="str">
        <f>IF('Week 4'!$AR$2=0,IF('Week 4'!L$4="",0,'Week 4'!N$25),"")</f>
        <v/>
      </c>
      <c r="M7" s="240" t="str">
        <f>IF('Week 4'!$AR$2=0,IF('Week 4'!L$4="",0,'Week 4'!N$21),"")</f>
        <v/>
      </c>
      <c r="N7" s="241" t="str">
        <f>IF('Week 4'!$AR$2=0,IF('Week 4'!O$4="","",'Week 4'!P$21),"")</f>
        <v/>
      </c>
      <c r="O7" s="239" t="str">
        <f>IF('Week 4'!$AR$2=0,IF('Week 4'!O$4="",0,'Week 4'!Q$25),"")</f>
        <v/>
      </c>
      <c r="P7" s="240" t="str">
        <f>IF('Week 4'!$AR$2=0,IF('Week 4'!O$4="",0,'Week 4'!Q$21),"")</f>
        <v/>
      </c>
      <c r="Q7" s="241" t="str">
        <f>IF('Week 4'!$AR$2=0,IF('Week 4'!R$4="","",'Week 4'!S$21),"")</f>
        <v/>
      </c>
      <c r="R7" s="239" t="str">
        <f>IF('Week 4'!$AR$2=0,IF('Week 4'!R$4="",0,'Week 4'!T$25),"")</f>
        <v/>
      </c>
      <c r="S7" s="240" t="str">
        <f>IF('Week 4'!$AR$2=0,IF('Week 4'!R$4="",0,'Week 4'!T$21),"")</f>
        <v/>
      </c>
      <c r="T7" s="241" t="str">
        <f>IF('Week 4'!$AR$2=0,IF('Week 4'!U$4="","",'Week 4'!V$21),"")</f>
        <v/>
      </c>
      <c r="U7" s="239" t="str">
        <f>IF('Week 4'!$AR$2=0,IF('Week 4'!U$4="",0,'Week 4'!W$25),"")</f>
        <v/>
      </c>
      <c r="V7" s="240" t="str">
        <f>IF('Week 4'!$AR$2=0,IF('Week 4'!U$4="",0,'Week 4'!W$21),"")</f>
        <v/>
      </c>
      <c r="W7" s="241" t="str">
        <f>IF('Week 4'!$AR$2=0,IF('Week 4'!X$4="","",'Week 4'!Y$21),"")</f>
        <v/>
      </c>
      <c r="X7" s="239" t="str">
        <f>IF('Week 4'!$AR$2=0,IF('Week 4'!X$4="",0,'Week 4'!Z$25),"")</f>
        <v/>
      </c>
      <c r="Y7" s="240" t="str">
        <f>IF('Week 4'!$AR$2=0,IF('Week 4'!X$4="",0,'Week 4'!Z$21),"")</f>
        <v/>
      </c>
      <c r="Z7" s="241" t="str">
        <f>IF('Week 4'!$AR$2=0,IF('Week 4'!AA$4="","",'Week 4'!AB$21),"")</f>
        <v/>
      </c>
      <c r="AA7" s="239" t="str">
        <f>IF('Week 4'!$AR$2=0,IF('Week 4'!AA$4="",0,'Week 4'!AC$25),"")</f>
        <v/>
      </c>
      <c r="AB7" s="240" t="str">
        <f>IF('Week 4'!$AR$2=0,IF('Week 4'!AA$4="",0,'Week 4'!AC$21),"")</f>
        <v/>
      </c>
      <c r="AC7" s="241" t="str">
        <f>IF('Week 4'!$AR$2=0,IF('Week 4'!AD$4="","",'Week 4'!AE$21),"")</f>
        <v/>
      </c>
      <c r="AD7" s="239" t="str">
        <f>IF('Week 4'!$AR$2=0,IF('Week 4'!AD$4="",0,'Week 4'!AF$25),"")</f>
        <v/>
      </c>
      <c r="AE7" s="240" t="str">
        <f>IF('Week 4'!$AR$2=0,IF('Week 4'!AD$4="",0,'Week 4'!AF$21),"")</f>
        <v/>
      </c>
      <c r="AF7" s="241" t="str">
        <f>IF('Week 4'!$AR$2=0,IF('Week 4'!AG$4="","",'Week 4'!AH$21),"")</f>
        <v/>
      </c>
      <c r="AG7" s="239" t="str">
        <f>IF('Week 4'!$AR$2=0,IF('Week 4'!AG$4="",0,'Week 4'!AI$25),"")</f>
        <v/>
      </c>
      <c r="AH7" s="240" t="str">
        <f>IF('Week 4'!$AR$2=0,IF('Week 4'!AG$4="",0,'Week 4'!AI$21),"")</f>
        <v/>
      </c>
      <c r="AI7" s="241" t="str">
        <f>IF('Week 4'!$AR$2=0,IF('Week 4'!AJ$4="","",'Week 4'!AK$21),"")</f>
        <v/>
      </c>
      <c r="AJ7" s="239" t="str">
        <f>IF('Week 4'!$AR$2=0,IF('Week 4'!AJ$4="",0,'Week 4'!AL$25),"")</f>
        <v/>
      </c>
      <c r="AK7" s="240" t="str">
        <f>IF('Week 4'!$AR$2=0,IF('Week 4'!AJ$4="",0,'Week 4'!AL$21),"")</f>
        <v/>
      </c>
      <c r="AL7" s="241" t="str">
        <f>IF('Week 4'!$AR$2=0,IF('Week 4'!AM$4="","",'Week 4'!AN$21),"")</f>
        <v/>
      </c>
      <c r="AM7" s="239" t="str">
        <f>IF('Week 4'!$AR$2=0,IF('Week 4'!AM$4="",0,'Week 4'!AO$25),"")</f>
        <v/>
      </c>
      <c r="AN7" s="242" t="str">
        <f>IF('Week 4'!$AR$2=0,IF('Week 4'!AM$4="",0,'Week 4'!AO$21),"")</f>
        <v/>
      </c>
      <c r="AO7" s="46"/>
      <c r="AP7" s="47"/>
      <c r="AQ7" s="46"/>
      <c r="AR7" s="47"/>
      <c r="AS7" s="4">
        <f t="shared" si="12"/>
        <v>15</v>
      </c>
      <c r="BJ7" s="4"/>
      <c r="BK7" s="4" t="str">
        <f t="shared" si="0"/>
        <v/>
      </c>
      <c r="BL7" s="4"/>
      <c r="BM7" s="4" t="str">
        <f t="shared" si="13"/>
        <v/>
      </c>
      <c r="BN7" s="4" t="str">
        <f t="shared" si="1"/>
        <v/>
      </c>
      <c r="BO7" s="4"/>
      <c r="BP7" s="4" t="str">
        <f t="shared" si="14"/>
        <v/>
      </c>
      <c r="BQ7" s="4" t="str">
        <f t="shared" si="2"/>
        <v/>
      </c>
      <c r="BR7" s="4"/>
      <c r="BS7" s="4" t="str">
        <f t="shared" si="15"/>
        <v/>
      </c>
      <c r="BT7" s="4" t="str">
        <f t="shared" si="3"/>
        <v/>
      </c>
      <c r="BU7" s="4"/>
      <c r="BV7" s="4" t="str">
        <f t="shared" si="16"/>
        <v/>
      </c>
      <c r="BW7" s="4" t="str">
        <f t="shared" si="4"/>
        <v/>
      </c>
      <c r="BX7" s="4"/>
      <c r="BY7" s="4" t="str">
        <f t="shared" si="17"/>
        <v/>
      </c>
      <c r="BZ7" s="4" t="str">
        <f t="shared" si="5"/>
        <v/>
      </c>
      <c r="CA7" s="4"/>
      <c r="CB7" s="4" t="str">
        <f t="shared" si="18"/>
        <v/>
      </c>
      <c r="CC7" s="4" t="str">
        <f t="shared" si="6"/>
        <v/>
      </c>
      <c r="CD7" s="4"/>
      <c r="CE7" s="4" t="str">
        <f t="shared" si="19"/>
        <v/>
      </c>
      <c r="CF7" s="4" t="str">
        <f t="shared" si="7"/>
        <v/>
      </c>
      <c r="CG7" s="4"/>
      <c r="CH7" s="4" t="str">
        <f t="shared" si="20"/>
        <v/>
      </c>
      <c r="CI7" s="4" t="str">
        <f t="shared" si="8"/>
        <v/>
      </c>
      <c r="CJ7" s="4"/>
      <c r="CK7" s="4" t="str">
        <f t="shared" si="21"/>
        <v/>
      </c>
      <c r="CL7" s="4" t="str">
        <f t="shared" si="9"/>
        <v/>
      </c>
      <c r="CM7" s="4"/>
      <c r="CN7" s="4" t="str">
        <f t="shared" si="22"/>
        <v/>
      </c>
      <c r="CO7" s="4" t="str">
        <f t="shared" si="10"/>
        <v/>
      </c>
      <c r="CP7" s="4"/>
      <c r="CQ7" s="4" t="str">
        <f t="shared" si="23"/>
        <v/>
      </c>
      <c r="CR7" s="4" t="str">
        <f t="shared" si="11"/>
        <v/>
      </c>
      <c r="CS7" s="4"/>
      <c r="CT7" s="4" t="str">
        <f t="shared" si="24"/>
        <v/>
      </c>
      <c r="CU7" s="4"/>
      <c r="CV7" s="327"/>
    </row>
    <row r="8" spans="2:101" ht="18" customHeight="1" x14ac:dyDescent="0.2">
      <c r="B8" s="236">
        <v>5</v>
      </c>
      <c r="C8" s="201">
        <f>16 - COUNTBLANK('Week 5'!$B$4:$B$19)</f>
        <v>15</v>
      </c>
      <c r="D8" s="237" t="str">
        <f>IF('Week 5'!$E$4="","",C8)</f>
        <v/>
      </c>
      <c r="E8" s="238" t="str">
        <f>IF('Week 5'!$AR$2=0,IF('Week 5'!F$4="","",'Week 5'!G$21),"")</f>
        <v/>
      </c>
      <c r="F8" s="239" t="str">
        <f>IF('Week 5'!$AR$2=0,IF('Week 5'!F$4="",0,'Week 5'!H$25),"")</f>
        <v/>
      </c>
      <c r="G8" s="240" t="str">
        <f>IF('Week 5'!$AR$2=0,IF('Week 5'!F$4="",0,'Week 5'!H$21),"")</f>
        <v/>
      </c>
      <c r="H8" s="241" t="str">
        <f>IF('Week 5'!$AR$2=0,IF('Week 5'!I$4="","",'Week 5'!J$21),"")</f>
        <v/>
      </c>
      <c r="I8" s="239" t="str">
        <f>IF('Week 5'!$AR$2=0,IF('Week 5'!I$4="",0,'Week 5'!K$25),"")</f>
        <v/>
      </c>
      <c r="J8" s="240" t="str">
        <f>IF('Week 5'!$AR$2=0,IF('Week 5'!I$4="",0,'Week 5'!K$21),"")</f>
        <v/>
      </c>
      <c r="K8" s="241" t="str">
        <f>IF('Week 5'!$AR$2=0,IF('Week 5'!L$4="","",'Week 5'!M$21),"")</f>
        <v/>
      </c>
      <c r="L8" s="239" t="str">
        <f>IF('Week 5'!$AR$2=0,IF('Week 5'!L$4="",0,'Week 5'!N$25),"")</f>
        <v/>
      </c>
      <c r="M8" s="240" t="str">
        <f>IF('Week 5'!$AR$2=0,IF('Week 5'!L$4="",0,'Week 5'!N$21),"")</f>
        <v/>
      </c>
      <c r="N8" s="241" t="str">
        <f>IF('Week 5'!$AR$2=0,IF('Week 5'!O$4="","",'Week 5'!P$21),"")</f>
        <v/>
      </c>
      <c r="O8" s="239" t="str">
        <f>IF('Week 5'!$AR$2=0,IF('Week 5'!O$4="",0,'Week 5'!Q$25),"")</f>
        <v/>
      </c>
      <c r="P8" s="240" t="str">
        <f>IF('Week 5'!$AR$2=0,IF('Week 5'!O$4="",0,'Week 5'!Q$21),"")</f>
        <v/>
      </c>
      <c r="Q8" s="241" t="str">
        <f>IF('Week 5'!$AR$2=0,IF('Week 5'!R$4="","",'Week 5'!S$21),"")</f>
        <v/>
      </c>
      <c r="R8" s="239" t="str">
        <f>IF('Week 5'!$AR$2=0,IF('Week 5'!R$4="",0,'Week 5'!T$25),"")</f>
        <v/>
      </c>
      <c r="S8" s="240" t="str">
        <f>IF('Week 5'!$AR$2=0,IF('Week 5'!R$4="",0,'Week 5'!T$21),"")</f>
        <v/>
      </c>
      <c r="T8" s="241" t="str">
        <f>IF('Week 5'!$AR$2=0,IF('Week 5'!U$4="","",'Week 5'!V$21),"")</f>
        <v/>
      </c>
      <c r="U8" s="239" t="str">
        <f>IF('Week 5'!$AR$2=0,IF('Week 5'!U$4="",0,'Week 5'!W$25),"")</f>
        <v/>
      </c>
      <c r="V8" s="240" t="str">
        <f>IF('Week 5'!$AR$2=0,IF('Week 5'!U$4="",0,'Week 5'!W$21),"")</f>
        <v/>
      </c>
      <c r="W8" s="241" t="str">
        <f>IF('Week 5'!$AR$2=0,IF('Week 5'!X$4="","",'Week 5'!Y$21),"")</f>
        <v/>
      </c>
      <c r="X8" s="239" t="str">
        <f>IF('Week 5'!$AR$2=0,IF('Week 5'!X$4="",0,'Week 5'!Z$25),"")</f>
        <v/>
      </c>
      <c r="Y8" s="240" t="str">
        <f>IF('Week 5'!$AR$2=0,IF('Week 5'!X$4="",0,'Week 5'!Z$21),"")</f>
        <v/>
      </c>
      <c r="Z8" s="241" t="str">
        <f>IF('Week 5'!$AR$2=0,IF('Week 5'!AA$4="","",'Week 5'!AB$21),"")</f>
        <v/>
      </c>
      <c r="AA8" s="239" t="str">
        <f>IF('Week 5'!$AR$2=0,IF('Week 5'!AA$4="",0,'Week 5'!AC$25),"")</f>
        <v/>
      </c>
      <c r="AB8" s="240" t="str">
        <f>IF('Week 5'!$AR$2=0,IF('Week 5'!AA$4="",0,'Week 5'!AC$21),"")</f>
        <v/>
      </c>
      <c r="AC8" s="241" t="str">
        <f>IF('Week 5'!$AR$2=0,IF('Week 5'!AD$4="","",'Week 5'!AE$21),"")</f>
        <v/>
      </c>
      <c r="AD8" s="239" t="str">
        <f>IF('Week 5'!$AR$2=0,IF('Week 5'!AD$4="",0,'Week 5'!AF$25),"")</f>
        <v/>
      </c>
      <c r="AE8" s="240" t="str">
        <f>IF('Week 5'!$AR$2=0,IF('Week 5'!AD$4="",0,'Week 5'!AF$21),"")</f>
        <v/>
      </c>
      <c r="AF8" s="241" t="str">
        <f>IF('Week 5'!$AR$2=0,IF('Week 5'!AG$4="","",'Week 5'!AH$21),"")</f>
        <v/>
      </c>
      <c r="AG8" s="239" t="str">
        <f>IF('Week 5'!$AR$2=0,IF('Week 5'!AG$4="",0,'Week 5'!AI$25),"")</f>
        <v/>
      </c>
      <c r="AH8" s="240" t="str">
        <f>IF('Week 5'!$AR$2=0,IF('Week 5'!AG$4="",0,'Week 5'!AI$21),"")</f>
        <v/>
      </c>
      <c r="AI8" s="241" t="str">
        <f>IF('Week 5'!$AR$2=0,IF('Week 5'!AJ$4="","",'Week 5'!AK$21),"")</f>
        <v/>
      </c>
      <c r="AJ8" s="239" t="str">
        <f>IF('Week 5'!$AR$2=0,IF('Week 5'!AJ$4="",0,'Week 5'!AL$25),"")</f>
        <v/>
      </c>
      <c r="AK8" s="240" t="str">
        <f>IF('Week 5'!$AR$2=0,IF('Week 5'!AJ$4="",0,'Week 5'!AL$21),"")</f>
        <v/>
      </c>
      <c r="AL8" s="241" t="str">
        <f>IF('Week 5'!$AR$2=0,IF('Week 5'!AM$4="","",'Week 5'!AN$21),"")</f>
        <v/>
      </c>
      <c r="AM8" s="239" t="str">
        <f>IF('Week 5'!$AR$2=0,IF('Week 5'!AM$4="",0,'Week 5'!AO$25),"")</f>
        <v/>
      </c>
      <c r="AN8" s="242" t="str">
        <f>IF('Week 5'!$AR$2=0,IF('Week 5'!AM$4="",0,'Week 5'!AO$21),"")</f>
        <v/>
      </c>
      <c r="AO8" s="224">
        <v>2020</v>
      </c>
      <c r="AP8" s="225" t="s">
        <v>620</v>
      </c>
      <c r="AQ8" s="46"/>
      <c r="AS8" s="4">
        <f t="shared" si="12"/>
        <v>15</v>
      </c>
      <c r="BJ8" s="4"/>
      <c r="BK8" s="4" t="str">
        <f t="shared" si="0"/>
        <v/>
      </c>
      <c r="BL8" s="4"/>
      <c r="BM8" s="4" t="str">
        <f t="shared" si="13"/>
        <v/>
      </c>
      <c r="BN8" s="4" t="str">
        <f t="shared" si="1"/>
        <v/>
      </c>
      <c r="BO8" s="4"/>
      <c r="BP8" s="4" t="str">
        <f t="shared" si="14"/>
        <v/>
      </c>
      <c r="BQ8" s="4" t="str">
        <f t="shared" si="2"/>
        <v/>
      </c>
      <c r="BR8" s="4"/>
      <c r="BS8" s="4" t="str">
        <f t="shared" si="15"/>
        <v/>
      </c>
      <c r="BT8" s="4" t="str">
        <f t="shared" si="3"/>
        <v/>
      </c>
      <c r="BU8" s="4"/>
      <c r="BV8" s="4" t="str">
        <f t="shared" si="16"/>
        <v/>
      </c>
      <c r="BW8" s="4" t="str">
        <f t="shared" si="4"/>
        <v/>
      </c>
      <c r="BX8" s="4"/>
      <c r="BY8" s="4" t="str">
        <f t="shared" si="17"/>
        <v/>
      </c>
      <c r="BZ8" s="4" t="str">
        <f t="shared" si="5"/>
        <v/>
      </c>
      <c r="CA8" s="4"/>
      <c r="CB8" s="4" t="str">
        <f t="shared" si="18"/>
        <v/>
      </c>
      <c r="CC8" s="4" t="str">
        <f t="shared" si="6"/>
        <v/>
      </c>
      <c r="CD8" s="4"/>
      <c r="CE8" s="4" t="str">
        <f t="shared" si="19"/>
        <v/>
      </c>
      <c r="CF8" s="4" t="str">
        <f t="shared" si="7"/>
        <v/>
      </c>
      <c r="CG8" s="4"/>
      <c r="CH8" s="4" t="str">
        <f t="shared" si="20"/>
        <v/>
      </c>
      <c r="CI8" s="4" t="str">
        <f t="shared" si="8"/>
        <v/>
      </c>
      <c r="CJ8" s="4"/>
      <c r="CK8" s="4" t="str">
        <f t="shared" si="21"/>
        <v/>
      </c>
      <c r="CL8" s="4" t="str">
        <f t="shared" si="9"/>
        <v/>
      </c>
      <c r="CM8" s="4"/>
      <c r="CN8" s="4" t="str">
        <f t="shared" si="22"/>
        <v/>
      </c>
      <c r="CO8" s="4" t="str">
        <f t="shared" si="10"/>
        <v/>
      </c>
      <c r="CP8" s="4"/>
      <c r="CQ8" s="4" t="str">
        <f t="shared" si="23"/>
        <v/>
      </c>
      <c r="CR8" s="4" t="str">
        <f t="shared" si="11"/>
        <v/>
      </c>
      <c r="CS8" s="4"/>
      <c r="CT8" s="4" t="str">
        <f t="shared" si="24"/>
        <v/>
      </c>
      <c r="CU8" s="4"/>
      <c r="CV8" s="328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 t="str">
        <f>IF('Week 6'!$E$4="","",C9)</f>
        <v/>
      </c>
      <c r="E9" s="238" t="str">
        <f>IF('Week 6'!$AR$2=0,IF('Week 6'!F$4="","",'Week 6'!G$21),"")</f>
        <v/>
      </c>
      <c r="F9" s="239" t="str">
        <f>IF('Week 6'!$AR$2=0,IF('Week 6'!F$4="",0,'Week 6'!H$25),"")</f>
        <v/>
      </c>
      <c r="G9" s="240" t="str">
        <f>IF('Week 6'!$AR$2=0,IF('Week 6'!F$4="",0,'Week 6'!H$21),"")</f>
        <v/>
      </c>
      <c r="H9" s="241" t="str">
        <f>IF('Week 6'!$AR$2=0,IF('Week 6'!I$4="","",'Week 6'!J$21),"")</f>
        <v/>
      </c>
      <c r="I9" s="239" t="str">
        <f>IF('Week 6'!$AR$2=0,IF('Week 6'!I$4="",0,'Week 6'!K$25),"")</f>
        <v/>
      </c>
      <c r="J9" s="240" t="str">
        <f>IF('Week 6'!$AR$2=0,IF('Week 6'!I$4="",0,'Week 6'!K$21),"")</f>
        <v/>
      </c>
      <c r="K9" s="241" t="str">
        <f>IF('Week 6'!$AR$2=0,IF('Week 6'!L$4="","",'Week 6'!M$21),"")</f>
        <v/>
      </c>
      <c r="L9" s="239" t="str">
        <f>IF('Week 6'!$AR$2=0,IF('Week 6'!L$4="",0,'Week 6'!N$25),"")</f>
        <v/>
      </c>
      <c r="M9" s="240" t="str">
        <f>IF('Week 6'!$AR$2=0,IF('Week 6'!L$4="",0,'Week 6'!N$21),"")</f>
        <v/>
      </c>
      <c r="N9" s="241" t="str">
        <f>IF('Week 6'!$AR$2=0,IF('Week 6'!O$4="","",'Week 6'!P$21),"")</f>
        <v/>
      </c>
      <c r="O9" s="239" t="str">
        <f>IF('Week 6'!$AR$2=0,IF('Week 6'!O$4="",0,'Week 6'!Q$25),"")</f>
        <v/>
      </c>
      <c r="P9" s="240" t="str">
        <f>IF('Week 6'!$AR$2=0,IF('Week 6'!O$4="",0,'Week 6'!Q$21),"")</f>
        <v/>
      </c>
      <c r="Q9" s="241" t="str">
        <f>IF('Week 6'!$AR$2=0,IF('Week 6'!R$4="","",'Week 6'!S$21),"")</f>
        <v/>
      </c>
      <c r="R9" s="239" t="str">
        <f>IF('Week 6'!$AR$2=0,IF('Week 6'!R$4="",0,'Week 6'!T$25),"")</f>
        <v/>
      </c>
      <c r="S9" s="240" t="str">
        <f>IF('Week 6'!$AR$2=0,IF('Week 6'!R$4="",0,'Week 6'!T$21),"")</f>
        <v/>
      </c>
      <c r="T9" s="241" t="str">
        <f>IF('Week 6'!$AR$2=0,IF('Week 6'!U$4="","",'Week 6'!V$21),"")</f>
        <v/>
      </c>
      <c r="U9" s="239" t="str">
        <f>IF('Week 6'!$AR$2=0,IF('Week 6'!U$4="",0,'Week 6'!W$25),"")</f>
        <v/>
      </c>
      <c r="V9" s="240" t="str">
        <f>IF('Week 6'!$AR$2=0,IF('Week 6'!U$4="",0,'Week 6'!W$21),"")</f>
        <v/>
      </c>
      <c r="W9" s="241" t="str">
        <f>IF('Week 6'!$AR$2=0,IF('Week 6'!X$4="","",'Week 6'!Y$21),"")</f>
        <v/>
      </c>
      <c r="X9" s="239" t="str">
        <f>IF('Week 6'!$AR$2=0,IF('Week 6'!X$4="",0,'Week 6'!Z$25),"")</f>
        <v/>
      </c>
      <c r="Y9" s="240" t="str">
        <f>IF('Week 6'!$AR$2=0,IF('Week 6'!X$4="",0,'Week 6'!Z$21),"")</f>
        <v/>
      </c>
      <c r="Z9" s="241" t="str">
        <f>IF('Week 6'!$AR$2=0,IF('Week 6'!AA$4="","",'Week 6'!AB$21),"")</f>
        <v/>
      </c>
      <c r="AA9" s="239" t="str">
        <f>IF('Week 6'!$AR$2=0,IF('Week 6'!AA$4="",0,'Week 6'!AC$25),"")</f>
        <v/>
      </c>
      <c r="AB9" s="240" t="str">
        <f>IF('Week 6'!$AR$2=0,IF('Week 6'!AA$4="",0,'Week 6'!AC$21),"")</f>
        <v/>
      </c>
      <c r="AC9" s="241" t="str">
        <f>IF('Week 6'!$AR$2=0,IF('Week 6'!AD$4="","",'Week 6'!AE$21),"")</f>
        <v/>
      </c>
      <c r="AD9" s="239" t="str">
        <f>IF('Week 6'!$AR$2=0,IF('Week 6'!AD$4="",0,'Week 6'!AF$25),"")</f>
        <v/>
      </c>
      <c r="AE9" s="240" t="str">
        <f>IF('Week 6'!$AR$2=0,IF('Week 6'!AD$4="",0,'Week 6'!AF$21),"")</f>
        <v/>
      </c>
      <c r="AF9" s="241" t="str">
        <f>IF('Week 6'!$AR$2=0,IF('Week 6'!AG$4="","",'Week 6'!AH$21),"")</f>
        <v/>
      </c>
      <c r="AG9" s="239" t="str">
        <f>IF('Week 6'!$AR$2=0,IF('Week 6'!AG$4="",0,'Week 6'!AI$25),"")</f>
        <v/>
      </c>
      <c r="AH9" s="240" t="str">
        <f>IF('Week 6'!$AR$2=0,IF('Week 6'!AG$4="",0,'Week 6'!AI$21),"")</f>
        <v/>
      </c>
      <c r="AI9" s="241" t="str">
        <f>IF('Week 6'!$AR$2=0,IF('Week 6'!AJ$4="","",'Week 6'!AK$21),"")</f>
        <v/>
      </c>
      <c r="AJ9" s="239" t="str">
        <f>IF('Week 6'!$AR$2=0,IF('Week 6'!AJ$4="",0,'Week 6'!AL$25),"")</f>
        <v/>
      </c>
      <c r="AK9" s="240" t="str">
        <f>IF('Week 6'!$AR$2=0,IF('Week 6'!AJ$4="",0,'Week 6'!AL$21),"")</f>
        <v/>
      </c>
      <c r="AL9" s="241" t="str">
        <f>IF('Week 6'!$AR$2=0,IF('Week 6'!AM$4="","",'Week 6'!AN$21),"")</f>
        <v/>
      </c>
      <c r="AM9" s="239" t="str">
        <f>IF('Week 6'!$AR$2=0,IF('Week 6'!AM$4="",0,'Week 6'!AO$25),"")</f>
        <v/>
      </c>
      <c r="AN9" s="242" t="str">
        <f>IF('Week 6'!$AR$2=0,IF('Week 6'!AM$4="",0,'Week 6'!AO$21),"")</f>
        <v/>
      </c>
      <c r="AO9" s="46"/>
      <c r="AQ9" s="46"/>
      <c r="AR9" s="48" t="str">
        <f>CONCATENATE("'Week ",$AQ$2,"'!$B$2")</f>
        <v>'Week 3'!$B$2</v>
      </c>
      <c r="AS9" s="4">
        <f t="shared" si="12"/>
        <v>14</v>
      </c>
      <c r="BJ9" s="4"/>
      <c r="BK9" s="4" t="str">
        <f t="shared" si="0"/>
        <v/>
      </c>
      <c r="BL9" s="4"/>
      <c r="BM9" s="4" t="str">
        <f t="shared" si="13"/>
        <v/>
      </c>
      <c r="BN9" s="4" t="str">
        <f t="shared" si="1"/>
        <v/>
      </c>
      <c r="BO9" s="4"/>
      <c r="BP9" s="4" t="str">
        <f t="shared" si="14"/>
        <v/>
      </c>
      <c r="BQ9" s="4" t="str">
        <f t="shared" si="2"/>
        <v/>
      </c>
      <c r="BR9" s="4"/>
      <c r="BS9" s="4" t="str">
        <f t="shared" si="15"/>
        <v/>
      </c>
      <c r="BT9" s="4" t="str">
        <f t="shared" si="3"/>
        <v/>
      </c>
      <c r="BU9" s="4"/>
      <c r="BV9" s="4" t="str">
        <f t="shared" si="16"/>
        <v/>
      </c>
      <c r="BW9" s="4" t="str">
        <f t="shared" si="4"/>
        <v/>
      </c>
      <c r="BX9" s="4"/>
      <c r="BY9" s="4" t="str">
        <f t="shared" si="17"/>
        <v/>
      </c>
      <c r="BZ9" s="4" t="str">
        <f t="shared" si="5"/>
        <v/>
      </c>
      <c r="CA9" s="4"/>
      <c r="CB9" s="4" t="str">
        <f t="shared" si="18"/>
        <v/>
      </c>
      <c r="CC9" s="4" t="str">
        <f t="shared" si="6"/>
        <v/>
      </c>
      <c r="CD9" s="4"/>
      <c r="CE9" s="4" t="str">
        <f t="shared" si="19"/>
        <v/>
      </c>
      <c r="CF9" s="4" t="str">
        <f t="shared" si="7"/>
        <v/>
      </c>
      <c r="CG9" s="4"/>
      <c r="CH9" s="4" t="str">
        <f t="shared" si="20"/>
        <v/>
      </c>
      <c r="CI9" s="4" t="str">
        <f t="shared" si="8"/>
        <v/>
      </c>
      <c r="CJ9" s="4"/>
      <c r="CK9" s="4" t="str">
        <f t="shared" si="21"/>
        <v/>
      </c>
      <c r="CL9" s="4" t="str">
        <f t="shared" si="9"/>
        <v/>
      </c>
      <c r="CM9" s="4"/>
      <c r="CN9" s="4" t="str">
        <f t="shared" si="22"/>
        <v/>
      </c>
      <c r="CO9" s="4" t="str">
        <f t="shared" si="10"/>
        <v/>
      </c>
      <c r="CP9" s="4"/>
      <c r="CQ9" s="4" t="str">
        <f t="shared" si="23"/>
        <v/>
      </c>
      <c r="CR9" s="4" t="str">
        <f t="shared" si="11"/>
        <v/>
      </c>
      <c r="CS9" s="4"/>
      <c r="CT9" s="4" t="str">
        <f t="shared" si="24"/>
        <v/>
      </c>
      <c r="CU9" s="4"/>
      <c r="CV9" s="328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 t="str">
        <f>IF('Week 7'!$E$4="","",C10)</f>
        <v/>
      </c>
      <c r="E10" s="238" t="str">
        <f>IF('Week 7'!$AR$2=0,IF('Week 7'!F$4="","",'Week 7'!G$21),"")</f>
        <v/>
      </c>
      <c r="F10" s="239" t="str">
        <f>IF('Week 7'!$AR$2=0,IF('Week 7'!F$4="",0,'Week 7'!H$25),"")</f>
        <v/>
      </c>
      <c r="G10" s="240" t="str">
        <f>IF('Week 7'!$AR$2=0,IF('Week 7'!F$4="",0,'Week 7'!H$21),"")</f>
        <v/>
      </c>
      <c r="H10" s="241" t="str">
        <f>IF('Week 7'!$AR$2=0,IF('Week 7'!I$4="","",'Week 7'!J$21),"")</f>
        <v/>
      </c>
      <c r="I10" s="239" t="str">
        <f>IF('Week 7'!$AR$2=0,IF('Week 7'!I$4="",0,'Week 7'!K$25),"")</f>
        <v/>
      </c>
      <c r="J10" s="240" t="str">
        <f>IF('Week 7'!$AR$2=0,IF('Week 7'!I$4="",0,'Week 7'!K$21),"")</f>
        <v/>
      </c>
      <c r="K10" s="241" t="str">
        <f>IF('Week 7'!$AR$2=0,IF('Week 7'!L$4="","",'Week 7'!M$21),"")</f>
        <v/>
      </c>
      <c r="L10" s="239" t="str">
        <f>IF('Week 7'!$AR$2=0,IF('Week 7'!L$4="",0,'Week 7'!N$25),"")</f>
        <v/>
      </c>
      <c r="M10" s="240" t="str">
        <f>IF('Week 7'!$AR$2=0,IF('Week 7'!L$4="",0,'Week 7'!N$21),"")</f>
        <v/>
      </c>
      <c r="N10" s="241" t="str">
        <f>IF('Week 7'!$AR$2=0,IF('Week 7'!O$4="","",'Week 7'!P$21),"")</f>
        <v/>
      </c>
      <c r="O10" s="239" t="str">
        <f>IF('Week 7'!$AR$2=0,IF('Week 7'!O$4="",0,'Week 7'!Q$25),"")</f>
        <v/>
      </c>
      <c r="P10" s="240" t="str">
        <f>IF('Week 7'!$AR$2=0,IF('Week 7'!O$4="",0,'Week 7'!Q$21),"")</f>
        <v/>
      </c>
      <c r="Q10" s="241" t="str">
        <f>IF('Week 7'!$AR$2=0,IF('Week 7'!R$4="","",'Week 7'!S$21),"")</f>
        <v/>
      </c>
      <c r="R10" s="239" t="str">
        <f>IF('Week 7'!$AR$2=0,IF('Week 7'!R$4="",0,'Week 7'!T$25),"")</f>
        <v/>
      </c>
      <c r="S10" s="240" t="str">
        <f>IF('Week 7'!$AR$2=0,IF('Week 7'!R$4="",0,'Week 7'!T$21),"")</f>
        <v/>
      </c>
      <c r="T10" s="241" t="str">
        <f>IF('Week 7'!$AR$2=0,IF('Week 7'!U$4="","",'Week 7'!V$21),"")</f>
        <v/>
      </c>
      <c r="U10" s="239" t="str">
        <f>IF('Week 7'!$AR$2=0,IF('Week 7'!U$4="",0,'Week 7'!W$25),"")</f>
        <v/>
      </c>
      <c r="V10" s="240" t="str">
        <f>IF('Week 7'!$AR$2=0,IF('Week 7'!U$4="",0,'Week 7'!W$21),"")</f>
        <v/>
      </c>
      <c r="W10" s="241" t="str">
        <f>IF('Week 7'!$AR$2=0,IF('Week 7'!X$4="","",'Week 7'!Y$21),"")</f>
        <v/>
      </c>
      <c r="X10" s="239" t="str">
        <f>IF('Week 7'!$AR$2=0,IF('Week 7'!X$4="",0,'Week 7'!Z$25),"")</f>
        <v/>
      </c>
      <c r="Y10" s="240" t="str">
        <f>IF('Week 7'!$AR$2=0,IF('Week 7'!X$4="",0,'Week 7'!Z$21),"")</f>
        <v/>
      </c>
      <c r="Z10" s="241" t="str">
        <f>IF('Week 7'!$AR$2=0,IF('Week 7'!AA$4="","",'Week 7'!AB$21),"")</f>
        <v/>
      </c>
      <c r="AA10" s="239" t="str">
        <f>IF('Week 7'!$AR$2=0,IF('Week 7'!AA$4="",0,'Week 7'!AC$25),"")</f>
        <v/>
      </c>
      <c r="AB10" s="240" t="str">
        <f>IF('Week 7'!$AR$2=0,IF('Week 7'!AA$4="",0,'Week 7'!AC$21),"")</f>
        <v/>
      </c>
      <c r="AC10" s="241" t="str">
        <f>IF('Week 7'!$AR$2=0,IF('Week 7'!AD$4="","",'Week 7'!AE$21),"")</f>
        <v/>
      </c>
      <c r="AD10" s="239" t="str">
        <f>IF('Week 7'!$AR$2=0,IF('Week 7'!AD$4="",0,'Week 7'!AF$25),"")</f>
        <v/>
      </c>
      <c r="AE10" s="240" t="str">
        <f>IF('Week 7'!$AR$2=0,IF('Week 7'!AD$4="",0,'Week 7'!AF$21),"")</f>
        <v/>
      </c>
      <c r="AF10" s="241" t="str">
        <f>IF('Week 7'!$AR$2=0,IF('Week 7'!AG$4="","",'Week 7'!AH$21),"")</f>
        <v/>
      </c>
      <c r="AG10" s="239" t="str">
        <f>IF('Week 7'!$AR$2=0,IF('Week 7'!AG$4="",0,'Week 7'!AI$25),"")</f>
        <v/>
      </c>
      <c r="AH10" s="240" t="str">
        <f>IF('Week 7'!$AR$2=0,IF('Week 7'!AG$4="",0,'Week 7'!AI$21),"")</f>
        <v/>
      </c>
      <c r="AI10" s="241" t="str">
        <f>IF('Week 7'!$AR$2=0,IF('Week 7'!AJ$4="","",'Week 7'!AK$21),"")</f>
        <v/>
      </c>
      <c r="AJ10" s="239" t="str">
        <f>IF('Week 7'!$AR$2=0,IF('Week 7'!AJ$4="",0,'Week 7'!AL$25),"")</f>
        <v/>
      </c>
      <c r="AK10" s="240" t="str">
        <f>IF('Week 7'!$AR$2=0,IF('Week 7'!AJ$4="",0,'Week 7'!AL$21),"")</f>
        <v/>
      </c>
      <c r="AL10" s="241" t="str">
        <f>IF('Week 7'!$AR$2=0,IF('Week 7'!AM$4="","",'Week 7'!AN$21),"")</f>
        <v/>
      </c>
      <c r="AM10" s="239" t="str">
        <f>IF('Week 7'!$AR$2=0,IF('Week 7'!AM$4="",0,'Week 7'!AO$25),"")</f>
        <v/>
      </c>
      <c r="AN10" s="242" t="str">
        <f>IF('Week 7'!$AR$2=0,IF('Week 7'!AM$4="",0,'Week 7'!AO$21),"")</f>
        <v/>
      </c>
      <c r="AO10" s="46"/>
      <c r="AQ10" s="46"/>
      <c r="AR10" s="48" t="str">
        <f>CONCATENATE("'Week ",$AQ$2,"'!$C$2")</f>
        <v>'Week 3'!$C$2</v>
      </c>
      <c r="AS10" s="4">
        <f t="shared" si="12"/>
        <v>14</v>
      </c>
      <c r="BJ10" s="4"/>
      <c r="BK10" s="4" t="str">
        <f t="shared" si="0"/>
        <v/>
      </c>
      <c r="BL10" s="4"/>
      <c r="BM10" s="4" t="str">
        <f t="shared" si="13"/>
        <v/>
      </c>
      <c r="BN10" s="4" t="str">
        <f t="shared" si="1"/>
        <v/>
      </c>
      <c r="BO10" s="4"/>
      <c r="BP10" s="4" t="str">
        <f t="shared" si="14"/>
        <v/>
      </c>
      <c r="BQ10" s="4" t="str">
        <f t="shared" si="2"/>
        <v/>
      </c>
      <c r="BR10" s="4"/>
      <c r="BS10" s="4" t="str">
        <f t="shared" si="15"/>
        <v/>
      </c>
      <c r="BT10" s="4" t="str">
        <f t="shared" si="3"/>
        <v/>
      </c>
      <c r="BU10" s="4"/>
      <c r="BV10" s="4" t="str">
        <f t="shared" si="16"/>
        <v/>
      </c>
      <c r="BW10" s="4" t="str">
        <f t="shared" si="4"/>
        <v/>
      </c>
      <c r="BX10" s="4"/>
      <c r="BY10" s="4" t="str">
        <f t="shared" si="17"/>
        <v/>
      </c>
      <c r="BZ10" s="4" t="str">
        <f t="shared" si="5"/>
        <v/>
      </c>
      <c r="CA10" s="4"/>
      <c r="CB10" s="4" t="str">
        <f t="shared" si="18"/>
        <v/>
      </c>
      <c r="CC10" s="4" t="str">
        <f t="shared" si="6"/>
        <v/>
      </c>
      <c r="CD10" s="4"/>
      <c r="CE10" s="4" t="str">
        <f t="shared" si="19"/>
        <v/>
      </c>
      <c r="CF10" s="4" t="str">
        <f t="shared" si="7"/>
        <v/>
      </c>
      <c r="CG10" s="4"/>
      <c r="CH10" s="4" t="str">
        <f t="shared" si="20"/>
        <v/>
      </c>
      <c r="CI10" s="4" t="str">
        <f t="shared" si="8"/>
        <v/>
      </c>
      <c r="CJ10" s="4"/>
      <c r="CK10" s="4" t="str">
        <f t="shared" si="21"/>
        <v/>
      </c>
      <c r="CL10" s="4" t="str">
        <f t="shared" si="9"/>
        <v/>
      </c>
      <c r="CM10" s="4"/>
      <c r="CN10" s="4" t="str">
        <f t="shared" si="22"/>
        <v/>
      </c>
      <c r="CO10" s="4" t="str">
        <f t="shared" si="10"/>
        <v/>
      </c>
      <c r="CP10" s="4"/>
      <c r="CQ10" s="4" t="str">
        <f t="shared" si="23"/>
        <v/>
      </c>
      <c r="CR10" s="4" t="str">
        <f t="shared" si="11"/>
        <v/>
      </c>
      <c r="CS10" s="4"/>
      <c r="CT10" s="4" t="str">
        <f t="shared" si="24"/>
        <v/>
      </c>
      <c r="CU10" s="4"/>
      <c r="CV10" s="328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13</v>
      </c>
      <c r="D11" s="237" t="str">
        <f>IF('Week 8'!$E$4="","",C11)</f>
        <v/>
      </c>
      <c r="E11" s="238" t="str">
        <f>IF('Week 8'!$AR$2=0,IF('Week 8'!F$4="","",'Week 8'!G$21),"")</f>
        <v/>
      </c>
      <c r="F11" s="239" t="str">
        <f>IF('Week 8'!$AR$2=0,IF('Week 8'!F$4="",0,'Week 8'!H$25),"")</f>
        <v/>
      </c>
      <c r="G11" s="240" t="str">
        <f>IF('Week 8'!$AR$2=0,IF('Week 8'!F$4="",0,'Week 8'!H$21),"")</f>
        <v/>
      </c>
      <c r="H11" s="241" t="str">
        <f>IF('Week 8'!$AR$2=0,IF('Week 8'!I$4="","",'Week 8'!J$21),"")</f>
        <v/>
      </c>
      <c r="I11" s="239" t="str">
        <f>IF('Week 8'!$AR$2=0,IF('Week 8'!I$4="",0,'Week 8'!K$25),"")</f>
        <v/>
      </c>
      <c r="J11" s="240" t="str">
        <f>IF('Week 8'!$AR$2=0,IF('Week 8'!I$4="",0,'Week 8'!K$21),"")</f>
        <v/>
      </c>
      <c r="K11" s="241" t="str">
        <f>IF('Week 8'!$AR$2=0,IF('Week 8'!L$4="","",'Week 8'!M$21),"")</f>
        <v/>
      </c>
      <c r="L11" s="239" t="str">
        <f>IF('Week 8'!$AR$2=0,IF('Week 8'!L$4="",0,'Week 8'!N$25),"")</f>
        <v/>
      </c>
      <c r="M11" s="240" t="str">
        <f>IF('Week 8'!$AR$2=0,IF('Week 8'!L$4="",0,'Week 8'!N$21),"")</f>
        <v/>
      </c>
      <c r="N11" s="241" t="str">
        <f>IF('Week 8'!$AR$2=0,IF('Week 8'!O$4="","",'Week 8'!P$21),"")</f>
        <v/>
      </c>
      <c r="O11" s="239" t="str">
        <f>IF('Week 8'!$AR$2=0,IF('Week 8'!O$4="",0,'Week 8'!Q$25),"")</f>
        <v/>
      </c>
      <c r="P11" s="240" t="str">
        <f>IF('Week 8'!$AR$2=0,IF('Week 8'!O$4="",0,'Week 8'!Q$21),"")</f>
        <v/>
      </c>
      <c r="Q11" s="241" t="str">
        <f>IF('Week 8'!$AR$2=0,IF('Week 8'!R$4="","",'Week 8'!S$21),"")</f>
        <v/>
      </c>
      <c r="R11" s="239" t="str">
        <f>IF('Week 8'!$AR$2=0,IF('Week 8'!R$4="",0,'Week 8'!T$25),"")</f>
        <v/>
      </c>
      <c r="S11" s="240" t="str">
        <f>IF('Week 8'!$AR$2=0,IF('Week 8'!R$4="",0,'Week 8'!T$21),"")</f>
        <v/>
      </c>
      <c r="T11" s="241" t="str">
        <f>IF('Week 8'!$AR$2=0,IF('Week 8'!U$4="","",'Week 8'!V$21),"")</f>
        <v/>
      </c>
      <c r="U11" s="239" t="str">
        <f>IF('Week 8'!$AR$2=0,IF('Week 8'!U$4="",0,'Week 8'!W$25),"")</f>
        <v/>
      </c>
      <c r="V11" s="240" t="str">
        <f>IF('Week 8'!$AR$2=0,IF('Week 8'!U$4="",0,'Week 8'!W$21),"")</f>
        <v/>
      </c>
      <c r="W11" s="241" t="str">
        <f>IF('Week 8'!$AR$2=0,IF('Week 8'!X$4="","",'Week 8'!Y$21),"")</f>
        <v/>
      </c>
      <c r="X11" s="239" t="str">
        <f>IF('Week 8'!$AR$2=0,IF('Week 8'!X$4="",0,'Week 8'!Z$25),"")</f>
        <v/>
      </c>
      <c r="Y11" s="240" t="str">
        <f>IF('Week 8'!$AR$2=0,IF('Week 8'!X$4="",0,'Week 8'!Z$21),"")</f>
        <v/>
      </c>
      <c r="Z11" s="241" t="str">
        <f>IF('Week 8'!$AR$2=0,IF('Week 8'!AA$4="","",'Week 8'!AB$21),"")</f>
        <v/>
      </c>
      <c r="AA11" s="239" t="str">
        <f>IF('Week 8'!$AR$2=0,IF('Week 8'!AA$4="",0,'Week 8'!AC$25),"")</f>
        <v/>
      </c>
      <c r="AB11" s="240" t="str">
        <f>IF('Week 8'!$AR$2=0,IF('Week 8'!AA$4="",0,'Week 8'!AC$21),"")</f>
        <v/>
      </c>
      <c r="AC11" s="241" t="str">
        <f>IF('Week 8'!$AR$2=0,IF('Week 8'!AD$4="","",'Week 8'!AE$21),"")</f>
        <v/>
      </c>
      <c r="AD11" s="239" t="str">
        <f>IF('Week 8'!$AR$2=0,IF('Week 8'!AD$4="",0,'Week 8'!AF$25),"")</f>
        <v/>
      </c>
      <c r="AE11" s="240" t="str">
        <f>IF('Week 8'!$AR$2=0,IF('Week 8'!AD$4="",0,'Week 8'!AF$21),"")</f>
        <v/>
      </c>
      <c r="AF11" s="241" t="str">
        <f>IF('Week 8'!$AR$2=0,IF('Week 8'!AG$4="","",'Week 8'!AH$21),"")</f>
        <v/>
      </c>
      <c r="AG11" s="239" t="str">
        <f>IF('Week 8'!$AR$2=0,IF('Week 8'!AG$4="",0,'Week 8'!AI$25),"")</f>
        <v/>
      </c>
      <c r="AH11" s="240" t="str">
        <f>IF('Week 8'!$AR$2=0,IF('Week 8'!AG$4="",0,'Week 8'!AI$21),"")</f>
        <v/>
      </c>
      <c r="AI11" s="241" t="str">
        <f>IF('Week 8'!$AR$2=0,IF('Week 8'!AJ$4="","",'Week 8'!AK$21),"")</f>
        <v/>
      </c>
      <c r="AJ11" s="239" t="str">
        <f>IF('Week 8'!$AR$2=0,IF('Week 8'!AJ$4="",0,'Week 8'!AL$25),"")</f>
        <v/>
      </c>
      <c r="AK11" s="240" t="str">
        <f>IF('Week 8'!$AR$2=0,IF('Week 8'!AJ$4="",0,'Week 8'!AL$21),"")</f>
        <v/>
      </c>
      <c r="AL11" s="241" t="str">
        <f>IF('Week 8'!$AR$2=0,IF('Week 8'!AM$4="","",'Week 8'!AN$21),"")</f>
        <v/>
      </c>
      <c r="AM11" s="239" t="str">
        <f>IF('Week 8'!$AR$2=0,IF('Week 8'!AM$4="",0,'Week 8'!AO$25),"")</f>
        <v/>
      </c>
      <c r="AN11" s="242" t="str">
        <f>IF('Week 8'!$AR$2=0,IF('Week 8'!AM$4="",0,'Week 8'!AO$21),"")</f>
        <v/>
      </c>
      <c r="AO11" s="46"/>
      <c r="AP11" s="47"/>
      <c r="AQ11" s="46"/>
      <c r="AR11" s="48" t="str">
        <f>CONCATENATE("'Week ",$AQ$2,"'!$D$2")</f>
        <v>'Week 3'!$D$2</v>
      </c>
      <c r="AS11" s="4">
        <f t="shared" si="12"/>
        <v>13</v>
      </c>
      <c r="BJ11" s="4"/>
      <c r="BK11" s="4" t="str">
        <f t="shared" si="0"/>
        <v/>
      </c>
      <c r="BL11" s="4"/>
      <c r="BM11" s="4" t="str">
        <f t="shared" si="13"/>
        <v/>
      </c>
      <c r="BN11" s="4" t="str">
        <f t="shared" si="1"/>
        <v/>
      </c>
      <c r="BO11" s="4"/>
      <c r="BP11" s="4" t="str">
        <f t="shared" si="14"/>
        <v/>
      </c>
      <c r="BQ11" s="4" t="str">
        <f t="shared" si="2"/>
        <v/>
      </c>
      <c r="BR11" s="4"/>
      <c r="BS11" s="4" t="str">
        <f t="shared" si="15"/>
        <v/>
      </c>
      <c r="BT11" s="4" t="str">
        <f t="shared" si="3"/>
        <v/>
      </c>
      <c r="BU11" s="4"/>
      <c r="BV11" s="4" t="str">
        <f t="shared" si="16"/>
        <v/>
      </c>
      <c r="BW11" s="4" t="str">
        <f t="shared" si="4"/>
        <v/>
      </c>
      <c r="BX11" s="4"/>
      <c r="BY11" s="4" t="str">
        <f t="shared" si="17"/>
        <v/>
      </c>
      <c r="BZ11" s="4" t="str">
        <f t="shared" si="5"/>
        <v/>
      </c>
      <c r="CA11" s="4"/>
      <c r="CB11" s="4" t="str">
        <f t="shared" si="18"/>
        <v/>
      </c>
      <c r="CC11" s="4" t="str">
        <f t="shared" si="6"/>
        <v/>
      </c>
      <c r="CD11" s="4"/>
      <c r="CE11" s="4" t="str">
        <f t="shared" si="19"/>
        <v/>
      </c>
      <c r="CF11" s="4" t="str">
        <f t="shared" si="7"/>
        <v/>
      </c>
      <c r="CG11" s="4"/>
      <c r="CH11" s="4" t="str">
        <f t="shared" si="20"/>
        <v/>
      </c>
      <c r="CI11" s="4" t="str">
        <f t="shared" si="8"/>
        <v/>
      </c>
      <c r="CJ11" s="4"/>
      <c r="CK11" s="4" t="str">
        <f t="shared" si="21"/>
        <v/>
      </c>
      <c r="CL11" s="4" t="str">
        <f t="shared" si="9"/>
        <v/>
      </c>
      <c r="CM11" s="4"/>
      <c r="CN11" s="4" t="str">
        <f t="shared" si="22"/>
        <v/>
      </c>
      <c r="CO11" s="4" t="str">
        <f t="shared" si="10"/>
        <v/>
      </c>
      <c r="CP11" s="4"/>
      <c r="CQ11" s="4" t="str">
        <f t="shared" si="23"/>
        <v/>
      </c>
      <c r="CR11" s="4" t="str">
        <f t="shared" si="11"/>
        <v/>
      </c>
      <c r="CS11" s="4"/>
      <c r="CT11" s="4" t="str">
        <f t="shared" si="24"/>
        <v/>
      </c>
      <c r="CU11" s="4"/>
      <c r="CV11" s="328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>Week 3 Final</v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8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8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13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13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8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8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8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8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8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8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8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6"/>
      <c r="C21" s="257" t="s">
        <v>55</v>
      </c>
      <c r="D21" s="258">
        <f>SUM(D4:D20)</f>
        <v>48</v>
      </c>
      <c r="E21" s="259">
        <f ca="1">IF($AQ$2=0,"",RANK(G21,$BM21:$CT21,0))</f>
        <v>6</v>
      </c>
      <c r="F21" s="260">
        <f>IF($AQ$2=0,"",SUM(F4:F20))</f>
        <v>30</v>
      </c>
      <c r="G21" s="261">
        <f ca="1">IF($AQ$2=0,"",IF($AQ$2=1,SUM(G4:G20),SUM(G4:G20)-MIN(G4:G20)))</f>
        <v>211</v>
      </c>
      <c r="H21" s="262">
        <f ca="1">IF($AQ$2=0,"",RANK(J21,$BM21:$CT21,0))</f>
        <v>12</v>
      </c>
      <c r="I21" s="260">
        <f>IF($AQ$2=0,"",SUM(I4:I20))</f>
        <v>17</v>
      </c>
      <c r="J21" s="261">
        <f ca="1">IF($AQ$2=0,"",IF($AQ$2=1,SUM(J4:J20),SUM(J4:J20)-MIN(J4:J20)))</f>
        <v>172</v>
      </c>
      <c r="K21" s="262">
        <f ca="1">IF($AQ$2=0,"",RANK(M21,$BM21:$CT21,0))</f>
        <v>5</v>
      </c>
      <c r="L21" s="260">
        <f>IF($AQ$2=0,"",SUM(L4:L20))</f>
        <v>33</v>
      </c>
      <c r="M21" s="261">
        <f ca="1">IF($AQ$2=0,"",IF($AQ$2=1,SUM(M4:M20),SUM(M4:M20)-MIN(M4:M20)))</f>
        <v>214</v>
      </c>
      <c r="N21" s="262">
        <f ca="1">IF($AQ$2=0,"",RANK(P21,$BM21:$CT21,0))</f>
        <v>7</v>
      </c>
      <c r="O21" s="260">
        <f>IF($AQ$2=0,"",SUM(O4:O20))</f>
        <v>28</v>
      </c>
      <c r="P21" s="261">
        <f ca="1">IF($AQ$2=0,"",IF($AQ$2=1,SUM(P4:P20),SUM(P4:P20)-MIN(P4:P20)))</f>
        <v>207</v>
      </c>
      <c r="Q21" s="262">
        <f ca="1">IF($AQ$2=0,"",RANK(S21,$BM21:$CT21,0))</f>
        <v>10</v>
      </c>
      <c r="R21" s="260">
        <f>IF($AQ$2=0,"",SUM(R4:R20))</f>
        <v>30</v>
      </c>
      <c r="S21" s="261">
        <f ca="1">IF($AQ$2=0,"",IF($AQ$2=1,SUM(S4:S20),SUM(S4:S20)-MIN(S4:S20)))</f>
        <v>196</v>
      </c>
      <c r="T21" s="262">
        <f ca="1">IF($AQ$2=0,"",RANK(V21,$BM21:$CT21,0))</f>
        <v>10</v>
      </c>
      <c r="U21" s="260">
        <f>IF($AQ$2=0,"",SUM(U4:U20))</f>
        <v>30</v>
      </c>
      <c r="V21" s="261">
        <f ca="1">IF($AQ$2=0,"",IF($AQ$2=1,SUM(V4:V20),SUM(V4:V20)-MIN(V4:V20)))</f>
        <v>196</v>
      </c>
      <c r="W21" s="262">
        <f ca="1">IF($AQ$2=0,"",RANK(Y21,$BM21:$CT21,0))</f>
        <v>8</v>
      </c>
      <c r="X21" s="260">
        <f>IF($AQ$2=0,"",SUM(X4:X20))</f>
        <v>34</v>
      </c>
      <c r="Y21" s="261">
        <f ca="1">IF($AQ$2=0,"",IF($AQ$2=1,SUM(Y4:Y20),SUM(Y4:Y20)-MIN(Y4:Y20)))</f>
        <v>206</v>
      </c>
      <c r="Z21" s="262">
        <f ca="1">IF($AQ$2=0,"",RANK(AB21,$BM21:$CT21,0))</f>
        <v>9</v>
      </c>
      <c r="AA21" s="260">
        <f>IF($AQ$2=0,"",SUM(AA4:AA20))</f>
        <v>31</v>
      </c>
      <c r="AB21" s="261">
        <f ca="1">IF($AQ$2=0,"",IF($AQ$2=1,SUM(AB4:AB20),SUM(AB4:AB20)-MIN(AB4:AB20)))</f>
        <v>197</v>
      </c>
      <c r="AC21" s="262">
        <f ca="1">IF($AQ$2=0,"",RANK(AE21,$BM21:$CT21,0))</f>
        <v>4</v>
      </c>
      <c r="AD21" s="260">
        <f>IF($AQ$2=0,"",SUM(AD4:AD20))</f>
        <v>33</v>
      </c>
      <c r="AE21" s="261">
        <f ca="1">IF($AQ$2=0,"",IF($AQ$2=1,SUM(AE4:AE20),SUM(AE4:AE20)-MIN(AE4:AE20)))</f>
        <v>217</v>
      </c>
      <c r="AF21" s="262">
        <f ca="1">IF($AQ$2=0,"",RANK(AH21,$BM21:$CT21,0))</f>
        <v>2</v>
      </c>
      <c r="AG21" s="260">
        <f>IF($AQ$2=0,"",SUM(AG4:AG20))</f>
        <v>36</v>
      </c>
      <c r="AH21" s="261">
        <f ca="1">IF($AQ$2=0,"",IF($AQ$2=1,SUM(AH4:AH20),SUM(AH4:AH20)-MIN(AH4:AH20)))</f>
        <v>221</v>
      </c>
      <c r="AI21" s="262">
        <f ca="1">IF($AQ$2=0,"",RANK(AK21,$BM21:$CT21,0))</f>
        <v>1</v>
      </c>
      <c r="AJ21" s="260">
        <f>IF($AQ$2=0,"",SUM(AJ4:AJ20))</f>
        <v>32</v>
      </c>
      <c r="AK21" s="261">
        <f ca="1">IF($AQ$2=0,"",IF($AQ$2=1,SUM(AK4:AK20),SUM(AK4:AK20)-MIN(AK4:AK20)))</f>
        <v>225</v>
      </c>
      <c r="AL21" s="262">
        <f ca="1">IF($AQ$2=0,"",RANK(AN21,$BM21:$CT21,0))</f>
        <v>2</v>
      </c>
      <c r="AM21" s="260">
        <f>IF($AQ$2=0,"",SUM(AM4:AM20))</f>
        <v>30</v>
      </c>
      <c r="AN21" s="263">
        <f ca="1">IF($AQ$2=0,"",IF($AQ$2=1,SUM(AN4:AN20),SUM(AN4:AN20)-MIN(AN4:AN20)))</f>
        <v>221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211</v>
      </c>
      <c r="BN21" s="4"/>
      <c r="BO21" s="4"/>
      <c r="BP21" s="4">
        <f ca="1">J21</f>
        <v>172</v>
      </c>
      <c r="BQ21" s="4"/>
      <c r="BR21" s="4"/>
      <c r="BS21" s="4">
        <f ca="1">M21</f>
        <v>214</v>
      </c>
      <c r="BT21" s="4"/>
      <c r="BU21" s="4"/>
      <c r="BV21" s="4">
        <f ca="1">P21</f>
        <v>207</v>
      </c>
      <c r="BW21" s="4"/>
      <c r="BX21" s="4"/>
      <c r="BY21" s="4">
        <f ca="1">S21</f>
        <v>196</v>
      </c>
      <c r="BZ21" s="4"/>
      <c r="CA21" s="4"/>
      <c r="CB21" s="4">
        <f ca="1">V21</f>
        <v>196</v>
      </c>
      <c r="CC21" s="4"/>
      <c r="CD21" s="4"/>
      <c r="CE21" s="4">
        <f ca="1">Y21</f>
        <v>206</v>
      </c>
      <c r="CF21" s="4"/>
      <c r="CG21" s="4"/>
      <c r="CH21" s="4">
        <f ca="1">AB21</f>
        <v>197</v>
      </c>
      <c r="CI21" s="4"/>
      <c r="CJ21" s="4"/>
      <c r="CK21" s="4">
        <f ca="1">AE21</f>
        <v>217</v>
      </c>
      <c r="CL21" s="4"/>
      <c r="CM21" s="4"/>
      <c r="CN21" s="4">
        <f ca="1">AH21</f>
        <v>221</v>
      </c>
      <c r="CO21" s="4"/>
      <c r="CP21" s="4"/>
      <c r="CQ21" s="4">
        <f ca="1">AK21</f>
        <v>225</v>
      </c>
      <c r="CR21" s="4"/>
      <c r="CS21" s="4"/>
      <c r="CT21" s="4">
        <f ca="1">AN21</f>
        <v>221</v>
      </c>
      <c r="CU21" s="4"/>
      <c r="CV21" s="328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4"/>
      <c r="C22" s="265"/>
      <c r="D22" s="266" t="s">
        <v>56</v>
      </c>
      <c r="E22" s="267">
        <f ca="1">IF(COUNTIF(E4:E20,"&gt;0")&gt;0,SUM(E4:E20)/COUNTIF(E4:E20,"&gt;0"),"")</f>
        <v>6</v>
      </c>
      <c r="F22" s="268">
        <f ca="1">IF($AQ$2=0,"",F21/(COUNTIF($D$4:OFFSET($D$4,$AQ$2-1,0),"&lt;&gt;""")))</f>
        <v>10</v>
      </c>
      <c r="G22" s="269">
        <f ca="1">IF($AQ$2=0,"",IF($AQ$2=1,G21/((COUNTIF($D$4:OFFSET($D$4,$AQ$2-1,0),"&lt;&gt;"""))),G21/((COUNTIF($D$4:OFFSET($D$4,$AQ$2-1,0),"&lt;&gt;"""))-1)))</f>
        <v>105.5</v>
      </c>
      <c r="H22" s="270">
        <f ca="1">IF(COUNTIF(H4:H20,"&gt;0")&gt;0,SUM(H4:H20)/COUNTIF(H4:H20,"&gt;0"),"")</f>
        <v>5</v>
      </c>
      <c r="I22" s="268">
        <f ca="1">IF($AQ$2=0,"",I21/(COUNTIF($D$4:OFFSET($D$4,$AQ$2-1,0),"&lt;&gt;""")))</f>
        <v>5.666666666666667</v>
      </c>
      <c r="J22" s="269">
        <f ca="1">IF($AQ$2=0,"",IF($AQ$2=1,J21/((COUNTIF($D$4:OFFSET($D$4,$AQ$2-1,0),"&lt;&gt;"""))),J21/((COUNTIF($D$4:OFFSET($D$4,$AQ$2-1,0),"&lt;&gt;"""))-1)))</f>
        <v>86</v>
      </c>
      <c r="K22" s="270">
        <f ca="1">IF(COUNTIF(K4:K20,"&gt;0")&gt;0,SUM(K4:K20)/COUNTIF(K4:K20,"&gt;0"),"")</f>
        <v>5</v>
      </c>
      <c r="L22" s="268">
        <f ca="1">IF($AQ$2=0,"",L21/(COUNTIF($D$4:OFFSET($D$4,$AQ$2-1,0),"&lt;&gt;""")))</f>
        <v>11</v>
      </c>
      <c r="M22" s="269">
        <f ca="1">IF($AQ$2=0,"",IF($AQ$2=1,M21/((COUNTIF($D$4:OFFSET($D$4,$AQ$2-1,0),"&lt;&gt;"""))),M21/((COUNTIF($D$4:OFFSET($D$4,$AQ$2-1,0),"&lt;&gt;"""))-1)))</f>
        <v>107</v>
      </c>
      <c r="N22" s="270">
        <f ca="1">IF(COUNTIF(N4:N20,"&gt;0")&gt;0,SUM(N4:N20)/COUNTIF(N4:N20,"&gt;0"),"")</f>
        <v>5.333333333333333</v>
      </c>
      <c r="O22" s="268">
        <f ca="1">IF($AQ$2=0,"",O21/(COUNTIF($D$4:OFFSET($D$4,$AQ$2-1,0),"&lt;&gt;""")))</f>
        <v>9.3333333333333339</v>
      </c>
      <c r="P22" s="269">
        <f ca="1">IF($AQ$2=0,"",IF($AQ$2=1,P21/((COUNTIF($D$4:OFFSET($D$4,$AQ$2-1,0),"&lt;&gt;"""))),P21/((COUNTIF($D$4:OFFSET($D$4,$AQ$2-1,0),"&lt;&gt;"""))-1)))</f>
        <v>103.5</v>
      </c>
      <c r="Q22" s="270">
        <f ca="1">IF(COUNTIF(Q4:Q20,"&gt;0")&gt;0,SUM(Q4:Q20)/COUNTIF(Q4:Q20,"&gt;0"),"")</f>
        <v>9.3333333333333339</v>
      </c>
      <c r="R22" s="268">
        <f ca="1">IF($AQ$2=0,"",R21/(COUNTIF($D$4:OFFSET($D$4,$AQ$2-1,0),"&lt;&gt;""")))</f>
        <v>10</v>
      </c>
      <c r="S22" s="269">
        <f ca="1">IF($AQ$2=0,"",IF($AQ$2=1,S21/((COUNTIF($D$4:OFFSET($D$4,$AQ$2-1,0),"&lt;&gt;"""))),S21/((COUNTIF($D$4:OFFSET($D$4,$AQ$2-1,0),"&lt;&gt;"""))-1)))</f>
        <v>98</v>
      </c>
      <c r="T22" s="270">
        <f ca="1">IF(COUNTIF(T4:T20,"&gt;0")&gt;0,SUM(T4:T20)/COUNTIF(T4:T20,"&gt;0"),"")</f>
        <v>7</v>
      </c>
      <c r="U22" s="268">
        <f ca="1">IF($AQ$2=0,"",U21/(COUNTIF($D$4:OFFSET($D$4,$AQ$2-1,0),"&lt;&gt;""")))</f>
        <v>10</v>
      </c>
      <c r="V22" s="269">
        <f ca="1">IF($AQ$2=0,"",IF($AQ$2=1,V21/((COUNTIF($D$4:OFFSET($D$4,$AQ$2-1,0),"&lt;&gt;"""))),V21/((COUNTIF($D$4:OFFSET($D$4,$AQ$2-1,0),"&lt;&gt;"""))-1)))</f>
        <v>98</v>
      </c>
      <c r="W22" s="270">
        <f ca="1">IF(COUNTIF(W4:W20,"&gt;0")&gt;0,SUM(W4:W20)/COUNTIF(W4:W20,"&gt;0"),"")</f>
        <v>5.333333333333333</v>
      </c>
      <c r="X22" s="268">
        <f ca="1">IF($AQ$2=0,"",X21/(COUNTIF($D$4:OFFSET($D$4,$AQ$2-1,0),"&lt;&gt;""")))</f>
        <v>11.333333333333334</v>
      </c>
      <c r="Y22" s="269">
        <f ca="1">IF($AQ$2=0,"",IF($AQ$2=1,Y21/((COUNTIF($D$4:OFFSET($D$4,$AQ$2-1,0),"&lt;&gt;"""))),Y21/((COUNTIF($D$4:OFFSET($D$4,$AQ$2-1,0),"&lt;&gt;"""))-1)))</f>
        <v>103</v>
      </c>
      <c r="Z22" s="270">
        <f ca="1">IF(COUNTIF(Z4:Z20,"&gt;0")&gt;0,SUM(Z4:Z20)/COUNTIF(Z4:Z20,"&gt;0"),"")</f>
        <v>9</v>
      </c>
      <c r="AA22" s="268">
        <f ca="1">IF($AQ$2=0,"",AA21/(COUNTIF($D$4:OFFSET($D$4,$AQ$2-1,0),"&lt;&gt;""")))</f>
        <v>10.333333333333334</v>
      </c>
      <c r="AB22" s="269">
        <f ca="1">IF($AQ$2=0,"",IF($AQ$2=1,AB21/((COUNTIF($D$4:OFFSET($D$4,$AQ$2-1,0),"&lt;&gt;"""))),AB21/((COUNTIF($D$4:OFFSET($D$4,$AQ$2-1,0),"&lt;&gt;"""))-1)))</f>
        <v>98.5</v>
      </c>
      <c r="AC22" s="270">
        <f ca="1">IF(COUNTIF(AC4:AC20,"&gt;0")&gt;0,SUM(AC4:AC20)/COUNTIF(AC4:AC20,"&gt;0"),"")</f>
        <v>3.6666666666666665</v>
      </c>
      <c r="AD22" s="268">
        <f ca="1">IF($AQ$2=0,"",AD21/(COUNTIF($D$4:OFFSET($D$4,$AQ$2-1,0),"&lt;&gt;""")))</f>
        <v>11</v>
      </c>
      <c r="AE22" s="269">
        <f ca="1">IF($AQ$2=0,"",IF($AQ$2=1,AE21/((COUNTIF($D$4:OFFSET($D$4,$AQ$2-1,0),"&lt;&gt;"""))),AE21/((COUNTIF($D$4:OFFSET($D$4,$AQ$2-1,0),"&lt;&gt;"""))-1)))</f>
        <v>108.5</v>
      </c>
      <c r="AF22" s="270">
        <f ca="1">IF(COUNTIF(AF4:AF20,"&gt;0")&gt;0,SUM(AF4:AF20)/COUNTIF(AF4:AF20,"&gt;0"),"")</f>
        <v>5.333333333333333</v>
      </c>
      <c r="AG22" s="268">
        <f ca="1">IF($AQ$2=0,"",AG21/(COUNTIF($D$4:OFFSET($D$4,$AQ$2-1,0),"&lt;&gt;""")))</f>
        <v>12</v>
      </c>
      <c r="AH22" s="269">
        <f ca="1">IF($AQ$2=0,"",IF($AQ$2=1,AH21/((COUNTIF($D$4:OFFSET($D$4,$AQ$2-1,0),"&lt;&gt;"""))),AH21/((COUNTIF($D$4:OFFSET($D$4,$AQ$2-1,0),"&lt;&gt;"""))-1)))</f>
        <v>110.5</v>
      </c>
      <c r="AI22" s="270">
        <f ca="1">IF(COUNTIF(AI4:AI20,"&gt;0")&gt;0,SUM(AI4:AI20)/COUNTIF(AI4:AI20,"&gt;0"),"")</f>
        <v>5</v>
      </c>
      <c r="AJ22" s="268">
        <f ca="1">IF($AQ$2=0,"",AJ21/(COUNTIF($D$4:OFFSET($D$4,$AQ$2-1,0),"&lt;&gt;""")))</f>
        <v>10.666666666666666</v>
      </c>
      <c r="AK22" s="269">
        <f ca="1">IF($AQ$2=0,"",IF($AQ$2=1,AK21/((COUNTIF($D$4:OFFSET($D$4,$AQ$2-1,0),"&lt;&gt;"""))),AK21/((COUNTIF($D$4:OFFSET($D$4,$AQ$2-1,0),"&lt;&gt;"""))-1)))</f>
        <v>112.5</v>
      </c>
      <c r="AL22" s="270">
        <f ca="1">IF(COUNTIF(AL4:AL20,"&gt;0")&gt;0,SUM(AL4:AL20)/COUNTIF(AL4:AL20,"&gt;0"),"")</f>
        <v>7</v>
      </c>
      <c r="AM22" s="268">
        <f ca="1">IF($AQ$2=0,"",AM21/(COUNTIF($D$4:OFFSET($D$4,$AQ$2-1,0),"&lt;&gt;""")))</f>
        <v>10</v>
      </c>
      <c r="AN22" s="271">
        <f ca="1">IF($AQ$2=0,"",IF($AQ$2=1,AN21/((COUNTIF($D$4:OFFSET($D$4,$AQ$2-1,0),"&lt;&gt;"""))),AN21/((COUNTIF($D$4:OFFSET($D$4,$AQ$2-1,0),"&lt;&gt;"""))-1)))</f>
        <v>110.5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8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5"/>
      <c r="C23" s="276"/>
      <c r="D23" s="272" t="s">
        <v>50</v>
      </c>
      <c r="E23" s="277">
        <f ca="1">IF(COUNTIF(E4:E20,"=1")&gt;0,COUNTIF(E4:E20,"=1"),"")</f>
        <v>1</v>
      </c>
      <c r="F23" s="278"/>
      <c r="G23" s="279"/>
      <c r="H23" s="280">
        <f ca="1">IF(COUNTIF(H4:H20,"=1")&gt;0,COUNTIF(H4:H20,"=1"),"")</f>
        <v>1</v>
      </c>
      <c r="I23" s="278"/>
      <c r="J23" s="279"/>
      <c r="K23" s="280" t="str">
        <f ca="1">IF(COUNTIF(K4:K20,"=1")&gt;0,COUNTIF(K4:K20,"=1"),"")</f>
        <v/>
      </c>
      <c r="L23" s="278"/>
      <c r="M23" s="279"/>
      <c r="N23" s="280" t="str">
        <f ca="1">IF(COUNTIF(N4:N20,"=1")&gt;0,COUNTIF(N4:N20,"=1"),"")</f>
        <v/>
      </c>
      <c r="O23" s="278"/>
      <c r="P23" s="279"/>
      <c r="Q23" s="280" t="str">
        <f ca="1">IF(COUNTIF(Q4:Q20,"=1")&gt;0,COUNTIF(Q4:Q20,"=1"),"")</f>
        <v/>
      </c>
      <c r="R23" s="278"/>
      <c r="S23" s="279"/>
      <c r="T23" s="280" t="str">
        <f ca="1">IF(COUNTIF(T4:T20,"=1")&gt;0,COUNTIF(T4:T20,"=1"),"")</f>
        <v/>
      </c>
      <c r="U23" s="278"/>
      <c r="V23" s="279"/>
      <c r="W23" s="280">
        <f ca="1">IF(COUNTIF(W4:W20,"=1")&gt;0,COUNTIF(W4:W20,"=1"),"")</f>
        <v>1</v>
      </c>
      <c r="X23" s="278"/>
      <c r="Y23" s="279"/>
      <c r="Z23" s="280" t="str">
        <f ca="1">IF(COUNTIF(Z4:Z20,"=1")&gt;0,COUNTIF(Z4:Z20,"=1"),"")</f>
        <v/>
      </c>
      <c r="AA23" s="278"/>
      <c r="AB23" s="279"/>
      <c r="AC23" s="280" t="str">
        <f ca="1">IF(COUNTIF(AC4:AC20,"=1")&gt;0,COUNTIF(AC4:AC20,"=1"),"")</f>
        <v/>
      </c>
      <c r="AD23" s="278"/>
      <c r="AE23" s="279"/>
      <c r="AF23" s="280" t="str">
        <f ca="1">IF(COUNTIF(AF4:AF20,"=1")&gt;0,COUNTIF(AF4:AF20,"=1"),"")</f>
        <v/>
      </c>
      <c r="AG23" s="278"/>
      <c r="AH23" s="279"/>
      <c r="AI23" s="280" t="str">
        <f ca="1">IF(COUNTIF(AI4:AI20,"=1")&gt;0,COUNTIF(AI4:AI20,"=1"),"")</f>
        <v/>
      </c>
      <c r="AJ23" s="278"/>
      <c r="AK23" s="279"/>
      <c r="AL23" s="280" t="str">
        <f ca="1">IF(COUNTIF(AL4:AL20,"=1")&gt;0,COUNTIF(AL4:AL20,"=1"),"")</f>
        <v/>
      </c>
      <c r="AM23" s="278"/>
      <c r="AN23" s="281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8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82"/>
      <c r="C24" s="283"/>
      <c r="D24" s="273" t="s">
        <v>51</v>
      </c>
      <c r="E24" s="284" t="str">
        <f ca="1">IF(COUNTIF(E4:E20,"=2")&gt;0,COUNTIF(E4:E20,"=2"),"")</f>
        <v/>
      </c>
      <c r="F24" s="285"/>
      <c r="G24" s="286"/>
      <c r="H24" s="287" t="str">
        <f ca="1">IF(COUNTIF(H4:H20,"=2")&gt;0,COUNTIF(H4:H20,"=2"),"")</f>
        <v/>
      </c>
      <c r="I24" s="285"/>
      <c r="J24" s="286"/>
      <c r="K24" s="287" t="str">
        <f ca="1">IF(COUNTIF(K4:K20,"=2")&gt;0,COUNTIF(K4:K20,"=2"),"")</f>
        <v/>
      </c>
      <c r="L24" s="285"/>
      <c r="M24" s="286"/>
      <c r="N24" s="287">
        <f ca="1">IF(COUNTIF(N4:N20,"=2")&gt;0,COUNTIF(N4:N20,"=2"),"")</f>
        <v>1</v>
      </c>
      <c r="O24" s="285"/>
      <c r="P24" s="286"/>
      <c r="Q24" s="287" t="str">
        <f ca="1">IF(COUNTIF(Q4:Q20,"=2")&gt;0,COUNTIF(Q4:Q20,"=2"),"")</f>
        <v/>
      </c>
      <c r="R24" s="285"/>
      <c r="S24" s="286"/>
      <c r="T24" s="287" t="str">
        <f ca="1">IF(COUNTIF(T4:T20,"=2")&gt;0,COUNTIF(T4:T20,"=2"),"")</f>
        <v/>
      </c>
      <c r="U24" s="285"/>
      <c r="V24" s="286"/>
      <c r="W24" s="287" t="str">
        <f ca="1">IF(COUNTIF(W4:W20,"=2")&gt;0,COUNTIF(W4:W20,"=2"),"")</f>
        <v/>
      </c>
      <c r="X24" s="285"/>
      <c r="Y24" s="286"/>
      <c r="Z24" s="287" t="str">
        <f ca="1">IF(COUNTIF(Z4:Z20,"=2")&gt;0,COUNTIF(Z4:Z20,"=2"),"")</f>
        <v/>
      </c>
      <c r="AA24" s="285"/>
      <c r="AB24" s="286"/>
      <c r="AC24" s="287">
        <f ca="1">IF(COUNTIF(AC4:AC20,"=2")&gt;0,COUNTIF(AC4:AC20,"=2"),"")</f>
        <v>1</v>
      </c>
      <c r="AD24" s="285"/>
      <c r="AE24" s="286"/>
      <c r="AF24" s="287" t="str">
        <f ca="1">IF(COUNTIF(AF4:AF20,"=2")&gt;0,COUNTIF(AF4:AF20,"=2"),"")</f>
        <v/>
      </c>
      <c r="AG24" s="285"/>
      <c r="AH24" s="286"/>
      <c r="AI24" s="287">
        <f ca="1">IF(COUNTIF(AI4:AI20,"=2")&gt;0,COUNTIF(AI4:AI20,"=2"),"")</f>
        <v>1</v>
      </c>
      <c r="AJ24" s="285"/>
      <c r="AK24" s="286"/>
      <c r="AL24" s="287">
        <f ca="1">IF(COUNTIF(AL4:AL20,"=2")&gt;0,COUNTIF(AL4:AL20,"=2"),"")</f>
        <v>1</v>
      </c>
      <c r="AM24" s="285"/>
      <c r="AN24" s="288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8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82"/>
      <c r="C25" s="283"/>
      <c r="D25" s="273" t="s">
        <v>52</v>
      </c>
      <c r="E25" s="284" t="str">
        <f ca="1">IF(COUNTIF(E4:E20,"=3")&gt;0,COUNTIF(E4:E20,"=3"),"")</f>
        <v/>
      </c>
      <c r="F25" s="285"/>
      <c r="G25" s="286"/>
      <c r="H25" s="287" t="str">
        <f ca="1">IF(COUNTIF(H4:H20,"=3")&gt;0,COUNTIF(H4:H20,"=3"),"")</f>
        <v/>
      </c>
      <c r="I25" s="285"/>
      <c r="J25" s="286"/>
      <c r="K25" s="287">
        <f ca="1">IF(COUNTIF(K4:K20,"=3")&gt;0,COUNTIF(K4:K20,"=3"),"")</f>
        <v>1</v>
      </c>
      <c r="L25" s="285"/>
      <c r="M25" s="286"/>
      <c r="N25" s="287" t="str">
        <f ca="1">IF(COUNTIF(N4:N20,"=3")&gt;0,COUNTIF(N4:N20,"=3"),"")</f>
        <v/>
      </c>
      <c r="O25" s="285"/>
      <c r="P25" s="286"/>
      <c r="Q25" s="287" t="str">
        <f ca="1">IF(COUNTIF(Q4:Q20,"=3")&gt;0,COUNTIF(Q4:Q20,"=3"),"")</f>
        <v/>
      </c>
      <c r="R25" s="285"/>
      <c r="S25" s="286"/>
      <c r="T25" s="287">
        <f ca="1">IF(COUNTIF(T4:T20,"=3")&gt;0,COUNTIF(T4:T20,"=3"),"")</f>
        <v>1</v>
      </c>
      <c r="U25" s="285"/>
      <c r="V25" s="286"/>
      <c r="W25" s="287" t="str">
        <f ca="1">IF(COUNTIF(W4:W20,"=3")&gt;0,COUNTIF(W4:W20,"=3"),"")</f>
        <v/>
      </c>
      <c r="X25" s="285"/>
      <c r="Y25" s="286"/>
      <c r="Z25" s="287" t="str">
        <f ca="1">IF(COUNTIF(Z4:Z20,"=3")&gt;0,COUNTIF(Z4:Z20,"=3"),"")</f>
        <v/>
      </c>
      <c r="AA25" s="285"/>
      <c r="AB25" s="286"/>
      <c r="AC25" s="287">
        <f ca="1">IF(COUNTIF(AC4:AC20,"=3")&gt;0,COUNTIF(AC4:AC20,"=3"),"")</f>
        <v>1</v>
      </c>
      <c r="AD25" s="285"/>
      <c r="AE25" s="286"/>
      <c r="AF25" s="287" t="str">
        <f ca="1">IF(COUNTIF(AF4:AF20,"=3")&gt;0,COUNTIF(AF4:AF20,"=3"),"")</f>
        <v/>
      </c>
      <c r="AG25" s="285"/>
      <c r="AH25" s="286"/>
      <c r="AI25" s="287" t="str">
        <f ca="1">IF(COUNTIF(AI4:AI20,"=3")&gt;0,COUNTIF(AI4:AI20,"=3"),"")</f>
        <v/>
      </c>
      <c r="AJ25" s="285"/>
      <c r="AK25" s="286"/>
      <c r="AL25" s="287" t="str">
        <f ca="1">IF(COUNTIF(AL4:AL20,"=3")&gt;0,COUNTIF(AL4:AL20,"=3"),"")</f>
        <v/>
      </c>
      <c r="AM25" s="285"/>
      <c r="AN25" s="288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8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82"/>
      <c r="C26" s="283"/>
      <c r="D26" s="273" t="s">
        <v>53</v>
      </c>
      <c r="E26" s="284">
        <f ca="1">IF(SUM(BK4:BK20)=0,"",SUM(BK4:BK20))</f>
        <v>1</v>
      </c>
      <c r="F26" s="285"/>
      <c r="G26" s="286"/>
      <c r="H26" s="287" t="str">
        <f ca="1">IF(SUM(BN4:BN20)=0,"",SUM(BN4:BN20))</f>
        <v/>
      </c>
      <c r="I26" s="285"/>
      <c r="J26" s="286"/>
      <c r="K26" s="287" t="str">
        <f ca="1">IF(SUM(BQ4:BQ20)=0,"",SUM(BQ4:BQ20))</f>
        <v/>
      </c>
      <c r="L26" s="285"/>
      <c r="M26" s="286"/>
      <c r="N26" s="287" t="str">
        <f ca="1">IF(SUM(BT4:BT20)=0,"",SUM(BT4:BT20))</f>
        <v/>
      </c>
      <c r="O26" s="285"/>
      <c r="P26" s="286"/>
      <c r="Q26" s="287" t="str">
        <f ca="1">IF(SUM(BW4:BW20)=0,"",SUM(BW4:BW20))</f>
        <v/>
      </c>
      <c r="R26" s="285"/>
      <c r="S26" s="286"/>
      <c r="T26" s="287" t="str">
        <f ca="1">IF(SUM(BZ4:BZ20)=0,"",SUM(BZ4:BZ20))</f>
        <v/>
      </c>
      <c r="U26" s="285"/>
      <c r="V26" s="286"/>
      <c r="W26" s="287">
        <f ca="1">IF(SUM(CC4:CC20)=0,"",SUM(CC4:CC20))</f>
        <v>1</v>
      </c>
      <c r="X26" s="285"/>
      <c r="Y26" s="286"/>
      <c r="Z26" s="287" t="str">
        <f ca="1">IF(SUM(CF4:CF20)=0,"",SUM(CF4:CF20))</f>
        <v/>
      </c>
      <c r="AA26" s="285"/>
      <c r="AB26" s="286"/>
      <c r="AC26" s="287" t="str">
        <f ca="1">IF(SUM(CI4:CI20)=0,"",SUM(CI4:CI20))</f>
        <v/>
      </c>
      <c r="AD26" s="285"/>
      <c r="AE26" s="286"/>
      <c r="AF26" s="287" t="str">
        <f ca="1">IF(SUM(CL4:CL20)=0,"",SUM(CL4:CL20))</f>
        <v/>
      </c>
      <c r="AG26" s="285"/>
      <c r="AH26" s="286"/>
      <c r="AI26" s="287" t="str">
        <f ca="1">IF(SUM(CO4:CO20)=0,"",SUM(CO4:CO20))</f>
        <v/>
      </c>
      <c r="AJ26" s="285"/>
      <c r="AK26" s="286"/>
      <c r="AL26" s="287">
        <f ca="1">IF(SUM(CR4:CR20)=0,"",SUM(CR4:CR20))</f>
        <v>1</v>
      </c>
      <c r="AM26" s="285"/>
      <c r="AN26" s="288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8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9"/>
      <c r="C27" s="290"/>
      <c r="D27" s="274" t="s">
        <v>54</v>
      </c>
      <c r="E27" s="291" t="str">
        <f ca="1">IF($AQ$2=0,"",IF(COUNTIF(E4:OFFSET(E4,$AQ$2-1,0),"")&gt;0,COUNTIF(E4:OFFSET(E4,$AQ$2-1,0),""),""))</f>
        <v/>
      </c>
      <c r="F27" s="292"/>
      <c r="G27" s="293"/>
      <c r="H27" s="294">
        <f ca="1">IF($AQ$2=0,"",IF(COUNTIF(H4:OFFSET(H4,$AQ$2-1,0),"")&gt;0,COUNTIF(H4:OFFSET(H4,$AQ$2-1,0),""),""))</f>
        <v>1</v>
      </c>
      <c r="I27" s="292"/>
      <c r="J27" s="293"/>
      <c r="K27" s="294" t="str">
        <f ca="1">IF($AQ$2=0,"",IF(COUNTIF(K4:OFFSET(K4,$AQ$2-1,0),"")&gt;0,COUNTIF(K4:OFFSET(K4,$AQ$2-1,0),""),""))</f>
        <v/>
      </c>
      <c r="L27" s="292"/>
      <c r="M27" s="293"/>
      <c r="N27" s="294" t="str">
        <f ca="1">IF($AQ$2=0,"",IF(COUNTIF(N4:OFFSET(N4,$AQ$2-1,0),"")&gt;0,COUNTIF(N4:OFFSET(N4,$AQ$2-1,0),""),""))</f>
        <v/>
      </c>
      <c r="O27" s="292"/>
      <c r="P27" s="293"/>
      <c r="Q27" s="294" t="str">
        <f ca="1">IF($AQ$2=0,"",IF(COUNTIF(Q4:OFFSET(Q4,$AQ$2-1,0),"")&gt;0,COUNTIF(Q4:OFFSET(Q4,$AQ$2-1,0),""),""))</f>
        <v/>
      </c>
      <c r="R27" s="292"/>
      <c r="S27" s="293"/>
      <c r="T27" s="294" t="str">
        <f ca="1">IF($AQ$2=0,"",IF(COUNTIF(T4:OFFSET(T4,$AQ$2-1,0),"")&gt;0,COUNTIF(T4:OFFSET(T4,$AQ$2-1,0),""),""))</f>
        <v/>
      </c>
      <c r="U27" s="292"/>
      <c r="V27" s="293"/>
      <c r="W27" s="294" t="str">
        <f ca="1">IF($AQ$2=0,"",IF(COUNTIF(W4:OFFSET(W4,$AQ$2-1,0),"")&gt;0,COUNTIF(W4:OFFSET(W4,$AQ$2-1,0),""),""))</f>
        <v/>
      </c>
      <c r="X27" s="292"/>
      <c r="Y27" s="293"/>
      <c r="Z27" s="294" t="str">
        <f ca="1">IF($AQ$2=0,"",IF(COUNTIF(Z4:OFFSET(Z4,$AQ$2-1,0),"")&gt;0,COUNTIF(Z4:OFFSET(Z4,$AQ$2-1,0),""),""))</f>
        <v/>
      </c>
      <c r="AA27" s="292"/>
      <c r="AB27" s="293"/>
      <c r="AC27" s="294" t="str">
        <f ca="1">IF($AQ$2=0,"",IF(COUNTIF(AC4:OFFSET(AC4,$AQ$2-1,0),"")&gt;0,COUNTIF(AC4:OFFSET(AC4,$AQ$2-1,0),""),""))</f>
        <v/>
      </c>
      <c r="AD27" s="292"/>
      <c r="AE27" s="293"/>
      <c r="AF27" s="294" t="str">
        <f ca="1">IF($AQ$2=0,"",IF(COUNTIF(AF4:OFFSET(AF4,$AQ$2-1,0),"")&gt;0,COUNTIF(AF4:OFFSET(AF4,$AQ$2-1,0),""),""))</f>
        <v/>
      </c>
      <c r="AG27" s="292"/>
      <c r="AH27" s="293"/>
      <c r="AI27" s="294" t="str">
        <f ca="1">IF($AQ$2=0,"",IF(COUNTIF(AI4:OFFSET(AI4,$AQ$2-1,0),"")&gt;0,COUNTIF(AI4:OFFSET(AI4,$AQ$2-1,0),""),""))</f>
        <v/>
      </c>
      <c r="AJ27" s="292"/>
      <c r="AK27" s="293"/>
      <c r="AL27" s="294" t="str">
        <f ca="1">IF($AQ$2=0,"",IF(COUNTIF(AL4:OFFSET(AL4,$AQ$2-1,0),"")&gt;0,COUNTIF(AL4:OFFSET(AL4,$AQ$2-1,0),""),""))</f>
        <v/>
      </c>
      <c r="AM27" s="292"/>
      <c r="AN27" s="295"/>
      <c r="AO27" s="49"/>
      <c r="AP27" s="50"/>
      <c r="AQ27" s="49"/>
      <c r="AR27" s="50"/>
      <c r="AS27" s="13"/>
      <c r="BJ27" s="4"/>
      <c r="BK27" s="4"/>
      <c r="BL27" s="4" t="str">
        <f>F7</f>
        <v/>
      </c>
      <c r="BM27" s="4"/>
      <c r="BN27" s="4"/>
      <c r="BO27" s="4" t="str">
        <f>I7</f>
        <v/>
      </c>
      <c r="BP27" s="4"/>
      <c r="BQ27" s="4"/>
      <c r="BR27" s="4" t="str">
        <f>L7</f>
        <v/>
      </c>
      <c r="BS27" s="4"/>
      <c r="BT27" s="4"/>
      <c r="BU27" s="4" t="str">
        <f>O7</f>
        <v/>
      </c>
      <c r="BV27" s="4"/>
      <c r="BW27" s="4"/>
      <c r="BX27" s="4" t="str">
        <f>R7</f>
        <v/>
      </c>
      <c r="BY27" s="4"/>
      <c r="BZ27" s="4"/>
      <c r="CA27" s="4" t="str">
        <f>U7</f>
        <v/>
      </c>
      <c r="CB27" s="4"/>
      <c r="CC27" s="4"/>
      <c r="CD27" s="4" t="str">
        <f>X7</f>
        <v/>
      </c>
      <c r="CE27" s="4"/>
      <c r="CF27" s="4"/>
      <c r="CG27" s="4" t="str">
        <f>AA7</f>
        <v/>
      </c>
      <c r="CH27" s="4"/>
      <c r="CI27" s="4"/>
      <c r="CJ27" s="4" t="str">
        <f>AD7</f>
        <v/>
      </c>
      <c r="CK27" s="4"/>
      <c r="CL27" s="4"/>
      <c r="CM27" s="4" t="str">
        <f>AG7</f>
        <v/>
      </c>
      <c r="CN27" s="4"/>
      <c r="CO27" s="4"/>
      <c r="CP27" s="4" t="str">
        <f>AJ7</f>
        <v/>
      </c>
      <c r="CQ27" s="4"/>
      <c r="CR27" s="4"/>
      <c r="CS27" s="4" t="str">
        <f>AM7</f>
        <v/>
      </c>
      <c r="CT27" s="4"/>
      <c r="CU27" s="4"/>
      <c r="CV27" s="328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 t="str">
        <f t="shared" ref="BL28:BL41" si="25">F8</f>
        <v/>
      </c>
      <c r="BM28" s="4"/>
      <c r="BN28" s="4"/>
      <c r="BO28" s="4" t="str">
        <f t="shared" ref="BO28:BO41" si="26">I8</f>
        <v/>
      </c>
      <c r="BP28" s="4"/>
      <c r="BQ28" s="4"/>
      <c r="BR28" s="4" t="str">
        <f t="shared" ref="BR28:BR41" si="27">L8</f>
        <v/>
      </c>
      <c r="BS28" s="4"/>
      <c r="BT28" s="4"/>
      <c r="BU28" s="4" t="str">
        <f t="shared" ref="BU28:BU41" si="28">O8</f>
        <v/>
      </c>
      <c r="BV28" s="4"/>
      <c r="BW28" s="4"/>
      <c r="BX28" s="4" t="str">
        <f t="shared" ref="BX28:BX41" si="29">R8</f>
        <v/>
      </c>
      <c r="BY28" s="4"/>
      <c r="BZ28" s="4"/>
      <c r="CA28" s="4" t="str">
        <f t="shared" ref="CA28:CA41" si="30">U8</f>
        <v/>
      </c>
      <c r="CB28" s="4"/>
      <c r="CC28" s="4"/>
      <c r="CD28" s="4" t="str">
        <f t="shared" ref="CD28:CD41" si="31">X8</f>
        <v/>
      </c>
      <c r="CE28" s="4"/>
      <c r="CF28" s="4"/>
      <c r="CG28" s="4" t="str">
        <f t="shared" ref="CG28:CG41" si="32">AA8</f>
        <v/>
      </c>
      <c r="CH28" s="4"/>
      <c r="CI28" s="4"/>
      <c r="CJ28" s="4" t="str">
        <f t="shared" ref="CJ28:CJ41" si="33">AD8</f>
        <v/>
      </c>
      <c r="CK28" s="4"/>
      <c r="CL28" s="4"/>
      <c r="CM28" s="4" t="str">
        <f t="shared" ref="CM28:CM41" si="34">AG8</f>
        <v/>
      </c>
      <c r="CN28" s="4"/>
      <c r="CO28" s="4"/>
      <c r="CP28" s="4" t="str">
        <f t="shared" ref="CP28:CP41" si="35">AJ8</f>
        <v/>
      </c>
      <c r="CQ28" s="4"/>
      <c r="CR28" s="4"/>
      <c r="CS28" s="4" t="str">
        <f t="shared" ref="CS28:CS41" si="36">AM8</f>
        <v/>
      </c>
      <c r="CT28" s="4"/>
      <c r="CU28" s="4"/>
      <c r="CV28" s="328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83" t="str">
        <f>CONCATENATE($AR$13," Results")</f>
        <v>2020 Football Pool Results</v>
      </c>
      <c r="AU29" s="384"/>
      <c r="AV29" s="384"/>
      <c r="AW29" s="384"/>
      <c r="AX29" s="384"/>
      <c r="AY29" s="384"/>
      <c r="AZ29" s="384"/>
      <c r="BA29" s="384"/>
      <c r="BB29" s="384"/>
      <c r="BC29" s="384"/>
      <c r="BD29" s="384"/>
      <c r="BE29" s="384"/>
      <c r="BF29" s="384"/>
      <c r="BG29" s="384"/>
      <c r="BH29" s="384"/>
      <c r="BI29" s="385"/>
      <c r="BJ29" s="4"/>
      <c r="BK29" s="4"/>
      <c r="BL29" s="4" t="str">
        <f t="shared" si="25"/>
        <v/>
      </c>
      <c r="BM29" s="4"/>
      <c r="BN29" s="4"/>
      <c r="BO29" s="4" t="str">
        <f t="shared" si="26"/>
        <v/>
      </c>
      <c r="BP29" s="4"/>
      <c r="BQ29" s="4"/>
      <c r="BR29" s="4" t="str">
        <f t="shared" si="27"/>
        <v/>
      </c>
      <c r="BS29" s="4"/>
      <c r="BT29" s="4"/>
      <c r="BU29" s="4" t="str">
        <f t="shared" si="28"/>
        <v/>
      </c>
      <c r="BV29" s="4"/>
      <c r="BW29" s="4"/>
      <c r="BX29" s="4" t="str">
        <f t="shared" si="29"/>
        <v/>
      </c>
      <c r="BY29" s="4"/>
      <c r="BZ29" s="4"/>
      <c r="CA29" s="4" t="str">
        <f t="shared" si="30"/>
        <v/>
      </c>
      <c r="CB29" s="4"/>
      <c r="CC29" s="4"/>
      <c r="CD29" s="4" t="str">
        <f t="shared" si="31"/>
        <v/>
      </c>
      <c r="CE29" s="4"/>
      <c r="CF29" s="4"/>
      <c r="CG29" s="4" t="str">
        <f t="shared" si="32"/>
        <v/>
      </c>
      <c r="CH29" s="4"/>
      <c r="CI29" s="4"/>
      <c r="CJ29" s="4" t="str">
        <f t="shared" si="33"/>
        <v/>
      </c>
      <c r="CK29" s="4"/>
      <c r="CL29" s="4"/>
      <c r="CM29" s="4" t="str">
        <f t="shared" si="34"/>
        <v/>
      </c>
      <c r="CN29" s="4"/>
      <c r="CO29" s="4"/>
      <c r="CP29" s="4" t="str">
        <f t="shared" si="35"/>
        <v/>
      </c>
      <c r="CQ29" s="4"/>
      <c r="CR29" s="4"/>
      <c r="CS29" s="4" t="str">
        <f t="shared" si="36"/>
        <v/>
      </c>
      <c r="CT29" s="4"/>
      <c r="CU29" s="4"/>
      <c r="CV29" s="328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90" t="s">
        <v>13</v>
      </c>
      <c r="AU30" s="393" t="s">
        <v>78</v>
      </c>
      <c r="AV30" s="396" t="s">
        <v>79</v>
      </c>
      <c r="AW30" s="397"/>
      <c r="AX30" s="397"/>
      <c r="AY30" s="397"/>
      <c r="AZ30" s="397"/>
      <c r="BA30" s="397"/>
      <c r="BB30" s="398"/>
      <c r="BC30" s="397" t="s">
        <v>80</v>
      </c>
      <c r="BD30" s="397"/>
      <c r="BE30" s="397"/>
      <c r="BF30" s="397"/>
      <c r="BG30" s="397"/>
      <c r="BH30" s="397"/>
      <c r="BI30" s="398"/>
      <c r="BJ30" s="4"/>
      <c r="BK30" s="4"/>
      <c r="BL30" s="4" t="str">
        <f t="shared" si="25"/>
        <v/>
      </c>
      <c r="BM30" s="4"/>
      <c r="BN30" s="4"/>
      <c r="BO30" s="4" t="str">
        <f t="shared" si="26"/>
        <v/>
      </c>
      <c r="BP30" s="4"/>
      <c r="BQ30" s="4"/>
      <c r="BR30" s="4" t="str">
        <f t="shared" si="27"/>
        <v/>
      </c>
      <c r="BS30" s="4"/>
      <c r="BT30" s="4"/>
      <c r="BU30" s="4" t="str">
        <f t="shared" si="28"/>
        <v/>
      </c>
      <c r="BV30" s="4"/>
      <c r="BW30" s="4"/>
      <c r="BX30" s="4" t="str">
        <f t="shared" si="29"/>
        <v/>
      </c>
      <c r="BY30" s="4"/>
      <c r="BZ30" s="4"/>
      <c r="CA30" s="4" t="str">
        <f t="shared" si="30"/>
        <v/>
      </c>
      <c r="CB30" s="4"/>
      <c r="CC30" s="4"/>
      <c r="CD30" s="4" t="str">
        <f t="shared" si="31"/>
        <v/>
      </c>
      <c r="CE30" s="4"/>
      <c r="CF30" s="4"/>
      <c r="CG30" s="4" t="str">
        <f t="shared" si="32"/>
        <v/>
      </c>
      <c r="CH30" s="4"/>
      <c r="CI30" s="4"/>
      <c r="CJ30" s="4" t="str">
        <f t="shared" si="33"/>
        <v/>
      </c>
      <c r="CK30" s="4"/>
      <c r="CL30" s="4"/>
      <c r="CM30" s="4" t="str">
        <f t="shared" si="34"/>
        <v/>
      </c>
      <c r="CN30" s="4"/>
      <c r="CO30" s="4"/>
      <c r="CP30" s="4" t="str">
        <f t="shared" si="35"/>
        <v/>
      </c>
      <c r="CQ30" s="4"/>
      <c r="CR30" s="4"/>
      <c r="CS30" s="4" t="str">
        <f t="shared" si="36"/>
        <v/>
      </c>
      <c r="CT30" s="4"/>
      <c r="CU30" s="4"/>
      <c r="CV30" s="328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91"/>
      <c r="AU31" s="394"/>
      <c r="AV31" s="399" t="str">
        <f>CONCATENATE("Cost to Play ($",$AO$3," per week)")</f>
        <v>Cost to Play ($3 per week)</v>
      </c>
      <c r="AW31" s="401" t="s">
        <v>65</v>
      </c>
      <c r="AX31" s="401" t="s">
        <v>71</v>
      </c>
      <c r="AY31" s="401" t="s">
        <v>66</v>
      </c>
      <c r="AZ31" s="401"/>
      <c r="BA31" s="401" t="s">
        <v>67</v>
      </c>
      <c r="BB31" s="403"/>
      <c r="BC31" s="405" t="s">
        <v>68</v>
      </c>
      <c r="BD31" s="401" t="s">
        <v>65</v>
      </c>
      <c r="BE31" s="401"/>
      <c r="BF31" s="401" t="s">
        <v>69</v>
      </c>
      <c r="BG31" s="401"/>
      <c r="BH31" s="401" t="s">
        <v>70</v>
      </c>
      <c r="BI31" s="403"/>
      <c r="BJ31" s="4"/>
      <c r="BK31" s="4"/>
      <c r="BL31" s="4" t="str">
        <f t="shared" si="25"/>
        <v/>
      </c>
      <c r="BM31" s="4"/>
      <c r="BN31" s="4"/>
      <c r="BO31" s="4" t="str">
        <f t="shared" si="26"/>
        <v/>
      </c>
      <c r="BP31" s="4"/>
      <c r="BQ31" s="4"/>
      <c r="BR31" s="4" t="str">
        <f t="shared" si="27"/>
        <v/>
      </c>
      <c r="BS31" s="4"/>
      <c r="BT31" s="4"/>
      <c r="BU31" s="4" t="str">
        <f t="shared" si="28"/>
        <v/>
      </c>
      <c r="BV31" s="4"/>
      <c r="BW31" s="4"/>
      <c r="BX31" s="4" t="str">
        <f t="shared" si="29"/>
        <v/>
      </c>
      <c r="BY31" s="4"/>
      <c r="BZ31" s="4"/>
      <c r="CA31" s="4" t="str">
        <f t="shared" si="30"/>
        <v/>
      </c>
      <c r="CB31" s="4"/>
      <c r="CC31" s="4"/>
      <c r="CD31" s="4" t="str">
        <f t="shared" si="31"/>
        <v/>
      </c>
      <c r="CE31" s="4"/>
      <c r="CF31" s="4"/>
      <c r="CG31" s="4" t="str">
        <f t="shared" si="32"/>
        <v/>
      </c>
      <c r="CH31" s="4"/>
      <c r="CI31" s="4"/>
      <c r="CJ31" s="4" t="str">
        <f t="shared" si="33"/>
        <v/>
      </c>
      <c r="CK31" s="4"/>
      <c r="CL31" s="4"/>
      <c r="CM31" s="4" t="str">
        <f t="shared" si="34"/>
        <v/>
      </c>
      <c r="CN31" s="4"/>
      <c r="CO31" s="4"/>
      <c r="CP31" s="4" t="str">
        <f t="shared" si="35"/>
        <v/>
      </c>
      <c r="CQ31" s="4"/>
      <c r="CR31" s="4"/>
      <c r="CS31" s="4" t="str">
        <f t="shared" si="36"/>
        <v/>
      </c>
      <c r="CT31" s="4"/>
      <c r="CU31" s="4"/>
      <c r="CV31" s="328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92"/>
      <c r="AU32" s="395"/>
      <c r="AV32" s="400"/>
      <c r="AW32" s="402"/>
      <c r="AX32" s="402"/>
      <c r="AY32" s="402"/>
      <c r="AZ32" s="402"/>
      <c r="BA32" s="402"/>
      <c r="BB32" s="404"/>
      <c r="BC32" s="406"/>
      <c r="BD32" s="402"/>
      <c r="BE32" s="402"/>
      <c r="BF32" s="402"/>
      <c r="BG32" s="402"/>
      <c r="BH32" s="402"/>
      <c r="BI32" s="404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8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252" t="str">
        <f>$E$2</f>
        <v>BM</v>
      </c>
      <c r="AU33" s="296">
        <f t="shared" ref="AU33:AU44" ca="1" si="37">SUM(AV33,AX33,AZ33,BB33,BC33,BE33,BG33,BI33)</f>
        <v>22</v>
      </c>
      <c r="AV33" s="297">
        <f t="shared" ref="AV33:AV44" si="38">$AQ$2*-$AO$3</f>
        <v>-9</v>
      </c>
      <c r="AW33" s="298">
        <f ca="1">IF($E$23&gt;0,$E$23,"")</f>
        <v>1</v>
      </c>
      <c r="AX33" s="299">
        <f t="shared" ref="AX33:AX44" ca="1" si="39">IF(AW33="","",AW33*$AO$6)</f>
        <v>31</v>
      </c>
      <c r="AY33" s="300" t="str">
        <f ca="1">IF($E$21=1,"✓","")</f>
        <v/>
      </c>
      <c r="AZ33" s="299" t="str">
        <f t="shared" ref="AZ33:AZ44" ca="1" si="40">IF(AY33="✓",IF(COUNTIF($AY$33:$AY$44,"✓")&gt;1,(($AO$4+$AO$5)*$AQ$2/COUNTIF($AY$33:$AY$44,"✓")),$AO$4*$AQ$2),"")</f>
        <v/>
      </c>
      <c r="BA33" s="301" t="str">
        <f ca="1">IF($E$21=2,"✓","")</f>
        <v/>
      </c>
      <c r="BB33" s="302" t="str">
        <f t="shared" ref="BB33:BB44" ca="1" si="41">IF(BA33="✓",($AO$5*$AQ$2/COUNTIF($BA$33:$BA$44,"✓")),"")</f>
        <v/>
      </c>
      <c r="BC33" s="303"/>
      <c r="BD33" s="298"/>
      <c r="BE33" s="299"/>
      <c r="BF33" s="300"/>
      <c r="BG33" s="299"/>
      <c r="BH33" s="301"/>
      <c r="BI33" s="302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8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3" t="str">
        <f>$H$2</f>
        <v>CK</v>
      </c>
      <c r="AU34" s="304">
        <f t="shared" ca="1" si="37"/>
        <v>22</v>
      </c>
      <c r="AV34" s="305">
        <f t="shared" si="38"/>
        <v>-9</v>
      </c>
      <c r="AW34" s="306">
        <f ca="1">IF($H$23&gt;0,$H$23,"")</f>
        <v>1</v>
      </c>
      <c r="AX34" s="307">
        <f t="shared" ca="1" si="39"/>
        <v>31</v>
      </c>
      <c r="AY34" s="308" t="str">
        <f ca="1">IF($H$21=1,"✓","")</f>
        <v/>
      </c>
      <c r="AZ34" s="307" t="str">
        <f t="shared" ca="1" si="40"/>
        <v/>
      </c>
      <c r="BA34" s="309" t="str">
        <f ca="1">IF($H$21=2,"✓","")</f>
        <v/>
      </c>
      <c r="BB34" s="310" t="str">
        <f t="shared" ca="1" si="41"/>
        <v/>
      </c>
      <c r="BC34" s="311"/>
      <c r="BD34" s="306"/>
      <c r="BE34" s="307"/>
      <c r="BF34" s="308"/>
      <c r="BG34" s="307"/>
      <c r="BH34" s="309"/>
      <c r="BI34" s="310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8" t="str">
        <f ca="1">'Week 1'!BY30</f>
        <v xml:space="preserve">   var w1_actual_mn_points = 0;</v>
      </c>
    </row>
    <row r="35" spans="46:100" ht="15" customHeight="1" x14ac:dyDescent="0.2">
      <c r="AT35" s="253" t="str">
        <f>$W$2</f>
        <v>JH</v>
      </c>
      <c r="AU35" s="304">
        <f t="shared" ca="1" si="37"/>
        <v>22</v>
      </c>
      <c r="AV35" s="305">
        <f t="shared" si="38"/>
        <v>-9</v>
      </c>
      <c r="AW35" s="306">
        <f ca="1">IF($W$23&gt;0,$W$23,"")</f>
        <v>1</v>
      </c>
      <c r="AX35" s="307">
        <f t="shared" ca="1" si="39"/>
        <v>31</v>
      </c>
      <c r="AY35" s="308" t="str">
        <f ca="1">IF($W$21=1,"✓","")</f>
        <v/>
      </c>
      <c r="AZ35" s="307" t="str">
        <f t="shared" ca="1" si="40"/>
        <v/>
      </c>
      <c r="BA35" s="309" t="str">
        <f ca="1">IF($W$21=2,"✓","")</f>
        <v/>
      </c>
      <c r="BB35" s="310" t="str">
        <f t="shared" ca="1" si="41"/>
        <v/>
      </c>
      <c r="BC35" s="311"/>
      <c r="BD35" s="306"/>
      <c r="BE35" s="307"/>
      <c r="BF35" s="308"/>
      <c r="BG35" s="307"/>
      <c r="BH35" s="309"/>
      <c r="BI35" s="310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8"/>
    </row>
    <row r="36" spans="46:100" ht="15" customHeight="1" x14ac:dyDescent="0.2">
      <c r="AT36" s="254" t="str">
        <f>$AI$2</f>
        <v>MB</v>
      </c>
      <c r="AU36" s="304">
        <f t="shared" ca="1" si="37"/>
        <v>0</v>
      </c>
      <c r="AV36" s="305">
        <f t="shared" si="38"/>
        <v>-9</v>
      </c>
      <c r="AW36" s="306" t="str">
        <f ca="1">IF($AI$23&gt;0,$AI$23,"")</f>
        <v/>
      </c>
      <c r="AX36" s="307" t="str">
        <f t="shared" ca="1" si="39"/>
        <v/>
      </c>
      <c r="AY36" s="308" t="str">
        <f ca="1">IF($AI$21=1,"✓","")</f>
        <v>✓</v>
      </c>
      <c r="AZ36" s="307">
        <f t="shared" ca="1" si="40"/>
        <v>9</v>
      </c>
      <c r="BA36" s="309" t="str">
        <f ca="1">IF($AI$21=2,"✓","")</f>
        <v/>
      </c>
      <c r="BB36" s="310" t="str">
        <f t="shared" ca="1" si="41"/>
        <v/>
      </c>
      <c r="BC36" s="311"/>
      <c r="BD36" s="306"/>
      <c r="BE36" s="307"/>
      <c r="BF36" s="308"/>
      <c r="BG36" s="307"/>
      <c r="BH36" s="309"/>
      <c r="BI36" s="310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8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3" t="str">
        <f>$AF$2</f>
        <v>KK</v>
      </c>
      <c r="AU37" s="304">
        <f t="shared" ca="1" si="37"/>
        <v>-6</v>
      </c>
      <c r="AV37" s="305">
        <f t="shared" si="38"/>
        <v>-9</v>
      </c>
      <c r="AW37" s="306" t="str">
        <f ca="1">IF($AF$23&gt;0,$AF$23,"")</f>
        <v/>
      </c>
      <c r="AX37" s="307" t="str">
        <f t="shared" ca="1" si="39"/>
        <v/>
      </c>
      <c r="AY37" s="308" t="str">
        <f ca="1">IF($AF$21=1,"✓","")</f>
        <v/>
      </c>
      <c r="AZ37" s="307" t="str">
        <f t="shared" ca="1" si="40"/>
        <v/>
      </c>
      <c r="BA37" s="309" t="str">
        <f ca="1">IF($AF$21=2,"✓","")</f>
        <v>✓</v>
      </c>
      <c r="BB37" s="310">
        <f t="shared" ca="1" si="41"/>
        <v>3</v>
      </c>
      <c r="BC37" s="311"/>
      <c r="BD37" s="306"/>
      <c r="BE37" s="307"/>
      <c r="BF37" s="308"/>
      <c r="BG37" s="307"/>
      <c r="BH37" s="309"/>
      <c r="BI37" s="310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8" t="str">
        <f ca="1">'Week 2'!BY5</f>
        <v xml:space="preserve">   var w2_p2_picks         = [];</v>
      </c>
    </row>
    <row r="38" spans="46:100" ht="15" customHeight="1" x14ac:dyDescent="0.2">
      <c r="AT38" s="253" t="str">
        <f>$AL$2</f>
        <v>RR</v>
      </c>
      <c r="AU38" s="304">
        <f t="shared" ca="1" si="37"/>
        <v>-6</v>
      </c>
      <c r="AV38" s="305">
        <f t="shared" si="38"/>
        <v>-9</v>
      </c>
      <c r="AW38" s="306" t="str">
        <f ca="1">IF($AL$23&gt;0,$AL$23,"")</f>
        <v/>
      </c>
      <c r="AX38" s="307" t="str">
        <f t="shared" ca="1" si="39"/>
        <v/>
      </c>
      <c r="AY38" s="308" t="str">
        <f ca="1">IF($AL$21=1,"✓","")</f>
        <v/>
      </c>
      <c r="AZ38" s="307" t="str">
        <f t="shared" ca="1" si="40"/>
        <v/>
      </c>
      <c r="BA38" s="309" t="str">
        <f ca="1">IF($AL$21=2,"✓","")</f>
        <v>✓</v>
      </c>
      <c r="BB38" s="310">
        <f t="shared" ca="1" si="41"/>
        <v>3</v>
      </c>
      <c r="BC38" s="311"/>
      <c r="BD38" s="306"/>
      <c r="BE38" s="307"/>
      <c r="BF38" s="308"/>
      <c r="BG38" s="307"/>
      <c r="BH38" s="309"/>
      <c r="BI38" s="310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8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3" t="str">
        <f>$K$2</f>
        <v>CP</v>
      </c>
      <c r="AU39" s="304">
        <f t="shared" ca="1" si="37"/>
        <v>-9</v>
      </c>
      <c r="AV39" s="305">
        <f t="shared" si="38"/>
        <v>-9</v>
      </c>
      <c r="AW39" s="306" t="str">
        <f ca="1">IF($K$23&gt;0,$K$23,"")</f>
        <v/>
      </c>
      <c r="AX39" s="307" t="str">
        <f t="shared" ca="1" si="39"/>
        <v/>
      </c>
      <c r="AY39" s="308" t="str">
        <f ca="1">IF($K$21=1,"✓","")</f>
        <v/>
      </c>
      <c r="AZ39" s="307" t="str">
        <f t="shared" ca="1" si="40"/>
        <v/>
      </c>
      <c r="BA39" s="309" t="str">
        <f ca="1">IF($K$21=2,"✓","")</f>
        <v/>
      </c>
      <c r="BB39" s="310" t="str">
        <f t="shared" ca="1" si="41"/>
        <v/>
      </c>
      <c r="BC39" s="311"/>
      <c r="BD39" s="306"/>
      <c r="BE39" s="307"/>
      <c r="BF39" s="308"/>
      <c r="BG39" s="307"/>
      <c r="BH39" s="309"/>
      <c r="BI39" s="310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8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3" t="str">
        <f>$N$2</f>
        <v>DC</v>
      </c>
      <c r="AU40" s="304">
        <f t="shared" ca="1" si="37"/>
        <v>-9</v>
      </c>
      <c r="AV40" s="305">
        <f t="shared" si="38"/>
        <v>-9</v>
      </c>
      <c r="AW40" s="306" t="str">
        <f ca="1">IF($N$23&gt;0,$N$23,"")</f>
        <v/>
      </c>
      <c r="AX40" s="307" t="str">
        <f t="shared" ca="1" si="39"/>
        <v/>
      </c>
      <c r="AY40" s="308" t="str">
        <f ca="1">IF($N$21=1,"✓","")</f>
        <v/>
      </c>
      <c r="AZ40" s="307" t="str">
        <f t="shared" ca="1" si="40"/>
        <v/>
      </c>
      <c r="BA40" s="309" t="str">
        <f ca="1">IF($N$21=2,"✓","")</f>
        <v/>
      </c>
      <c r="BB40" s="310" t="str">
        <f t="shared" ca="1" si="41"/>
        <v/>
      </c>
      <c r="BC40" s="311"/>
      <c r="BD40" s="306"/>
      <c r="BE40" s="307"/>
      <c r="BF40" s="308"/>
      <c r="BG40" s="307"/>
      <c r="BH40" s="309"/>
      <c r="BI40" s="310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8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3" t="str">
        <f>$Q$2</f>
        <v>DH</v>
      </c>
      <c r="AU41" s="304">
        <f t="shared" ca="1" si="37"/>
        <v>-9</v>
      </c>
      <c r="AV41" s="305">
        <f t="shared" si="38"/>
        <v>-9</v>
      </c>
      <c r="AW41" s="306" t="str">
        <f ca="1">IF($Q$23&gt;0,$Q$23,"")</f>
        <v/>
      </c>
      <c r="AX41" s="307" t="str">
        <f t="shared" ca="1" si="39"/>
        <v/>
      </c>
      <c r="AY41" s="308" t="str">
        <f ca="1">IF($Q$21=1,"✓","")</f>
        <v/>
      </c>
      <c r="AZ41" s="307" t="str">
        <f t="shared" ca="1" si="40"/>
        <v/>
      </c>
      <c r="BA41" s="309" t="str">
        <f ca="1">IF($Q$21=2,"✓","")</f>
        <v/>
      </c>
      <c r="BB41" s="310" t="str">
        <f t="shared" ca="1" si="41"/>
        <v/>
      </c>
      <c r="BC41" s="311"/>
      <c r="BD41" s="306"/>
      <c r="BE41" s="307"/>
      <c r="BF41" s="308"/>
      <c r="BG41" s="307"/>
      <c r="BH41" s="309"/>
      <c r="BI41" s="310"/>
      <c r="BJ41" s="4"/>
      <c r="BK41" s="4"/>
      <c r="BL41" s="4">
        <f t="shared" si="25"/>
        <v>30</v>
      </c>
      <c r="BM41" s="4"/>
      <c r="BN41" s="4"/>
      <c r="BO41" s="4">
        <f t="shared" si="26"/>
        <v>17</v>
      </c>
      <c r="BP41" s="4"/>
      <c r="BQ41" s="4"/>
      <c r="BR41" s="4">
        <f t="shared" si="27"/>
        <v>33</v>
      </c>
      <c r="BS41" s="4"/>
      <c r="BT41" s="4"/>
      <c r="BU41" s="4">
        <f t="shared" si="28"/>
        <v>28</v>
      </c>
      <c r="BV41" s="4"/>
      <c r="BW41" s="4"/>
      <c r="BX41" s="4">
        <f t="shared" si="29"/>
        <v>30</v>
      </c>
      <c r="BY41" s="4"/>
      <c r="BZ41" s="4"/>
      <c r="CA41" s="4">
        <f t="shared" si="30"/>
        <v>30</v>
      </c>
      <c r="CB41" s="4"/>
      <c r="CC41" s="4"/>
      <c r="CD41" s="4">
        <f t="shared" si="31"/>
        <v>34</v>
      </c>
      <c r="CE41" s="4"/>
      <c r="CF41" s="4"/>
      <c r="CG41" s="4">
        <f t="shared" si="32"/>
        <v>31</v>
      </c>
      <c r="CH41" s="4"/>
      <c r="CI41" s="4"/>
      <c r="CJ41" s="4">
        <f t="shared" si="33"/>
        <v>33</v>
      </c>
      <c r="CK41" s="4"/>
      <c r="CL41" s="4"/>
      <c r="CM41" s="4">
        <f t="shared" si="34"/>
        <v>36</v>
      </c>
      <c r="CN41" s="4"/>
      <c r="CO41" s="4"/>
      <c r="CP41" s="4">
        <f t="shared" si="35"/>
        <v>32</v>
      </c>
      <c r="CQ41" s="4"/>
      <c r="CR41" s="4"/>
      <c r="CS41" s="4">
        <f t="shared" si="36"/>
        <v>30</v>
      </c>
      <c r="CT41" s="4"/>
      <c r="CU41" s="4"/>
      <c r="CV41" s="328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3" t="str">
        <f>$T$2</f>
        <v>JG</v>
      </c>
      <c r="AU42" s="304">
        <f t="shared" ca="1" si="37"/>
        <v>-9</v>
      </c>
      <c r="AV42" s="305">
        <f t="shared" si="38"/>
        <v>-9</v>
      </c>
      <c r="AW42" s="306" t="str">
        <f ca="1">IF($T$23&gt;0,$T$23,"")</f>
        <v/>
      </c>
      <c r="AX42" s="307" t="str">
        <f t="shared" ca="1" si="39"/>
        <v/>
      </c>
      <c r="AY42" s="308" t="str">
        <f ca="1">IF($T$21=1,"✓","")</f>
        <v/>
      </c>
      <c r="AZ42" s="307" t="str">
        <f t="shared" ca="1" si="40"/>
        <v/>
      </c>
      <c r="BA42" s="309" t="str">
        <f ca="1">IF($T$21=2,"✓","")</f>
        <v/>
      </c>
      <c r="BB42" s="310" t="str">
        <f t="shared" ca="1" si="41"/>
        <v/>
      </c>
      <c r="BC42" s="311"/>
      <c r="BD42" s="306"/>
      <c r="BE42" s="307"/>
      <c r="BF42" s="308"/>
      <c r="BG42" s="307"/>
      <c r="BH42" s="309"/>
      <c r="BI42" s="310"/>
      <c r="BJ42" s="51"/>
      <c r="BK42" s="51">
        <f ca="1">E22</f>
        <v>6</v>
      </c>
      <c r="BL42" s="51"/>
      <c r="BM42" s="51"/>
      <c r="BN42" s="51">
        <f ca="1">H22</f>
        <v>5</v>
      </c>
      <c r="BO42" s="51"/>
      <c r="BP42" s="51"/>
      <c r="BQ42" s="51">
        <f ca="1">K22</f>
        <v>5</v>
      </c>
      <c r="BR42" s="51"/>
      <c r="BS42" s="51"/>
      <c r="BT42" s="51">
        <f ca="1">N22</f>
        <v>5.333333333333333</v>
      </c>
      <c r="BU42" s="51"/>
      <c r="BV42" s="51"/>
      <c r="BW42" s="51">
        <f ca="1">Q22</f>
        <v>9.3333333333333339</v>
      </c>
      <c r="BX42" s="51"/>
      <c r="BY42" s="51"/>
      <c r="BZ42" s="51">
        <f ca="1">T22</f>
        <v>7</v>
      </c>
      <c r="CA42" s="51"/>
      <c r="CB42" s="51"/>
      <c r="CC42" s="51">
        <f ca="1">W22</f>
        <v>5.333333333333333</v>
      </c>
      <c r="CD42" s="51"/>
      <c r="CE42" s="51"/>
      <c r="CF42" s="51">
        <f ca="1">Z22</f>
        <v>9</v>
      </c>
      <c r="CG42" s="51"/>
      <c r="CH42" s="51"/>
      <c r="CI42" s="51">
        <f ca="1">AC22</f>
        <v>3.6666666666666665</v>
      </c>
      <c r="CJ42" s="51"/>
      <c r="CK42" s="51"/>
      <c r="CL42" s="51">
        <f ca="1">AF22</f>
        <v>5.333333333333333</v>
      </c>
      <c r="CM42" s="51"/>
      <c r="CN42" s="51"/>
      <c r="CO42" s="51">
        <f ca="1">AI22</f>
        <v>5</v>
      </c>
      <c r="CP42" s="51"/>
      <c r="CQ42" s="51"/>
      <c r="CR42" s="51">
        <f ca="1">AL22</f>
        <v>7</v>
      </c>
      <c r="CS42" s="51"/>
      <c r="CT42" s="51"/>
      <c r="CU42" s="51"/>
      <c r="CV42" s="328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3" t="str">
        <f>$Z$2</f>
        <v>JL</v>
      </c>
      <c r="AU43" s="304">
        <f t="shared" ca="1" si="37"/>
        <v>-9</v>
      </c>
      <c r="AV43" s="305">
        <f t="shared" si="38"/>
        <v>-9</v>
      </c>
      <c r="AW43" s="306" t="str">
        <f ca="1">IF($Z$23&gt;0,$Z$23,"")</f>
        <v/>
      </c>
      <c r="AX43" s="307" t="str">
        <f t="shared" ca="1" si="39"/>
        <v/>
      </c>
      <c r="AY43" s="308" t="str">
        <f ca="1">IF($Z$21=1,"✓","")</f>
        <v/>
      </c>
      <c r="AZ43" s="307" t="str">
        <f t="shared" ca="1" si="40"/>
        <v/>
      </c>
      <c r="BA43" s="309" t="str">
        <f ca="1">IF($Z$21=2,"✓","")</f>
        <v/>
      </c>
      <c r="BB43" s="310" t="str">
        <f t="shared" ca="1" si="41"/>
        <v/>
      </c>
      <c r="BC43" s="311"/>
      <c r="BD43" s="306"/>
      <c r="BE43" s="307"/>
      <c r="BF43" s="308"/>
      <c r="BG43" s="307"/>
      <c r="BH43" s="309"/>
      <c r="BI43" s="310"/>
      <c r="CV43" s="328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255" t="str">
        <f>$AC$2</f>
        <v>KC</v>
      </c>
      <c r="AU44" s="312">
        <f t="shared" ca="1" si="37"/>
        <v>-9</v>
      </c>
      <c r="AV44" s="313">
        <f t="shared" si="38"/>
        <v>-9</v>
      </c>
      <c r="AW44" s="314" t="str">
        <f ca="1">IF($AC$23&gt;0,$AC$23,"")</f>
        <v/>
      </c>
      <c r="AX44" s="315" t="str">
        <f t="shared" ca="1" si="39"/>
        <v/>
      </c>
      <c r="AY44" s="316" t="str">
        <f ca="1">IF($AC$21=1,"✓","")</f>
        <v/>
      </c>
      <c r="AZ44" s="315" t="str">
        <f t="shared" ca="1" si="40"/>
        <v/>
      </c>
      <c r="BA44" s="317" t="str">
        <f ca="1">IF($AC$21=2,"✓","")</f>
        <v/>
      </c>
      <c r="BB44" s="318" t="str">
        <f t="shared" ca="1" si="41"/>
        <v/>
      </c>
      <c r="BC44" s="319"/>
      <c r="BD44" s="314"/>
      <c r="BE44" s="315"/>
      <c r="BF44" s="316"/>
      <c r="BG44" s="315"/>
      <c r="BH44" s="317"/>
      <c r="BI44" s="318"/>
      <c r="CV44" s="328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8" t="str">
        <f ca="1">'Week 2'!BY13</f>
        <v xml:space="preserve">   var w2_p10_picks        = ["H","H","H","H","V","V","V","V","H","H","H","H","V","V","H","V"];</v>
      </c>
    </row>
    <row r="46" spans="46:100" x14ac:dyDescent="0.2">
      <c r="CV46" s="328" t="str">
        <f ca="1">'Week 2'!BY14</f>
        <v xml:space="preserve">   var w2_p11_picks        = ["H","H","H","H","V","V","V","V","H","H","H","H","V","V","H","V"];</v>
      </c>
    </row>
    <row r="47" spans="46:100" x14ac:dyDescent="0.2">
      <c r="CV47" s="328" t="str">
        <f ca="1">'Week 2'!BY15</f>
        <v xml:space="preserve">   var w2_p12_picks        = ["V","H","H","H","V","V","V","V","H","H","H","H","V","V","H","V"];</v>
      </c>
    </row>
    <row r="48" spans="46:100" x14ac:dyDescent="0.2">
      <c r="CV48" s="328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8" t="str">
        <f ca="1">'Week 2'!BY17</f>
        <v xml:space="preserve">   var w2_p2_weights       = [];</v>
      </c>
    </row>
    <row r="50" spans="100:100" x14ac:dyDescent="0.2">
      <c r="CV50" s="328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8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8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8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8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8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8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8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8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8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8" t="str">
        <f ca="1">'Week 2'!BY28</f>
        <v xml:space="preserve">   var w2_winners          = ["H","H","H","H","H","V","V","V","H","H","H","H","V","V","H","H"];</v>
      </c>
    </row>
    <row r="61" spans="100:100" x14ac:dyDescent="0.2">
      <c r="CV61" s="328" t="str">
        <f ca="1">'Week 2'!BY29</f>
        <v xml:space="preserve">   var w2_mn_points        = ["51","","49","42","41","38","44","50","47","52","47","45"];</v>
      </c>
    </row>
    <row r="62" spans="100:100" x14ac:dyDescent="0.2">
      <c r="CV62" s="328" t="str">
        <f ca="1">'Week 2'!BY30</f>
        <v xml:space="preserve">   var w2_actual_mn_points = 58;</v>
      </c>
    </row>
    <row r="63" spans="100:100" x14ac:dyDescent="0.2">
      <c r="CV63" s="328"/>
    </row>
    <row r="64" spans="100:100" x14ac:dyDescent="0.2">
      <c r="CV64" s="328" t="str">
        <f ca="1">'Week 3'!BY4</f>
        <v xml:space="preserve">   var w3_p1_picks         = ["H","H","V","H","V","H","V","H","H","H","H","H","V","H","H","H"];</v>
      </c>
    </row>
    <row r="65" spans="41:100" x14ac:dyDescent="0.2">
      <c r="CV65" s="328" t="str">
        <f ca="1">'Week 3'!BY5</f>
        <v xml:space="preserve">   var w3_p2_picks         = ["H","H","H","V","H","H","V","H","H","H","H","H","V","H","H","H"];</v>
      </c>
    </row>
    <row r="66" spans="41:100" x14ac:dyDescent="0.2">
      <c r="CV66" s="328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8" t="str">
        <f ca="1">'Week 3'!BY7</f>
        <v xml:space="preserve">   var w3_p4_picks         = ["H","H","V","H","H","H","V","H","H","H","H","H","V","H","H","H"];</v>
      </c>
    </row>
    <row r="68" spans="41:100" x14ac:dyDescent="0.2">
      <c r="CV68" s="328" t="str">
        <f ca="1">'Week 3'!BY8</f>
        <v xml:space="preserve">   var w3_p5_picks         = ["H","H","H","H","H","H","H","H","H","H","H","H","V","H","V","H"];</v>
      </c>
    </row>
    <row r="69" spans="41:100" x14ac:dyDescent="0.2">
      <c r="CV69" s="328" t="str">
        <f ca="1">'Week 3'!BY9</f>
        <v xml:space="preserve">   var w3_p6_picks         = ["H","H","H","H","V","H","V","H","H","H","H","H","V","H","H","H"];</v>
      </c>
    </row>
    <row r="70" spans="41:100" x14ac:dyDescent="0.2">
      <c r="CV70" s="328" t="str">
        <f ca="1">'Week 3'!BY10</f>
        <v xml:space="preserve">   var w3_p7_picks         = ["H","H","H","H","V","H","V","H","H","H","V","H","V","H","V","H"];</v>
      </c>
    </row>
    <row r="71" spans="41:100" x14ac:dyDescent="0.2">
      <c r="CV71" s="328" t="str">
        <f ca="1">'Week 3'!BY11</f>
        <v xml:space="preserve">   var w3_p8_picks         = ["H","H","V","H","V","V","V","V","H","H","H","H","V","H","H","H"];</v>
      </c>
    </row>
    <row r="72" spans="41:100" x14ac:dyDescent="0.2">
      <c r="CV72" s="328" t="str">
        <f ca="1">'Week 3'!BY12</f>
        <v xml:space="preserve">   var w3_p9_picks         = ["H","H","H","H","V","H","V","H","H","H","H","H","V","H","H","H"];</v>
      </c>
    </row>
    <row r="73" spans="41:100" x14ac:dyDescent="0.2">
      <c r="CV73" s="328" t="str">
        <f ca="1">'Week 3'!BY13</f>
        <v xml:space="preserve">   var w3_p10_picks        = ["H","H","H","H","V","H","V","H","H","H","H","H","V","H","V","H"];</v>
      </c>
    </row>
    <row r="74" spans="41:100" x14ac:dyDescent="0.2">
      <c r="CV74" s="328" t="str">
        <f ca="1">'Week 3'!BY14</f>
        <v xml:space="preserve">   var w3_p11_picks        = ["H","H","H","H","V","V","V","H","V","H","H","H","V","H","V","H"];</v>
      </c>
    </row>
    <row r="75" spans="41:100" x14ac:dyDescent="0.2">
      <c r="CV75" s="328" t="str">
        <f ca="1">'Week 3'!BY15</f>
        <v xml:space="preserve">   var w3_p12_picks        = ["H","H","H","V","H","V","V","H","H","H","H","H","V","H","H","V"];</v>
      </c>
    </row>
    <row r="76" spans="41:100" x14ac:dyDescent="0.2">
      <c r="CV76" s="328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8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8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8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8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8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8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8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8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8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8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8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8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8" t="str">
        <f ca="1">'Week 3'!BY29</f>
        <v xml:space="preserve">   var w3_mn_points        = ["58","51","54","42","57","54","58","52","54","60","62","68"];</v>
      </c>
    </row>
    <row r="90" spans="100:100" x14ac:dyDescent="0.2">
      <c r="CV90" s="328" t="str">
        <f ca="1">'Week 3'!BY30</f>
        <v xml:space="preserve">   var w3_actual_mn_points = 0;</v>
      </c>
    </row>
    <row r="91" spans="100:100" x14ac:dyDescent="0.2">
      <c r="CV91" s="328"/>
    </row>
    <row r="92" spans="100:100" x14ac:dyDescent="0.2">
      <c r="CV92" s="328" t="str">
        <f ca="1">'Week 4'!BY4</f>
        <v xml:space="preserve">   var w4_p1_picks         = ["H","V","V","H","H","V","V","V","H","V","H","H","V","H","H"];</v>
      </c>
    </row>
    <row r="93" spans="100:100" x14ac:dyDescent="0.2">
      <c r="CV93" s="328" t="str">
        <f ca="1">'Week 4'!BY5</f>
        <v xml:space="preserve">   var w4_p2_picks         = ["H","H","H","H","H","V","H","V","H","V","H","H","V","H","H"];</v>
      </c>
    </row>
    <row r="94" spans="100:100" x14ac:dyDescent="0.2">
      <c r="CV94" s="328" t="str">
        <f ca="1">'Week 4'!BY6</f>
        <v xml:space="preserve">   var w4_p3_picks         = ["H","V","V","H","H","V","H","V","H","V","H","H","V","H","H"];</v>
      </c>
    </row>
    <row r="95" spans="100:100" x14ac:dyDescent="0.2">
      <c r="CV95" s="328" t="str">
        <f ca="1">'Week 4'!BY7</f>
        <v xml:space="preserve">   var w4_p4_picks         = ["H","V","V","H","H","V","H","V","H","V","H","H","V","H","H"];</v>
      </c>
    </row>
    <row r="96" spans="100:100" x14ac:dyDescent="0.2">
      <c r="CV96" s="328" t="str">
        <f ca="1">'Week 4'!BY8</f>
        <v xml:space="preserve">   var w4_p5_picks         = ["H","H","H","H","H","H","H","V","H","V","H","H","V","H","H"];</v>
      </c>
    </row>
    <row r="97" spans="100:100" x14ac:dyDescent="0.2">
      <c r="CV97" s="328" t="str">
        <f ca="1">'Week 4'!BY9</f>
        <v xml:space="preserve">   var w4_p6_picks         = [];</v>
      </c>
    </row>
    <row r="98" spans="100:100" x14ac:dyDescent="0.2">
      <c r="CV98" s="328" t="str">
        <f ca="1">'Week 4'!BY10</f>
        <v xml:space="preserve">   var w4_p7_picks         = ["H","V","H","H","H","V","V","V","H","V","H","H","H","H","H"];</v>
      </c>
    </row>
    <row r="99" spans="100:100" x14ac:dyDescent="0.2">
      <c r="CV99" s="328" t="str">
        <f ca="1">'Week 4'!BY11</f>
        <v xml:space="preserve">   var w4_p8_picks         = ["V","V","V","V","H","V","H","V","H","V","H","H","H","H","H"];</v>
      </c>
    </row>
    <row r="100" spans="100:100" x14ac:dyDescent="0.2">
      <c r="CV100" s="328" t="str">
        <f ca="1">'Week 4'!BY12</f>
        <v xml:space="preserve">   var w4_p9_picks         = ["H","V","V","H","H","V","H","V","H","V","H","H","V","H","H"];</v>
      </c>
    </row>
    <row r="101" spans="100:100" x14ac:dyDescent="0.2">
      <c r="CV101" s="328" t="str">
        <f ca="1">'Week 4'!BY13</f>
        <v xml:space="preserve">   var w4_p10_picks        = ["V","V","V","V","H","V","H","V","H","V","H","H","V","H","H"];</v>
      </c>
    </row>
    <row r="102" spans="100:100" x14ac:dyDescent="0.2">
      <c r="CV102" s="328" t="str">
        <f ca="1">'Week 4'!BY14</f>
        <v xml:space="preserve">   var w4_p11_picks        = ["V","V","V","H","H","V","H","V","H","V","H","H","H","H","H"];</v>
      </c>
    </row>
    <row r="103" spans="100:100" x14ac:dyDescent="0.2">
      <c r="CV103" s="328" t="str">
        <f ca="1">'Week 4'!BY15</f>
        <v xml:space="preserve">   var w4_p12_picks        = ["H","V","V","H","H","V","V","V","H","V","H","H","V","H","H"];</v>
      </c>
    </row>
    <row r="104" spans="100:100" x14ac:dyDescent="0.2">
      <c r="CV104" s="328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8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8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8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8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8" t="str">
        <f ca="1">'Week 4'!BY21</f>
        <v xml:space="preserve">   var w4_p6_weights       = [];</v>
      </c>
    </row>
    <row r="110" spans="100:100" x14ac:dyDescent="0.2">
      <c r="CV110" s="328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8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8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8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8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8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8" t="str">
        <f ca="1">'Week 4'!BY28</f>
        <v xml:space="preserve">   var w4_winners          = [];</v>
      </c>
    </row>
    <row r="117" spans="100:100" x14ac:dyDescent="0.2">
      <c r="CV117" s="328" t="str">
        <f ca="1">'Week 4'!BY29</f>
        <v xml:space="preserve">   var w4_mn_points        = ["56","51","57","42","63","","50","59","57","60","60","57"];</v>
      </c>
    </row>
    <row r="118" spans="100:100" x14ac:dyDescent="0.2">
      <c r="CV118" s="328" t="str">
        <f ca="1">'Week 4'!BY30</f>
        <v xml:space="preserve">   var w4_actual_mn_points = 0;</v>
      </c>
    </row>
    <row r="119" spans="100:100" x14ac:dyDescent="0.2">
      <c r="CV119" s="328"/>
    </row>
    <row r="120" spans="100:100" x14ac:dyDescent="0.2">
      <c r="CV120" s="328" t="str">
        <f ca="1">'Week 5'!BY4</f>
        <v xml:space="preserve">   var w5_p1_picks         = [];</v>
      </c>
    </row>
    <row r="121" spans="100:100" x14ac:dyDescent="0.2">
      <c r="CV121" s="328" t="str">
        <f ca="1">'Week 5'!BY5</f>
        <v xml:space="preserve">   var w5_p2_picks         = [];</v>
      </c>
    </row>
    <row r="122" spans="100:100" x14ac:dyDescent="0.2">
      <c r="CV122" s="328" t="str">
        <f ca="1">'Week 5'!BY6</f>
        <v xml:space="preserve">   var w5_p3_picks         = [];</v>
      </c>
    </row>
    <row r="123" spans="100:100" x14ac:dyDescent="0.2">
      <c r="CV123" s="328" t="str">
        <f ca="1">'Week 5'!BY7</f>
        <v xml:space="preserve">   var w5_p4_picks         = [];</v>
      </c>
    </row>
    <row r="124" spans="100:100" x14ac:dyDescent="0.2">
      <c r="CV124" s="328" t="str">
        <f ca="1">'Week 5'!BY8</f>
        <v xml:space="preserve">   var w5_p5_picks         = [];</v>
      </c>
    </row>
    <row r="125" spans="100:100" x14ac:dyDescent="0.2">
      <c r="CV125" s="328" t="str">
        <f ca="1">'Week 5'!BY9</f>
        <v xml:space="preserve">   var w5_p6_picks         = [];</v>
      </c>
    </row>
    <row r="126" spans="100:100" x14ac:dyDescent="0.2">
      <c r="CV126" s="328" t="str">
        <f ca="1">'Week 5'!BY10</f>
        <v xml:space="preserve">   var w5_p7_picks         = [];</v>
      </c>
    </row>
    <row r="127" spans="100:100" x14ac:dyDescent="0.2">
      <c r="CV127" s="328" t="str">
        <f ca="1">'Week 5'!BY11</f>
        <v xml:space="preserve">   var w5_p8_picks         = [];</v>
      </c>
    </row>
    <row r="128" spans="100:100" x14ac:dyDescent="0.2">
      <c r="CV128" s="328" t="str">
        <f ca="1">'Week 5'!BY12</f>
        <v xml:space="preserve">   var w5_p9_picks         = [];</v>
      </c>
    </row>
    <row r="129" spans="100:100" x14ac:dyDescent="0.2">
      <c r="CV129" s="328" t="str">
        <f ca="1">'Week 5'!BY13</f>
        <v xml:space="preserve">   var w5_p10_picks        = [];</v>
      </c>
    </row>
    <row r="130" spans="100:100" x14ac:dyDescent="0.2">
      <c r="CV130" s="328" t="str">
        <f ca="1">'Week 5'!BY14</f>
        <v xml:space="preserve">   var w5_p11_picks        = [];</v>
      </c>
    </row>
    <row r="131" spans="100:100" x14ac:dyDescent="0.2">
      <c r="CV131" s="328" t="str">
        <f ca="1">'Week 5'!BY15</f>
        <v xml:space="preserve">   var w5_p12_picks        = [];</v>
      </c>
    </row>
    <row r="132" spans="100:100" x14ac:dyDescent="0.2">
      <c r="CV132" s="328" t="str">
        <f ca="1">'Week 5'!BY16</f>
        <v xml:space="preserve">   var w5_p1_weights       = [];</v>
      </c>
    </row>
    <row r="133" spans="100:100" x14ac:dyDescent="0.2">
      <c r="CV133" s="328" t="str">
        <f ca="1">'Week 5'!BY17</f>
        <v xml:space="preserve">   var w5_p2_weights       = [];</v>
      </c>
    </row>
    <row r="134" spans="100:100" x14ac:dyDescent="0.2">
      <c r="CV134" s="328" t="str">
        <f ca="1">'Week 5'!BY18</f>
        <v xml:space="preserve">   var w5_p3_weights       = [];</v>
      </c>
    </row>
    <row r="135" spans="100:100" x14ac:dyDescent="0.2">
      <c r="CV135" s="328" t="str">
        <f ca="1">'Week 5'!BY19</f>
        <v xml:space="preserve">   var w5_p4_weights       = [];</v>
      </c>
    </row>
    <row r="136" spans="100:100" x14ac:dyDescent="0.2">
      <c r="CV136" s="328" t="str">
        <f ca="1">'Week 5'!BY20</f>
        <v xml:space="preserve">   var w5_p5_weights       = [];</v>
      </c>
    </row>
    <row r="137" spans="100:100" x14ac:dyDescent="0.2">
      <c r="CV137" s="328" t="str">
        <f ca="1">'Week 5'!BY21</f>
        <v xml:space="preserve">   var w5_p6_weights       = [];</v>
      </c>
    </row>
    <row r="138" spans="100:100" x14ac:dyDescent="0.2">
      <c r="CV138" s="328" t="str">
        <f ca="1">'Week 5'!BY22</f>
        <v xml:space="preserve">   var w5_p7_weights       = [];</v>
      </c>
    </row>
    <row r="139" spans="100:100" x14ac:dyDescent="0.2">
      <c r="CV139" s="328" t="str">
        <f ca="1">'Week 5'!BY23</f>
        <v xml:space="preserve">   var w5_p8_weights       = [];</v>
      </c>
    </row>
    <row r="140" spans="100:100" x14ac:dyDescent="0.2">
      <c r="CV140" s="328" t="str">
        <f ca="1">'Week 5'!BY24</f>
        <v xml:space="preserve">   var w5_p9_weights       = [];</v>
      </c>
    </row>
    <row r="141" spans="100:100" x14ac:dyDescent="0.2">
      <c r="CV141" s="328" t="str">
        <f ca="1">'Week 5'!BY25</f>
        <v xml:space="preserve">   var w5_p10_weights      = [];</v>
      </c>
    </row>
    <row r="142" spans="100:100" x14ac:dyDescent="0.2">
      <c r="CV142" s="328" t="str">
        <f ca="1">'Week 5'!BY26</f>
        <v xml:space="preserve">   var w5_p11_weights      = [];</v>
      </c>
    </row>
    <row r="143" spans="100:100" x14ac:dyDescent="0.2">
      <c r="CV143" s="328" t="str">
        <f ca="1">'Week 5'!BY27</f>
        <v xml:space="preserve">   var w5_p12_weights      = [];</v>
      </c>
    </row>
    <row r="144" spans="100:100" x14ac:dyDescent="0.2">
      <c r="CV144" s="328" t="str">
        <f ca="1">'Week 5'!BY28</f>
        <v xml:space="preserve">   var w5_winners          = [];</v>
      </c>
    </row>
    <row r="145" spans="100:100" x14ac:dyDescent="0.2">
      <c r="CV145" s="328" t="str">
        <f ca="1">'Week 5'!BY29</f>
        <v xml:space="preserve">   var w5_mn_points        = ["","","","","","","","","","","",""];</v>
      </c>
    </row>
    <row r="146" spans="100:100" x14ac:dyDescent="0.2">
      <c r="CV146" s="328" t="str">
        <f ca="1">'Week 5'!BY30</f>
        <v xml:space="preserve">   var w5_actual_mn_points = 0;</v>
      </c>
    </row>
    <row r="147" spans="100:100" x14ac:dyDescent="0.2">
      <c r="CV147" s="328"/>
    </row>
    <row r="148" spans="100:100" x14ac:dyDescent="0.2">
      <c r="CV148" s="328" t="str">
        <f ca="1">'Week 6'!BY4</f>
        <v xml:space="preserve">   var w6_p1_picks         = [];</v>
      </c>
    </row>
    <row r="149" spans="100:100" x14ac:dyDescent="0.2">
      <c r="CV149" s="328" t="str">
        <f ca="1">'Week 6'!BY5</f>
        <v xml:space="preserve">   var w6_p2_picks         = [];</v>
      </c>
    </row>
    <row r="150" spans="100:100" x14ac:dyDescent="0.2">
      <c r="CV150" s="328" t="str">
        <f ca="1">'Week 6'!BY6</f>
        <v xml:space="preserve">   var w6_p3_picks         = [];</v>
      </c>
    </row>
    <row r="151" spans="100:100" x14ac:dyDescent="0.2">
      <c r="CV151" s="328" t="str">
        <f ca="1">'Week 6'!BY7</f>
        <v xml:space="preserve">   var w6_p4_picks         = [];</v>
      </c>
    </row>
    <row r="152" spans="100:100" x14ac:dyDescent="0.2">
      <c r="CV152" s="328" t="str">
        <f ca="1">'Week 6'!BY8</f>
        <v xml:space="preserve">   var w6_p5_picks         = [];</v>
      </c>
    </row>
    <row r="153" spans="100:100" x14ac:dyDescent="0.2">
      <c r="CV153" s="328" t="str">
        <f ca="1">'Week 6'!BY9</f>
        <v xml:space="preserve">   var w6_p6_picks         = [];</v>
      </c>
    </row>
    <row r="154" spans="100:100" x14ac:dyDescent="0.2">
      <c r="CV154" s="328" t="str">
        <f ca="1">'Week 6'!BY10</f>
        <v xml:space="preserve">   var w6_p7_picks         = [];</v>
      </c>
    </row>
    <row r="155" spans="100:100" x14ac:dyDescent="0.2">
      <c r="CV155" s="328" t="str">
        <f ca="1">'Week 6'!BY11</f>
        <v xml:space="preserve">   var w6_p8_picks         = [];</v>
      </c>
    </row>
    <row r="156" spans="100:100" x14ac:dyDescent="0.2">
      <c r="CV156" s="328" t="str">
        <f ca="1">'Week 6'!BY12</f>
        <v xml:space="preserve">   var w6_p9_picks         = [];</v>
      </c>
    </row>
    <row r="157" spans="100:100" x14ac:dyDescent="0.2">
      <c r="CV157" s="328" t="str">
        <f ca="1">'Week 6'!BY13</f>
        <v xml:space="preserve">   var w6_p10_picks        = [];</v>
      </c>
    </row>
    <row r="158" spans="100:100" x14ac:dyDescent="0.2">
      <c r="CV158" s="328" t="str">
        <f ca="1">'Week 6'!BY14</f>
        <v xml:space="preserve">   var w6_p11_picks        = [];</v>
      </c>
    </row>
    <row r="159" spans="100:100" x14ac:dyDescent="0.2">
      <c r="CV159" s="328" t="str">
        <f ca="1">'Week 6'!BY15</f>
        <v xml:space="preserve">   var w6_p12_picks        = [];</v>
      </c>
    </row>
    <row r="160" spans="100:100" x14ac:dyDescent="0.2">
      <c r="CV160" s="328" t="str">
        <f ca="1">'Week 6'!BY16</f>
        <v xml:space="preserve">   var w6_p1_weights       = [];</v>
      </c>
    </row>
    <row r="161" spans="100:100" x14ac:dyDescent="0.2">
      <c r="CV161" s="328" t="str">
        <f ca="1">'Week 6'!BY17</f>
        <v xml:space="preserve">   var w6_p2_weights       = [];</v>
      </c>
    </row>
    <row r="162" spans="100:100" x14ac:dyDescent="0.2">
      <c r="CV162" s="328" t="str">
        <f ca="1">'Week 6'!BY18</f>
        <v xml:space="preserve">   var w6_p3_weights       = [];</v>
      </c>
    </row>
    <row r="163" spans="100:100" x14ac:dyDescent="0.2">
      <c r="CV163" s="328" t="str">
        <f ca="1">'Week 6'!BY19</f>
        <v xml:space="preserve">   var w6_p4_weights       = [];</v>
      </c>
    </row>
    <row r="164" spans="100:100" x14ac:dyDescent="0.2">
      <c r="CV164" s="328" t="str">
        <f ca="1">'Week 6'!BY20</f>
        <v xml:space="preserve">   var w6_p5_weights       = [];</v>
      </c>
    </row>
    <row r="165" spans="100:100" x14ac:dyDescent="0.2">
      <c r="CV165" s="328" t="str">
        <f ca="1">'Week 6'!BY21</f>
        <v xml:space="preserve">   var w6_p6_weights       = [];</v>
      </c>
    </row>
    <row r="166" spans="100:100" x14ac:dyDescent="0.2">
      <c r="CV166" s="328" t="str">
        <f ca="1">'Week 6'!BY22</f>
        <v xml:space="preserve">   var w6_p7_weights       = [];</v>
      </c>
    </row>
    <row r="167" spans="100:100" x14ac:dyDescent="0.2">
      <c r="CV167" s="328" t="str">
        <f ca="1">'Week 6'!BY23</f>
        <v xml:space="preserve">   var w6_p8_weights       = [];</v>
      </c>
    </row>
    <row r="168" spans="100:100" x14ac:dyDescent="0.2">
      <c r="CV168" s="328" t="str">
        <f ca="1">'Week 6'!BY24</f>
        <v xml:space="preserve">   var w6_p9_weights       = [];</v>
      </c>
    </row>
    <row r="169" spans="100:100" x14ac:dyDescent="0.2">
      <c r="CV169" s="328" t="str">
        <f ca="1">'Week 6'!BY25</f>
        <v xml:space="preserve">   var w6_p10_weights      = [];</v>
      </c>
    </row>
    <row r="170" spans="100:100" x14ac:dyDescent="0.2">
      <c r="CV170" s="328" t="str">
        <f ca="1">'Week 6'!BY26</f>
        <v xml:space="preserve">   var w6_p11_weights      = [];</v>
      </c>
    </row>
    <row r="171" spans="100:100" x14ac:dyDescent="0.2">
      <c r="CV171" s="328" t="str">
        <f ca="1">'Week 6'!BY27</f>
        <v xml:space="preserve">   var w6_p12_weights      = [];</v>
      </c>
    </row>
    <row r="172" spans="100:100" x14ac:dyDescent="0.2">
      <c r="CV172" s="328" t="str">
        <f ca="1">'Week 6'!BY28</f>
        <v xml:space="preserve">   var w6_winners          = [];</v>
      </c>
    </row>
    <row r="173" spans="100:100" x14ac:dyDescent="0.2">
      <c r="CV173" s="328" t="str">
        <f ca="1">'Week 6'!BY29</f>
        <v xml:space="preserve">   var w6_mn_points        = ["","","","","","","","","","","",""];</v>
      </c>
    </row>
    <row r="174" spans="100:100" x14ac:dyDescent="0.2">
      <c r="CV174" s="328" t="str">
        <f ca="1">'Week 6'!BY30</f>
        <v xml:space="preserve">   var w6_actual_mn_points = 0;</v>
      </c>
    </row>
    <row r="175" spans="100:100" x14ac:dyDescent="0.2">
      <c r="CV175" s="328"/>
    </row>
    <row r="176" spans="100:100" x14ac:dyDescent="0.2">
      <c r="CV176" s="328" t="str">
        <f ca="1">'Week 7'!BY4</f>
        <v xml:space="preserve">   var w7_p1_picks         = [];</v>
      </c>
    </row>
    <row r="177" spans="100:100" x14ac:dyDescent="0.2">
      <c r="CV177" s="328" t="str">
        <f ca="1">'Week 7'!BY5</f>
        <v xml:space="preserve">   var w7_p2_picks         = [];</v>
      </c>
    </row>
    <row r="178" spans="100:100" x14ac:dyDescent="0.2">
      <c r="CV178" s="328" t="str">
        <f ca="1">'Week 7'!BY6</f>
        <v xml:space="preserve">   var w7_p3_picks         = [];</v>
      </c>
    </row>
    <row r="179" spans="100:100" x14ac:dyDescent="0.2">
      <c r="CV179" s="328" t="str">
        <f ca="1">'Week 7'!BY7</f>
        <v xml:space="preserve">   var w7_p4_picks         = [];</v>
      </c>
    </row>
    <row r="180" spans="100:100" x14ac:dyDescent="0.2">
      <c r="CV180" s="328" t="str">
        <f ca="1">'Week 7'!BY8</f>
        <v xml:space="preserve">   var w7_p5_picks         = [];</v>
      </c>
    </row>
    <row r="181" spans="100:100" x14ac:dyDescent="0.2">
      <c r="CV181" s="328" t="str">
        <f ca="1">'Week 7'!BY9</f>
        <v xml:space="preserve">   var w7_p6_picks         = [];</v>
      </c>
    </row>
    <row r="182" spans="100:100" x14ac:dyDescent="0.2">
      <c r="CV182" s="328" t="str">
        <f ca="1">'Week 7'!BY10</f>
        <v xml:space="preserve">   var w7_p7_picks         = [];</v>
      </c>
    </row>
    <row r="183" spans="100:100" x14ac:dyDescent="0.2">
      <c r="CV183" s="328" t="str">
        <f ca="1">'Week 7'!BY11</f>
        <v xml:space="preserve">   var w7_p8_picks         = [];</v>
      </c>
    </row>
    <row r="184" spans="100:100" x14ac:dyDescent="0.2">
      <c r="CV184" s="328" t="str">
        <f ca="1">'Week 7'!BY12</f>
        <v xml:space="preserve">   var w7_p9_picks         = [];</v>
      </c>
    </row>
    <row r="185" spans="100:100" x14ac:dyDescent="0.2">
      <c r="CV185" s="328" t="str">
        <f ca="1">'Week 7'!BY13</f>
        <v xml:space="preserve">   var w7_p10_picks        = [];</v>
      </c>
    </row>
    <row r="186" spans="100:100" x14ac:dyDescent="0.2">
      <c r="CV186" s="328" t="str">
        <f ca="1">'Week 7'!BY14</f>
        <v xml:space="preserve">   var w7_p11_picks        = [];</v>
      </c>
    </row>
    <row r="187" spans="100:100" x14ac:dyDescent="0.2">
      <c r="CV187" s="328" t="str">
        <f ca="1">'Week 7'!BY15</f>
        <v xml:space="preserve">   var w7_p12_picks        = [];</v>
      </c>
    </row>
    <row r="188" spans="100:100" x14ac:dyDescent="0.2">
      <c r="CV188" s="328" t="str">
        <f ca="1">'Week 7'!BY16</f>
        <v xml:space="preserve">   var w7_p1_weights       = [];</v>
      </c>
    </row>
    <row r="189" spans="100:100" x14ac:dyDescent="0.2">
      <c r="CV189" s="328" t="str">
        <f ca="1">'Week 7'!BY17</f>
        <v xml:space="preserve">   var w7_p2_weights       = [];</v>
      </c>
    </row>
    <row r="190" spans="100:100" x14ac:dyDescent="0.2">
      <c r="CV190" s="328" t="str">
        <f ca="1">'Week 7'!BY18</f>
        <v xml:space="preserve">   var w7_p3_weights       = [];</v>
      </c>
    </row>
    <row r="191" spans="100:100" x14ac:dyDescent="0.2">
      <c r="CV191" s="328" t="str">
        <f ca="1">'Week 7'!BY19</f>
        <v xml:space="preserve">   var w7_p4_weights       = [];</v>
      </c>
    </row>
    <row r="192" spans="100:100" x14ac:dyDescent="0.2">
      <c r="CV192" s="328" t="str">
        <f ca="1">'Week 7'!BY20</f>
        <v xml:space="preserve">   var w7_p5_weights       = [];</v>
      </c>
    </row>
    <row r="193" spans="100:100" x14ac:dyDescent="0.2">
      <c r="CV193" s="328" t="str">
        <f ca="1">'Week 7'!BY21</f>
        <v xml:space="preserve">   var w7_p6_weights       = [];</v>
      </c>
    </row>
    <row r="194" spans="100:100" x14ac:dyDescent="0.2">
      <c r="CV194" s="328" t="str">
        <f ca="1">'Week 7'!BY22</f>
        <v xml:space="preserve">   var w7_p7_weights       = [];</v>
      </c>
    </row>
    <row r="195" spans="100:100" x14ac:dyDescent="0.2">
      <c r="CV195" s="328" t="str">
        <f ca="1">'Week 7'!BY23</f>
        <v xml:space="preserve">   var w7_p8_weights       = [];</v>
      </c>
    </row>
    <row r="196" spans="100:100" x14ac:dyDescent="0.2">
      <c r="CV196" s="328" t="str">
        <f ca="1">'Week 7'!BY24</f>
        <v xml:space="preserve">   var w7_p9_weights       = [];</v>
      </c>
    </row>
    <row r="197" spans="100:100" x14ac:dyDescent="0.2">
      <c r="CV197" s="328" t="str">
        <f ca="1">'Week 7'!BY25</f>
        <v xml:space="preserve">   var w7_p10_weights      = [];</v>
      </c>
    </row>
    <row r="198" spans="100:100" x14ac:dyDescent="0.2">
      <c r="CV198" s="328" t="str">
        <f ca="1">'Week 7'!BY26</f>
        <v xml:space="preserve">   var w7_p11_weights      = [];</v>
      </c>
    </row>
    <row r="199" spans="100:100" x14ac:dyDescent="0.2">
      <c r="CV199" s="328" t="str">
        <f ca="1">'Week 7'!BY27</f>
        <v xml:space="preserve">   var w7_p12_weights      = [];</v>
      </c>
    </row>
    <row r="200" spans="100:100" x14ac:dyDescent="0.2">
      <c r="CV200" s="328" t="str">
        <f ca="1">'Week 7'!BY28</f>
        <v xml:space="preserve">   var w7_winners          = [];</v>
      </c>
    </row>
    <row r="201" spans="100:100" x14ac:dyDescent="0.2">
      <c r="CV201" s="328" t="str">
        <f ca="1">'Week 7'!BY29</f>
        <v xml:space="preserve">   var w7_mn_points        = ["","","","","","","","","","","",""];</v>
      </c>
    </row>
    <row r="202" spans="100:100" x14ac:dyDescent="0.2">
      <c r="CV202" s="328" t="str">
        <f ca="1">'Week 7'!BY30</f>
        <v xml:space="preserve">   var w7_actual_mn_points = 0;</v>
      </c>
    </row>
    <row r="203" spans="100:100" x14ac:dyDescent="0.2">
      <c r="CV203" s="328"/>
    </row>
    <row r="204" spans="100:100" x14ac:dyDescent="0.2">
      <c r="CV204" s="328" t="str">
        <f ca="1">'Week 8'!BY4</f>
        <v xml:space="preserve">   var w8_p1_picks         = [];</v>
      </c>
    </row>
    <row r="205" spans="100:100" x14ac:dyDescent="0.2">
      <c r="CV205" s="328" t="str">
        <f ca="1">'Week 8'!BY5</f>
        <v xml:space="preserve">   var w8_p2_picks         = [];</v>
      </c>
    </row>
    <row r="206" spans="100:100" x14ac:dyDescent="0.2">
      <c r="CV206" s="328" t="str">
        <f ca="1">'Week 8'!BY6</f>
        <v xml:space="preserve">   var w8_p3_picks         = [];</v>
      </c>
    </row>
    <row r="207" spans="100:100" x14ac:dyDescent="0.2">
      <c r="CV207" s="328" t="str">
        <f ca="1">'Week 8'!BY7</f>
        <v xml:space="preserve">   var w8_p4_picks         = [];</v>
      </c>
    </row>
    <row r="208" spans="100:100" x14ac:dyDescent="0.2">
      <c r="CV208" s="328" t="str">
        <f ca="1">'Week 8'!BY8</f>
        <v xml:space="preserve">   var w8_p5_picks         = [];</v>
      </c>
    </row>
    <row r="209" spans="100:100" x14ac:dyDescent="0.2">
      <c r="CV209" s="328" t="str">
        <f ca="1">'Week 8'!BY9</f>
        <v xml:space="preserve">   var w8_p6_picks         = [];</v>
      </c>
    </row>
    <row r="210" spans="100:100" x14ac:dyDescent="0.2">
      <c r="CV210" s="328" t="str">
        <f ca="1">'Week 8'!BY10</f>
        <v xml:space="preserve">   var w8_p7_picks         = [];</v>
      </c>
    </row>
    <row r="211" spans="100:100" x14ac:dyDescent="0.2">
      <c r="CV211" s="328" t="str">
        <f ca="1">'Week 8'!BY11</f>
        <v xml:space="preserve">   var w8_p8_picks         = [];</v>
      </c>
    </row>
    <row r="212" spans="100:100" x14ac:dyDescent="0.2">
      <c r="CV212" s="328" t="str">
        <f ca="1">'Week 8'!BY12</f>
        <v xml:space="preserve">   var w8_p9_picks         = [];</v>
      </c>
    </row>
    <row r="213" spans="100:100" x14ac:dyDescent="0.2">
      <c r="CV213" s="328" t="str">
        <f ca="1">'Week 8'!BY13</f>
        <v xml:space="preserve">   var w8_p10_picks        = [];</v>
      </c>
    </row>
    <row r="214" spans="100:100" x14ac:dyDescent="0.2">
      <c r="CV214" s="328" t="str">
        <f ca="1">'Week 8'!BY14</f>
        <v xml:space="preserve">   var w8_p11_picks        = [];</v>
      </c>
    </row>
    <row r="215" spans="100:100" x14ac:dyDescent="0.2">
      <c r="CV215" s="328" t="str">
        <f ca="1">'Week 8'!BY15</f>
        <v xml:space="preserve">   var w8_p12_picks        = [];</v>
      </c>
    </row>
    <row r="216" spans="100:100" x14ac:dyDescent="0.2">
      <c r="CV216" s="328" t="str">
        <f ca="1">'Week 8'!BY16</f>
        <v xml:space="preserve">   var w8_p1_weights       = [];</v>
      </c>
    </row>
    <row r="217" spans="100:100" x14ac:dyDescent="0.2">
      <c r="CV217" s="328" t="str">
        <f ca="1">'Week 8'!BY17</f>
        <v xml:space="preserve">   var w8_p2_weights       = [];</v>
      </c>
    </row>
    <row r="218" spans="100:100" x14ac:dyDescent="0.2">
      <c r="CV218" s="328" t="str">
        <f ca="1">'Week 8'!BY18</f>
        <v xml:space="preserve">   var w8_p3_weights       = [];</v>
      </c>
    </row>
    <row r="219" spans="100:100" x14ac:dyDescent="0.2">
      <c r="CV219" s="328" t="str">
        <f ca="1">'Week 8'!BY19</f>
        <v xml:space="preserve">   var w8_p4_weights       = [];</v>
      </c>
    </row>
    <row r="220" spans="100:100" x14ac:dyDescent="0.2">
      <c r="CV220" s="328" t="str">
        <f ca="1">'Week 8'!BY20</f>
        <v xml:space="preserve">   var w8_p5_weights       = [];</v>
      </c>
    </row>
    <row r="221" spans="100:100" x14ac:dyDescent="0.2">
      <c r="CV221" s="328" t="str">
        <f ca="1">'Week 8'!BY21</f>
        <v xml:space="preserve">   var w8_p6_weights       = [];</v>
      </c>
    </row>
    <row r="222" spans="100:100" x14ac:dyDescent="0.2">
      <c r="CV222" s="328" t="str">
        <f ca="1">'Week 8'!BY22</f>
        <v xml:space="preserve">   var w8_p7_weights       = [];</v>
      </c>
    </row>
    <row r="223" spans="100:100" x14ac:dyDescent="0.2">
      <c r="CV223" s="328" t="str">
        <f ca="1">'Week 8'!BY23</f>
        <v xml:space="preserve">   var w8_p8_weights       = [];</v>
      </c>
    </row>
    <row r="224" spans="100:100" x14ac:dyDescent="0.2">
      <c r="CV224" s="328" t="str">
        <f ca="1">'Week 8'!BY24</f>
        <v xml:space="preserve">   var w8_p9_weights       = [];</v>
      </c>
    </row>
    <row r="225" spans="100:100" x14ac:dyDescent="0.2">
      <c r="CV225" s="328" t="str">
        <f ca="1">'Week 8'!BY25</f>
        <v xml:space="preserve">   var w8_p10_weights      = [];</v>
      </c>
    </row>
    <row r="226" spans="100:100" x14ac:dyDescent="0.2">
      <c r="CV226" s="328" t="str">
        <f ca="1">'Week 8'!BY26</f>
        <v xml:space="preserve">   var w8_p11_weights      = [];</v>
      </c>
    </row>
    <row r="227" spans="100:100" x14ac:dyDescent="0.2">
      <c r="CV227" s="328" t="str">
        <f ca="1">'Week 8'!BY27</f>
        <v xml:space="preserve">   var w8_p12_weights      = [];</v>
      </c>
    </row>
    <row r="228" spans="100:100" x14ac:dyDescent="0.2">
      <c r="CV228" s="328" t="str">
        <f ca="1">'Week 8'!BY28</f>
        <v xml:space="preserve">   var w8_winners          = [];</v>
      </c>
    </row>
    <row r="229" spans="100:100" x14ac:dyDescent="0.2">
      <c r="CV229" s="328" t="str">
        <f ca="1">'Week 8'!BY29</f>
        <v xml:space="preserve">   var w8_mn_points        = ["","","","","","","","","","","",""];</v>
      </c>
    </row>
    <row r="230" spans="100:100" x14ac:dyDescent="0.2">
      <c r="CV230" s="328" t="str">
        <f ca="1">'Week 8'!BY30</f>
        <v xml:space="preserve">   var w8_actual_mn_points = 0;</v>
      </c>
    </row>
    <row r="231" spans="100:100" x14ac:dyDescent="0.2">
      <c r="CV231" s="328"/>
    </row>
    <row r="232" spans="100:100" x14ac:dyDescent="0.2">
      <c r="CV232" s="328" t="str">
        <f ca="1">'Week 9'!BY4</f>
        <v xml:space="preserve">   var w9_p1_picks         = [];</v>
      </c>
    </row>
    <row r="233" spans="100:100" x14ac:dyDescent="0.2">
      <c r="CV233" s="328" t="str">
        <f ca="1">'Week 9'!BY5</f>
        <v xml:space="preserve">   var w9_p2_picks         = [];</v>
      </c>
    </row>
    <row r="234" spans="100:100" x14ac:dyDescent="0.2">
      <c r="CV234" s="328" t="str">
        <f ca="1">'Week 9'!BY6</f>
        <v xml:space="preserve">   var w9_p3_picks         = [];</v>
      </c>
    </row>
    <row r="235" spans="100:100" x14ac:dyDescent="0.2">
      <c r="CV235" s="328" t="str">
        <f ca="1">'Week 9'!BY7</f>
        <v xml:space="preserve">   var w9_p4_picks         = [];</v>
      </c>
    </row>
    <row r="236" spans="100:100" x14ac:dyDescent="0.2">
      <c r="CV236" s="328" t="str">
        <f ca="1">'Week 9'!BY8</f>
        <v xml:space="preserve">   var w9_p5_picks         = [];</v>
      </c>
    </row>
    <row r="237" spans="100:100" x14ac:dyDescent="0.2">
      <c r="CV237" s="328" t="str">
        <f ca="1">'Week 9'!BY9</f>
        <v xml:space="preserve">   var w9_p6_picks         = [];</v>
      </c>
    </row>
    <row r="238" spans="100:100" x14ac:dyDescent="0.2">
      <c r="CV238" s="328" t="str">
        <f ca="1">'Week 9'!BY10</f>
        <v xml:space="preserve">   var w9_p7_picks         = [];</v>
      </c>
    </row>
    <row r="239" spans="100:100" x14ac:dyDescent="0.2">
      <c r="CV239" s="328" t="str">
        <f ca="1">'Week 9'!BY11</f>
        <v xml:space="preserve">   var w9_p8_picks         = [];</v>
      </c>
    </row>
    <row r="240" spans="100:100" x14ac:dyDescent="0.2">
      <c r="CV240" s="328" t="str">
        <f ca="1">'Week 9'!BY12</f>
        <v xml:space="preserve">   var w9_p9_picks         = [];</v>
      </c>
    </row>
    <row r="241" spans="100:100" x14ac:dyDescent="0.2">
      <c r="CV241" s="328" t="str">
        <f ca="1">'Week 9'!BY13</f>
        <v xml:space="preserve">   var w9_p10_picks        = [];</v>
      </c>
    </row>
    <row r="242" spans="100:100" x14ac:dyDescent="0.2">
      <c r="CV242" s="328" t="str">
        <f ca="1">'Week 9'!BY14</f>
        <v xml:space="preserve">   var w9_p11_picks        = [];</v>
      </c>
    </row>
    <row r="243" spans="100:100" x14ac:dyDescent="0.2">
      <c r="CV243" s="328" t="str">
        <f ca="1">'Week 9'!BY15</f>
        <v xml:space="preserve">   var w9_p12_picks        = [];</v>
      </c>
    </row>
    <row r="244" spans="100:100" x14ac:dyDescent="0.2">
      <c r="CV244" s="328" t="str">
        <f ca="1">'Week 9'!BY16</f>
        <v xml:space="preserve">   var w9_p1_weights       = [];</v>
      </c>
    </row>
    <row r="245" spans="100:100" x14ac:dyDescent="0.2">
      <c r="CV245" s="328" t="str">
        <f ca="1">'Week 9'!BY17</f>
        <v xml:space="preserve">   var w9_p2_weights       = [];</v>
      </c>
    </row>
    <row r="246" spans="100:100" x14ac:dyDescent="0.2">
      <c r="CV246" s="328" t="str">
        <f ca="1">'Week 9'!BY18</f>
        <v xml:space="preserve">   var w9_p3_weights       = [];</v>
      </c>
    </row>
    <row r="247" spans="100:100" x14ac:dyDescent="0.2">
      <c r="CV247" s="328" t="str">
        <f ca="1">'Week 9'!BY19</f>
        <v xml:space="preserve">   var w9_p4_weights       = [];</v>
      </c>
    </row>
    <row r="248" spans="100:100" x14ac:dyDescent="0.2">
      <c r="CV248" s="328" t="str">
        <f ca="1">'Week 9'!BY20</f>
        <v xml:space="preserve">   var w9_p5_weights       = [];</v>
      </c>
    </row>
    <row r="249" spans="100:100" x14ac:dyDescent="0.2">
      <c r="CV249" s="328" t="str">
        <f ca="1">'Week 9'!BY21</f>
        <v xml:space="preserve">   var w9_p6_weights       = [];</v>
      </c>
    </row>
    <row r="250" spans="100:100" x14ac:dyDescent="0.2">
      <c r="CV250" s="328" t="str">
        <f ca="1">'Week 9'!BY22</f>
        <v xml:space="preserve">   var w9_p7_weights       = [];</v>
      </c>
    </row>
    <row r="251" spans="100:100" x14ac:dyDescent="0.2">
      <c r="CV251" s="328" t="str">
        <f ca="1">'Week 9'!BY23</f>
        <v xml:space="preserve">   var w9_p8_weights       = [];</v>
      </c>
    </row>
    <row r="252" spans="100:100" x14ac:dyDescent="0.2">
      <c r="CV252" s="328" t="str">
        <f ca="1">'Week 9'!BY24</f>
        <v xml:space="preserve">   var w9_p9_weights       = [];</v>
      </c>
    </row>
    <row r="253" spans="100:100" x14ac:dyDescent="0.2">
      <c r="CV253" s="328" t="str">
        <f ca="1">'Week 9'!BY25</f>
        <v xml:space="preserve">   var w9_p10_weights      = [];</v>
      </c>
    </row>
    <row r="254" spans="100:100" x14ac:dyDescent="0.2">
      <c r="CV254" s="328" t="str">
        <f ca="1">'Week 9'!BY26</f>
        <v xml:space="preserve">   var w9_p11_weights      = [];</v>
      </c>
    </row>
    <row r="255" spans="100:100" x14ac:dyDescent="0.2">
      <c r="CV255" s="328" t="str">
        <f ca="1">'Week 9'!BY27</f>
        <v xml:space="preserve">   var w9_p12_weights      = [];</v>
      </c>
    </row>
    <row r="256" spans="100:100" x14ac:dyDescent="0.2">
      <c r="CV256" s="328" t="str">
        <f ca="1">'Week 9'!BY28</f>
        <v xml:space="preserve">   var w9_winners          = [];</v>
      </c>
    </row>
    <row r="257" spans="100:100" x14ac:dyDescent="0.2">
      <c r="CV257" s="328" t="str">
        <f ca="1">'Week 9'!BY29</f>
        <v xml:space="preserve">   var w9_mn_points        = ["","","","","","","","","","","",""];</v>
      </c>
    </row>
    <row r="258" spans="100:100" x14ac:dyDescent="0.2">
      <c r="CV258" s="328" t="str">
        <f ca="1">'Week 9'!BY30</f>
        <v xml:space="preserve">   var w9_actual_mn_points = 0;</v>
      </c>
    </row>
    <row r="259" spans="100:100" x14ac:dyDescent="0.2">
      <c r="CV259" s="328"/>
    </row>
    <row r="260" spans="100:100" x14ac:dyDescent="0.2">
      <c r="CV260" s="328" t="str">
        <f ca="1">'Week 10'!BY4</f>
        <v xml:space="preserve">   var w10_p1_picks         = [];</v>
      </c>
    </row>
    <row r="261" spans="100:100" x14ac:dyDescent="0.2">
      <c r="CV261" s="328" t="str">
        <f ca="1">'Week 10'!BY5</f>
        <v xml:space="preserve">   var w10_p2_picks         = [];</v>
      </c>
    </row>
    <row r="262" spans="100:100" x14ac:dyDescent="0.2">
      <c r="CV262" s="328" t="str">
        <f ca="1">'Week 10'!BY6</f>
        <v xml:space="preserve">   var w10_p3_picks         = [];</v>
      </c>
    </row>
    <row r="263" spans="100:100" x14ac:dyDescent="0.2">
      <c r="CV263" s="328" t="str">
        <f ca="1">'Week 10'!BY7</f>
        <v xml:space="preserve">   var w10_p4_picks         = [];</v>
      </c>
    </row>
    <row r="264" spans="100:100" x14ac:dyDescent="0.2">
      <c r="CV264" s="328" t="str">
        <f ca="1">'Week 10'!BY8</f>
        <v xml:space="preserve">   var w10_p5_picks         = [];</v>
      </c>
    </row>
    <row r="265" spans="100:100" x14ac:dyDescent="0.2">
      <c r="CV265" s="328" t="str">
        <f ca="1">'Week 10'!BY9</f>
        <v xml:space="preserve">   var w10_p6_picks         = [];</v>
      </c>
    </row>
    <row r="266" spans="100:100" x14ac:dyDescent="0.2">
      <c r="CV266" s="328" t="str">
        <f ca="1">'Week 10'!BY10</f>
        <v xml:space="preserve">   var w10_p7_picks         = [];</v>
      </c>
    </row>
    <row r="267" spans="100:100" x14ac:dyDescent="0.2">
      <c r="CV267" s="328" t="str">
        <f ca="1">'Week 10'!BY11</f>
        <v xml:space="preserve">   var w10_p8_picks         = [];</v>
      </c>
    </row>
    <row r="268" spans="100:100" x14ac:dyDescent="0.2">
      <c r="CV268" s="328" t="str">
        <f ca="1">'Week 10'!BY12</f>
        <v xml:space="preserve">   var w10_p9_picks         = [];</v>
      </c>
    </row>
    <row r="269" spans="100:100" x14ac:dyDescent="0.2">
      <c r="CV269" s="328" t="str">
        <f ca="1">'Week 10'!BY13</f>
        <v xml:space="preserve">   var w10_p10_picks        = [];</v>
      </c>
    </row>
    <row r="270" spans="100:100" x14ac:dyDescent="0.2">
      <c r="CV270" s="328" t="str">
        <f ca="1">'Week 10'!BY14</f>
        <v xml:space="preserve">   var w10_p11_picks        = [];</v>
      </c>
    </row>
    <row r="271" spans="100:100" x14ac:dyDescent="0.2">
      <c r="CV271" s="328" t="str">
        <f ca="1">'Week 10'!BY15</f>
        <v xml:space="preserve">   var w10_p12_picks        = [];</v>
      </c>
    </row>
    <row r="272" spans="100:100" x14ac:dyDescent="0.2">
      <c r="CV272" s="328" t="str">
        <f ca="1">'Week 10'!BY16</f>
        <v xml:space="preserve">   var w10_p1_weights       = [];</v>
      </c>
    </row>
    <row r="273" spans="100:100" x14ac:dyDescent="0.2">
      <c r="CV273" s="328" t="str">
        <f ca="1">'Week 10'!BY17</f>
        <v xml:space="preserve">   var w10_p2_weights       = [];</v>
      </c>
    </row>
    <row r="274" spans="100:100" x14ac:dyDescent="0.2">
      <c r="CV274" s="328" t="str">
        <f ca="1">'Week 10'!BY18</f>
        <v xml:space="preserve">   var w10_p3_weights       = [];</v>
      </c>
    </row>
    <row r="275" spans="100:100" x14ac:dyDescent="0.2">
      <c r="CV275" s="328" t="str">
        <f ca="1">'Week 10'!BY19</f>
        <v xml:space="preserve">   var w10_p4_weights       = [];</v>
      </c>
    </row>
    <row r="276" spans="100:100" x14ac:dyDescent="0.2">
      <c r="CV276" s="328" t="str">
        <f ca="1">'Week 10'!BY20</f>
        <v xml:space="preserve">   var w10_p5_weights       = [];</v>
      </c>
    </row>
    <row r="277" spans="100:100" x14ac:dyDescent="0.2">
      <c r="CV277" s="328" t="str">
        <f ca="1">'Week 10'!BY21</f>
        <v xml:space="preserve">   var w10_p6_weights       = [];</v>
      </c>
    </row>
    <row r="278" spans="100:100" x14ac:dyDescent="0.2">
      <c r="CV278" s="328" t="str">
        <f ca="1">'Week 10'!BY22</f>
        <v xml:space="preserve">   var w10_p7_weights       = [];</v>
      </c>
    </row>
    <row r="279" spans="100:100" x14ac:dyDescent="0.2">
      <c r="CV279" s="328" t="str">
        <f ca="1">'Week 10'!BY23</f>
        <v xml:space="preserve">   var w10_p8_weights       = [];</v>
      </c>
    </row>
    <row r="280" spans="100:100" x14ac:dyDescent="0.2">
      <c r="CV280" s="328" t="str">
        <f ca="1">'Week 10'!BY24</f>
        <v xml:space="preserve">   var w10_p9_weights       = [];</v>
      </c>
    </row>
    <row r="281" spans="100:100" x14ac:dyDescent="0.2">
      <c r="CV281" s="328" t="str">
        <f ca="1">'Week 10'!BY25</f>
        <v xml:space="preserve">   var w10_p10_weights      = [];</v>
      </c>
    </row>
    <row r="282" spans="100:100" x14ac:dyDescent="0.2">
      <c r="CV282" s="328" t="str">
        <f ca="1">'Week 10'!BY26</f>
        <v xml:space="preserve">   var w10_p11_weights      = [];</v>
      </c>
    </row>
    <row r="283" spans="100:100" x14ac:dyDescent="0.2">
      <c r="CV283" s="328" t="str">
        <f ca="1">'Week 10'!BY27</f>
        <v xml:space="preserve">   var w10_p12_weights      = [];</v>
      </c>
    </row>
    <row r="284" spans="100:100" x14ac:dyDescent="0.2">
      <c r="CV284" s="328" t="str">
        <f ca="1">'Week 10'!BY28</f>
        <v xml:space="preserve">   var w10_winners          = [];</v>
      </c>
    </row>
    <row r="285" spans="100:100" x14ac:dyDescent="0.2">
      <c r="CV285" s="328" t="str">
        <f ca="1">'Week 10'!BY29</f>
        <v xml:space="preserve">   var w10_mn_points        = ["","","","","","","","","","","",""];</v>
      </c>
    </row>
    <row r="286" spans="100:100" x14ac:dyDescent="0.2">
      <c r="CV286" s="328" t="str">
        <f ca="1">'Week 10'!BY30</f>
        <v xml:space="preserve">   var w10_actual_mn_points = 0;</v>
      </c>
    </row>
    <row r="287" spans="100:100" x14ac:dyDescent="0.2">
      <c r="CV287" s="328"/>
    </row>
    <row r="288" spans="100:100" x14ac:dyDescent="0.2">
      <c r="CV288" s="328" t="str">
        <f ca="1">'Week 11'!BY4</f>
        <v xml:space="preserve">   var w11_p1_picks         = [];</v>
      </c>
    </row>
    <row r="289" spans="100:100" x14ac:dyDescent="0.2">
      <c r="CV289" s="328" t="str">
        <f ca="1">'Week 11'!BY5</f>
        <v xml:space="preserve">   var w11_p2_picks         = [];</v>
      </c>
    </row>
    <row r="290" spans="100:100" x14ac:dyDescent="0.2">
      <c r="CV290" s="328" t="str">
        <f ca="1">'Week 11'!BY6</f>
        <v xml:space="preserve">   var w11_p3_picks         = [];</v>
      </c>
    </row>
    <row r="291" spans="100:100" x14ac:dyDescent="0.2">
      <c r="CV291" s="328" t="str">
        <f ca="1">'Week 11'!BY7</f>
        <v xml:space="preserve">   var w11_p4_picks         = [];</v>
      </c>
    </row>
    <row r="292" spans="100:100" x14ac:dyDescent="0.2">
      <c r="CV292" s="328" t="str">
        <f ca="1">'Week 11'!BY8</f>
        <v xml:space="preserve">   var w11_p5_picks         = [];</v>
      </c>
    </row>
    <row r="293" spans="100:100" x14ac:dyDescent="0.2">
      <c r="CV293" s="328" t="str">
        <f ca="1">'Week 11'!BY9</f>
        <v xml:space="preserve">   var w11_p6_picks         = [];</v>
      </c>
    </row>
    <row r="294" spans="100:100" x14ac:dyDescent="0.2">
      <c r="CV294" s="328" t="str">
        <f ca="1">'Week 11'!BY10</f>
        <v xml:space="preserve">   var w11_p7_picks         = [];</v>
      </c>
    </row>
    <row r="295" spans="100:100" x14ac:dyDescent="0.2">
      <c r="CV295" s="328" t="str">
        <f ca="1">'Week 11'!BY11</f>
        <v xml:space="preserve">   var w11_p8_picks         = [];</v>
      </c>
    </row>
    <row r="296" spans="100:100" x14ac:dyDescent="0.2">
      <c r="CV296" s="328" t="str">
        <f ca="1">'Week 11'!BY12</f>
        <v xml:space="preserve">   var w11_p9_picks         = [];</v>
      </c>
    </row>
    <row r="297" spans="100:100" x14ac:dyDescent="0.2">
      <c r="CV297" s="328" t="str">
        <f ca="1">'Week 11'!BY13</f>
        <v xml:space="preserve">   var w11_p10_picks        = [];</v>
      </c>
    </row>
    <row r="298" spans="100:100" x14ac:dyDescent="0.2">
      <c r="CV298" s="328" t="str">
        <f ca="1">'Week 11'!BY14</f>
        <v xml:space="preserve">   var w11_p11_picks        = [];</v>
      </c>
    </row>
    <row r="299" spans="100:100" x14ac:dyDescent="0.2">
      <c r="CV299" s="328" t="str">
        <f ca="1">'Week 11'!BY15</f>
        <v xml:space="preserve">   var w11_p12_picks        = [];</v>
      </c>
    </row>
    <row r="300" spans="100:100" x14ac:dyDescent="0.2">
      <c r="CV300" s="328" t="str">
        <f ca="1">'Week 11'!BY16</f>
        <v xml:space="preserve">   var w11_p1_weights       = [];</v>
      </c>
    </row>
    <row r="301" spans="100:100" x14ac:dyDescent="0.2">
      <c r="CV301" s="328" t="str">
        <f ca="1">'Week 11'!BY17</f>
        <v xml:space="preserve">   var w11_p2_weights       = [];</v>
      </c>
    </row>
    <row r="302" spans="100:100" x14ac:dyDescent="0.2">
      <c r="CV302" s="328" t="str">
        <f ca="1">'Week 11'!BY18</f>
        <v xml:space="preserve">   var w11_p3_weights       = [];</v>
      </c>
    </row>
    <row r="303" spans="100:100" x14ac:dyDescent="0.2">
      <c r="CV303" s="328" t="str">
        <f ca="1">'Week 11'!BY19</f>
        <v xml:space="preserve">   var w11_p4_weights       = [];</v>
      </c>
    </row>
    <row r="304" spans="100:100" x14ac:dyDescent="0.2">
      <c r="CV304" s="328" t="str">
        <f ca="1">'Week 11'!BY20</f>
        <v xml:space="preserve">   var w11_p5_weights       = [];</v>
      </c>
    </row>
    <row r="305" spans="100:100" x14ac:dyDescent="0.2">
      <c r="CV305" s="328" t="str">
        <f ca="1">'Week 11'!BY21</f>
        <v xml:space="preserve">   var w11_p6_weights       = [];</v>
      </c>
    </row>
    <row r="306" spans="100:100" x14ac:dyDescent="0.2">
      <c r="CV306" s="328" t="str">
        <f ca="1">'Week 11'!BY22</f>
        <v xml:space="preserve">   var w11_p7_weights       = [];</v>
      </c>
    </row>
    <row r="307" spans="100:100" x14ac:dyDescent="0.2">
      <c r="CV307" s="328" t="str">
        <f ca="1">'Week 11'!BY23</f>
        <v xml:space="preserve">   var w11_p8_weights       = [];</v>
      </c>
    </row>
    <row r="308" spans="100:100" x14ac:dyDescent="0.2">
      <c r="CV308" s="328" t="str">
        <f ca="1">'Week 11'!BY24</f>
        <v xml:space="preserve">   var w11_p9_weights       = [];</v>
      </c>
    </row>
    <row r="309" spans="100:100" x14ac:dyDescent="0.2">
      <c r="CV309" s="328" t="str">
        <f ca="1">'Week 11'!BY25</f>
        <v xml:space="preserve">   var w11_p10_weights      = [];</v>
      </c>
    </row>
    <row r="310" spans="100:100" x14ac:dyDescent="0.2">
      <c r="CV310" s="328" t="str">
        <f ca="1">'Week 11'!BY26</f>
        <v xml:space="preserve">   var w11_p11_weights      = [];</v>
      </c>
    </row>
    <row r="311" spans="100:100" x14ac:dyDescent="0.2">
      <c r="CV311" s="328" t="str">
        <f ca="1">'Week 11'!BY27</f>
        <v xml:space="preserve">   var w11_p12_weights      = [];</v>
      </c>
    </row>
    <row r="312" spans="100:100" x14ac:dyDescent="0.2">
      <c r="CV312" s="328" t="str">
        <f ca="1">'Week 11'!BY28</f>
        <v xml:space="preserve">   var w11_winners          = [];</v>
      </c>
    </row>
    <row r="313" spans="100:100" x14ac:dyDescent="0.2">
      <c r="CV313" s="328" t="str">
        <f ca="1">'Week 11'!BY29</f>
        <v xml:space="preserve">   var w11_mn_points        = ["","","","","","","","","","","",""];</v>
      </c>
    </row>
    <row r="314" spans="100:100" x14ac:dyDescent="0.2">
      <c r="CV314" s="328" t="str">
        <f ca="1">'Week 11'!BY30</f>
        <v xml:space="preserve">   var w11_actual_mn_points = 0;</v>
      </c>
    </row>
    <row r="315" spans="100:100" x14ac:dyDescent="0.2">
      <c r="CV315" s="328"/>
    </row>
    <row r="316" spans="100:100" x14ac:dyDescent="0.2">
      <c r="CV316" s="328" t="str">
        <f ca="1">'Week 12'!BY4</f>
        <v xml:space="preserve">   var w12_p1_picks         = [];</v>
      </c>
    </row>
    <row r="317" spans="100:100" x14ac:dyDescent="0.2">
      <c r="CV317" s="328" t="str">
        <f ca="1">'Week 12'!BY5</f>
        <v xml:space="preserve">   var w12_p2_picks         = [];</v>
      </c>
    </row>
    <row r="318" spans="100:100" x14ac:dyDescent="0.2">
      <c r="CV318" s="328" t="str">
        <f ca="1">'Week 12'!BY6</f>
        <v xml:space="preserve">   var w12_p3_picks         = [];</v>
      </c>
    </row>
    <row r="319" spans="100:100" x14ac:dyDescent="0.2">
      <c r="CV319" s="328" t="str">
        <f ca="1">'Week 12'!BY7</f>
        <v xml:space="preserve">   var w12_p4_picks         = [];</v>
      </c>
    </row>
    <row r="320" spans="100:100" x14ac:dyDescent="0.2">
      <c r="CV320" s="328" t="str">
        <f ca="1">'Week 12'!BY8</f>
        <v xml:space="preserve">   var w12_p5_picks         = [];</v>
      </c>
    </row>
    <row r="321" spans="100:100" x14ac:dyDescent="0.2">
      <c r="CV321" s="328" t="str">
        <f ca="1">'Week 12'!BY9</f>
        <v xml:space="preserve">   var w12_p6_picks         = [];</v>
      </c>
    </row>
    <row r="322" spans="100:100" x14ac:dyDescent="0.2">
      <c r="CV322" s="328" t="str">
        <f ca="1">'Week 12'!BY10</f>
        <v xml:space="preserve">   var w12_p7_picks         = [];</v>
      </c>
    </row>
    <row r="323" spans="100:100" x14ac:dyDescent="0.2">
      <c r="CV323" s="328" t="str">
        <f ca="1">'Week 12'!BY11</f>
        <v xml:space="preserve">   var w12_p8_picks         = [];</v>
      </c>
    </row>
    <row r="324" spans="100:100" x14ac:dyDescent="0.2">
      <c r="CV324" s="328" t="str">
        <f ca="1">'Week 12'!BY12</f>
        <v xml:space="preserve">   var w12_p9_picks         = [];</v>
      </c>
    </row>
    <row r="325" spans="100:100" x14ac:dyDescent="0.2">
      <c r="CV325" s="328" t="str">
        <f ca="1">'Week 12'!BY13</f>
        <v xml:space="preserve">   var w12_p10_picks        = [];</v>
      </c>
    </row>
    <row r="326" spans="100:100" x14ac:dyDescent="0.2">
      <c r="CV326" s="328" t="str">
        <f ca="1">'Week 12'!BY14</f>
        <v xml:space="preserve">   var w12_p11_picks        = [];</v>
      </c>
    </row>
    <row r="327" spans="100:100" x14ac:dyDescent="0.2">
      <c r="CV327" s="328" t="str">
        <f ca="1">'Week 12'!BY15</f>
        <v xml:space="preserve">   var w12_p12_picks        = [];</v>
      </c>
    </row>
    <row r="328" spans="100:100" x14ac:dyDescent="0.2">
      <c r="CV328" s="328" t="str">
        <f ca="1">'Week 12'!BY16</f>
        <v xml:space="preserve">   var w12_p1_weights       = [];</v>
      </c>
    </row>
    <row r="329" spans="100:100" x14ac:dyDescent="0.2">
      <c r="CV329" s="328" t="str">
        <f ca="1">'Week 12'!BY17</f>
        <v xml:space="preserve">   var w12_p2_weights       = [];</v>
      </c>
    </row>
    <row r="330" spans="100:100" x14ac:dyDescent="0.2">
      <c r="CV330" s="328" t="str">
        <f ca="1">'Week 12'!BY18</f>
        <v xml:space="preserve">   var w12_p3_weights       = [];</v>
      </c>
    </row>
    <row r="331" spans="100:100" x14ac:dyDescent="0.2">
      <c r="CV331" s="328" t="str">
        <f ca="1">'Week 12'!BY19</f>
        <v xml:space="preserve">   var w12_p4_weights       = [];</v>
      </c>
    </row>
    <row r="332" spans="100:100" x14ac:dyDescent="0.2">
      <c r="CV332" s="328" t="str">
        <f ca="1">'Week 12'!BY20</f>
        <v xml:space="preserve">   var w12_p5_weights       = [];</v>
      </c>
    </row>
    <row r="333" spans="100:100" x14ac:dyDescent="0.2">
      <c r="CV333" s="328" t="str">
        <f ca="1">'Week 12'!BY21</f>
        <v xml:space="preserve">   var w12_p6_weights       = [];</v>
      </c>
    </row>
    <row r="334" spans="100:100" x14ac:dyDescent="0.2">
      <c r="CV334" s="328" t="str">
        <f ca="1">'Week 12'!BY22</f>
        <v xml:space="preserve">   var w12_p7_weights       = [];</v>
      </c>
    </row>
    <row r="335" spans="100:100" x14ac:dyDescent="0.2">
      <c r="CV335" s="328" t="str">
        <f ca="1">'Week 12'!BY23</f>
        <v xml:space="preserve">   var w12_p8_weights       = [];</v>
      </c>
    </row>
    <row r="336" spans="100:100" x14ac:dyDescent="0.2">
      <c r="CV336" s="328" t="str">
        <f ca="1">'Week 12'!BY24</f>
        <v xml:space="preserve">   var w12_p9_weights       = [];</v>
      </c>
    </row>
    <row r="337" spans="100:100" x14ac:dyDescent="0.2">
      <c r="CV337" s="328" t="str">
        <f ca="1">'Week 12'!BY25</f>
        <v xml:space="preserve">   var w12_p10_weights      = [];</v>
      </c>
    </row>
    <row r="338" spans="100:100" x14ac:dyDescent="0.2">
      <c r="CV338" s="328" t="str">
        <f ca="1">'Week 12'!BY26</f>
        <v xml:space="preserve">   var w12_p11_weights      = [];</v>
      </c>
    </row>
    <row r="339" spans="100:100" x14ac:dyDescent="0.2">
      <c r="CV339" s="328" t="str">
        <f ca="1">'Week 12'!BY27</f>
        <v xml:space="preserve">   var w12_p12_weights      = [];</v>
      </c>
    </row>
    <row r="340" spans="100:100" x14ac:dyDescent="0.2">
      <c r="CV340" s="328" t="str">
        <f ca="1">'Week 12'!BY28</f>
        <v xml:space="preserve">   var w12_winners          = [];</v>
      </c>
    </row>
    <row r="341" spans="100:100" x14ac:dyDescent="0.2">
      <c r="CV341" s="328" t="str">
        <f ca="1">'Week 12'!BY29</f>
        <v xml:space="preserve">   var w12_mn_points        = ["","","","","","","","","","","",""];</v>
      </c>
    </row>
    <row r="342" spans="100:100" x14ac:dyDescent="0.2">
      <c r="CV342" s="328" t="str">
        <f ca="1">'Week 12'!BY30</f>
        <v xml:space="preserve">   var w12_actual_mn_points = 0;</v>
      </c>
    </row>
    <row r="343" spans="100:100" x14ac:dyDescent="0.2">
      <c r="CV343" s="328"/>
    </row>
    <row r="344" spans="100:100" x14ac:dyDescent="0.2">
      <c r="CV344" s="328" t="str">
        <f ca="1">'Week 13'!BY4</f>
        <v xml:space="preserve">   var w13_p1_picks         = [];</v>
      </c>
    </row>
    <row r="345" spans="100:100" x14ac:dyDescent="0.2">
      <c r="CV345" s="328" t="str">
        <f ca="1">'Week 13'!BY5</f>
        <v xml:space="preserve">   var w13_p2_picks         = [];</v>
      </c>
    </row>
    <row r="346" spans="100:100" x14ac:dyDescent="0.2">
      <c r="CV346" s="328" t="str">
        <f ca="1">'Week 13'!BY6</f>
        <v xml:space="preserve">   var w13_p3_picks         = [];</v>
      </c>
    </row>
    <row r="347" spans="100:100" x14ac:dyDescent="0.2">
      <c r="CV347" s="328" t="str">
        <f ca="1">'Week 13'!BY7</f>
        <v xml:space="preserve">   var w13_p4_picks         = [];</v>
      </c>
    </row>
    <row r="348" spans="100:100" x14ac:dyDescent="0.2">
      <c r="CV348" s="328" t="str">
        <f ca="1">'Week 13'!BY8</f>
        <v xml:space="preserve">   var w13_p5_picks         = [];</v>
      </c>
    </row>
    <row r="349" spans="100:100" x14ac:dyDescent="0.2">
      <c r="CV349" s="328" t="str">
        <f ca="1">'Week 13'!BY9</f>
        <v xml:space="preserve">   var w13_p6_picks         = [];</v>
      </c>
    </row>
    <row r="350" spans="100:100" x14ac:dyDescent="0.2">
      <c r="CV350" s="328" t="str">
        <f ca="1">'Week 13'!BY10</f>
        <v xml:space="preserve">   var w13_p7_picks         = [];</v>
      </c>
    </row>
    <row r="351" spans="100:100" x14ac:dyDescent="0.2">
      <c r="CV351" s="328" t="str">
        <f ca="1">'Week 13'!BY11</f>
        <v xml:space="preserve">   var w13_p8_picks         = [];</v>
      </c>
    </row>
    <row r="352" spans="100:100" x14ac:dyDescent="0.2">
      <c r="CV352" s="328" t="str">
        <f ca="1">'Week 13'!BY12</f>
        <v xml:space="preserve">   var w13_p9_picks         = [];</v>
      </c>
    </row>
    <row r="353" spans="100:100" x14ac:dyDescent="0.2">
      <c r="CV353" s="328" t="str">
        <f ca="1">'Week 13'!BY13</f>
        <v xml:space="preserve">   var w13_p10_picks        = [];</v>
      </c>
    </row>
    <row r="354" spans="100:100" x14ac:dyDescent="0.2">
      <c r="CV354" s="328" t="str">
        <f ca="1">'Week 13'!BY14</f>
        <v xml:space="preserve">   var w13_p11_picks        = [];</v>
      </c>
    </row>
    <row r="355" spans="100:100" x14ac:dyDescent="0.2">
      <c r="CV355" s="328" t="str">
        <f ca="1">'Week 13'!BY15</f>
        <v xml:space="preserve">   var w13_p12_picks        = [];</v>
      </c>
    </row>
    <row r="356" spans="100:100" x14ac:dyDescent="0.2">
      <c r="CV356" s="328" t="str">
        <f ca="1">'Week 13'!BY16</f>
        <v xml:space="preserve">   var w13_p1_weights       = [];</v>
      </c>
    </row>
    <row r="357" spans="100:100" x14ac:dyDescent="0.2">
      <c r="CV357" s="328" t="str">
        <f ca="1">'Week 13'!BY17</f>
        <v xml:space="preserve">   var w13_p2_weights       = [];</v>
      </c>
    </row>
    <row r="358" spans="100:100" x14ac:dyDescent="0.2">
      <c r="CV358" s="328" t="str">
        <f ca="1">'Week 13'!BY18</f>
        <v xml:space="preserve">   var w13_p3_weights       = [];</v>
      </c>
    </row>
    <row r="359" spans="100:100" x14ac:dyDescent="0.2">
      <c r="CV359" s="328" t="str">
        <f ca="1">'Week 13'!BY19</f>
        <v xml:space="preserve">   var w13_p4_weights       = [];</v>
      </c>
    </row>
    <row r="360" spans="100:100" x14ac:dyDescent="0.2">
      <c r="CV360" s="328" t="str">
        <f ca="1">'Week 13'!BY20</f>
        <v xml:space="preserve">   var w13_p5_weights       = [];</v>
      </c>
    </row>
    <row r="361" spans="100:100" x14ac:dyDescent="0.2">
      <c r="CV361" s="328" t="str">
        <f ca="1">'Week 13'!BY21</f>
        <v xml:space="preserve">   var w13_p6_weights       = [];</v>
      </c>
    </row>
    <row r="362" spans="100:100" x14ac:dyDescent="0.2">
      <c r="CV362" s="328" t="str">
        <f ca="1">'Week 13'!BY22</f>
        <v xml:space="preserve">   var w13_p7_weights       = [];</v>
      </c>
    </row>
    <row r="363" spans="100:100" x14ac:dyDescent="0.2">
      <c r="CV363" s="328" t="str">
        <f ca="1">'Week 13'!BY23</f>
        <v xml:space="preserve">   var w13_p8_weights       = [];</v>
      </c>
    </row>
    <row r="364" spans="100:100" x14ac:dyDescent="0.2">
      <c r="CV364" s="328" t="str">
        <f ca="1">'Week 13'!BY24</f>
        <v xml:space="preserve">   var w13_p9_weights       = [];</v>
      </c>
    </row>
    <row r="365" spans="100:100" x14ac:dyDescent="0.2">
      <c r="CV365" s="328" t="str">
        <f ca="1">'Week 13'!BY25</f>
        <v xml:space="preserve">   var w13_p10_weights      = [];</v>
      </c>
    </row>
    <row r="366" spans="100:100" x14ac:dyDescent="0.2">
      <c r="CV366" s="328" t="str">
        <f ca="1">'Week 13'!BY26</f>
        <v xml:space="preserve">   var w13_p11_weights      = [];</v>
      </c>
    </row>
    <row r="367" spans="100:100" x14ac:dyDescent="0.2">
      <c r="CV367" s="328" t="str">
        <f ca="1">'Week 13'!BY27</f>
        <v xml:space="preserve">   var w13_p12_weights      = [];</v>
      </c>
    </row>
    <row r="368" spans="100:100" x14ac:dyDescent="0.2">
      <c r="CV368" s="328" t="str">
        <f ca="1">'Week 13'!BY28</f>
        <v xml:space="preserve">   var w13_winners          = [];</v>
      </c>
    </row>
    <row r="369" spans="100:100" x14ac:dyDescent="0.2">
      <c r="CV369" s="328" t="str">
        <f ca="1">'Week 13'!BY29</f>
        <v xml:space="preserve">   var w13_mn_points        = ["","","","","","","","","","","",""];</v>
      </c>
    </row>
    <row r="370" spans="100:100" x14ac:dyDescent="0.2">
      <c r="CV370" s="328" t="str">
        <f ca="1">'Week 13'!BY30</f>
        <v xml:space="preserve">   var w13_actual_mn_points = 0;</v>
      </c>
    </row>
    <row r="371" spans="100:100" x14ac:dyDescent="0.2">
      <c r="CV371" s="328"/>
    </row>
    <row r="372" spans="100:100" x14ac:dyDescent="0.2">
      <c r="CV372" s="328" t="str">
        <f ca="1">'Week 14'!BY4</f>
        <v xml:space="preserve">   var w14_p1_picks         = [];</v>
      </c>
    </row>
    <row r="373" spans="100:100" x14ac:dyDescent="0.2">
      <c r="CV373" s="328" t="str">
        <f ca="1">'Week 14'!BY5</f>
        <v xml:space="preserve">   var w14_p2_picks         = [];</v>
      </c>
    </row>
    <row r="374" spans="100:100" x14ac:dyDescent="0.2">
      <c r="CV374" s="328" t="str">
        <f ca="1">'Week 14'!BY6</f>
        <v xml:space="preserve">   var w14_p3_picks         = [];</v>
      </c>
    </row>
    <row r="375" spans="100:100" x14ac:dyDescent="0.2">
      <c r="CV375" s="328" t="str">
        <f ca="1">'Week 14'!BY7</f>
        <v xml:space="preserve">   var w14_p4_picks         = [];</v>
      </c>
    </row>
    <row r="376" spans="100:100" x14ac:dyDescent="0.2">
      <c r="CV376" s="328" t="str">
        <f ca="1">'Week 14'!BY8</f>
        <v xml:space="preserve">   var w14_p5_picks         = [];</v>
      </c>
    </row>
    <row r="377" spans="100:100" x14ac:dyDescent="0.2">
      <c r="CV377" s="328" t="str">
        <f ca="1">'Week 14'!BY9</f>
        <v xml:space="preserve">   var w14_p6_picks         = [];</v>
      </c>
    </row>
    <row r="378" spans="100:100" x14ac:dyDescent="0.2">
      <c r="CV378" s="328" t="str">
        <f ca="1">'Week 14'!BY10</f>
        <v xml:space="preserve">   var w14_p7_picks         = [];</v>
      </c>
    </row>
    <row r="379" spans="100:100" x14ac:dyDescent="0.2">
      <c r="CV379" s="328" t="str">
        <f ca="1">'Week 14'!BY11</f>
        <v xml:space="preserve">   var w14_p8_picks         = [];</v>
      </c>
    </row>
    <row r="380" spans="100:100" x14ac:dyDescent="0.2">
      <c r="CV380" s="328" t="str">
        <f ca="1">'Week 14'!BY12</f>
        <v xml:space="preserve">   var w14_p9_picks         = [];</v>
      </c>
    </row>
    <row r="381" spans="100:100" x14ac:dyDescent="0.2">
      <c r="CV381" s="328" t="str">
        <f ca="1">'Week 14'!BY13</f>
        <v xml:space="preserve">   var w14_p10_picks        = [];</v>
      </c>
    </row>
    <row r="382" spans="100:100" x14ac:dyDescent="0.2">
      <c r="CV382" s="328" t="str">
        <f ca="1">'Week 14'!BY14</f>
        <v xml:space="preserve">   var w14_p11_picks        = [];</v>
      </c>
    </row>
    <row r="383" spans="100:100" x14ac:dyDescent="0.2">
      <c r="CV383" s="328" t="str">
        <f ca="1">'Week 14'!BY15</f>
        <v xml:space="preserve">   var w14_p12_picks        = [];</v>
      </c>
    </row>
    <row r="384" spans="100:100" x14ac:dyDescent="0.2">
      <c r="CV384" s="328" t="str">
        <f ca="1">'Week 14'!BY16</f>
        <v xml:space="preserve">   var w14_p1_weights       = [];</v>
      </c>
    </row>
    <row r="385" spans="100:100" x14ac:dyDescent="0.2">
      <c r="CV385" s="328" t="str">
        <f ca="1">'Week 14'!BY17</f>
        <v xml:space="preserve">   var w14_p2_weights       = [];</v>
      </c>
    </row>
    <row r="386" spans="100:100" x14ac:dyDescent="0.2">
      <c r="CV386" s="328" t="str">
        <f ca="1">'Week 14'!BY18</f>
        <v xml:space="preserve">   var w14_p3_weights       = [];</v>
      </c>
    </row>
    <row r="387" spans="100:100" x14ac:dyDescent="0.2">
      <c r="CV387" s="328" t="str">
        <f ca="1">'Week 14'!BY19</f>
        <v xml:space="preserve">   var w14_p4_weights       = [];</v>
      </c>
    </row>
    <row r="388" spans="100:100" x14ac:dyDescent="0.2">
      <c r="CV388" s="328" t="str">
        <f ca="1">'Week 14'!BY20</f>
        <v xml:space="preserve">   var w14_p5_weights       = [];</v>
      </c>
    </row>
    <row r="389" spans="100:100" x14ac:dyDescent="0.2">
      <c r="CV389" s="328" t="str">
        <f ca="1">'Week 14'!BY21</f>
        <v xml:space="preserve">   var w14_p6_weights       = [];</v>
      </c>
    </row>
    <row r="390" spans="100:100" x14ac:dyDescent="0.2">
      <c r="CV390" s="328" t="str">
        <f ca="1">'Week 14'!BY22</f>
        <v xml:space="preserve">   var w14_p7_weights       = [];</v>
      </c>
    </row>
    <row r="391" spans="100:100" x14ac:dyDescent="0.2">
      <c r="CV391" s="328" t="str">
        <f ca="1">'Week 14'!BY23</f>
        <v xml:space="preserve">   var w14_p8_weights       = [];</v>
      </c>
    </row>
    <row r="392" spans="100:100" x14ac:dyDescent="0.2">
      <c r="CV392" s="328" t="str">
        <f ca="1">'Week 14'!BY24</f>
        <v xml:space="preserve">   var w14_p9_weights       = [];</v>
      </c>
    </row>
    <row r="393" spans="100:100" x14ac:dyDescent="0.2">
      <c r="CV393" s="328" t="str">
        <f ca="1">'Week 14'!BY25</f>
        <v xml:space="preserve">   var w14_p10_weights      = [];</v>
      </c>
    </row>
    <row r="394" spans="100:100" x14ac:dyDescent="0.2">
      <c r="CV394" s="328" t="str">
        <f ca="1">'Week 14'!BY26</f>
        <v xml:space="preserve">   var w14_p11_weights      = [];</v>
      </c>
    </row>
    <row r="395" spans="100:100" x14ac:dyDescent="0.2">
      <c r="CV395" s="328" t="str">
        <f ca="1">'Week 14'!BY27</f>
        <v xml:space="preserve">   var w14_p12_weights      = [];</v>
      </c>
    </row>
    <row r="396" spans="100:100" x14ac:dyDescent="0.2">
      <c r="CV396" s="328" t="str">
        <f ca="1">'Week 14'!BY28</f>
        <v xml:space="preserve">   var w14_winners          = [];</v>
      </c>
    </row>
    <row r="397" spans="100:100" x14ac:dyDescent="0.2">
      <c r="CV397" s="328" t="str">
        <f ca="1">'Week 14'!BY29</f>
        <v xml:space="preserve">   var w14_mn_points        = ["","","","","","","","","","","",""];</v>
      </c>
    </row>
    <row r="398" spans="100:100" x14ac:dyDescent="0.2">
      <c r="CV398" s="328" t="str">
        <f ca="1">'Week 14'!BY30</f>
        <v xml:space="preserve">   var w14_actual_mn_points = 0;</v>
      </c>
    </row>
    <row r="399" spans="100:100" x14ac:dyDescent="0.2">
      <c r="CV399" s="328"/>
    </row>
    <row r="400" spans="100:100" x14ac:dyDescent="0.2">
      <c r="CV400" s="328" t="str">
        <f ca="1">'Week 15'!BY4</f>
        <v xml:space="preserve">   var w15_p1_picks         = [];</v>
      </c>
    </row>
    <row r="401" spans="100:100" x14ac:dyDescent="0.2">
      <c r="CV401" s="328" t="str">
        <f ca="1">'Week 15'!BY5</f>
        <v xml:space="preserve">   var w15_p2_picks         = [];</v>
      </c>
    </row>
    <row r="402" spans="100:100" x14ac:dyDescent="0.2">
      <c r="CV402" s="328" t="str">
        <f ca="1">'Week 15'!BY6</f>
        <v xml:space="preserve">   var w15_p3_picks         = [];</v>
      </c>
    </row>
    <row r="403" spans="100:100" x14ac:dyDescent="0.2">
      <c r="CV403" s="328" t="str">
        <f ca="1">'Week 15'!BY7</f>
        <v xml:space="preserve">   var w15_p4_picks         = [];</v>
      </c>
    </row>
    <row r="404" spans="100:100" x14ac:dyDescent="0.2">
      <c r="CV404" s="328" t="str">
        <f ca="1">'Week 15'!BY8</f>
        <v xml:space="preserve">   var w15_p5_picks         = [];</v>
      </c>
    </row>
    <row r="405" spans="100:100" x14ac:dyDescent="0.2">
      <c r="CV405" s="328" t="str">
        <f ca="1">'Week 15'!BY9</f>
        <v xml:space="preserve">   var w15_p6_picks         = [];</v>
      </c>
    </row>
    <row r="406" spans="100:100" x14ac:dyDescent="0.2">
      <c r="CV406" s="328" t="str">
        <f ca="1">'Week 15'!BY10</f>
        <v xml:space="preserve">   var w15_p7_picks         = [];</v>
      </c>
    </row>
    <row r="407" spans="100:100" x14ac:dyDescent="0.2">
      <c r="CV407" s="328" t="str">
        <f ca="1">'Week 15'!BY11</f>
        <v xml:space="preserve">   var w15_p8_picks         = [];</v>
      </c>
    </row>
    <row r="408" spans="100:100" x14ac:dyDescent="0.2">
      <c r="CV408" s="328" t="str">
        <f ca="1">'Week 15'!BY12</f>
        <v xml:space="preserve">   var w15_p9_picks         = [];</v>
      </c>
    </row>
    <row r="409" spans="100:100" x14ac:dyDescent="0.2">
      <c r="CV409" s="328" t="str">
        <f ca="1">'Week 15'!BY13</f>
        <v xml:space="preserve">   var w15_p10_picks        = [];</v>
      </c>
    </row>
    <row r="410" spans="100:100" x14ac:dyDescent="0.2">
      <c r="CV410" s="328" t="str">
        <f ca="1">'Week 15'!BY14</f>
        <v xml:space="preserve">   var w15_p11_picks        = [];</v>
      </c>
    </row>
    <row r="411" spans="100:100" x14ac:dyDescent="0.2">
      <c r="CV411" s="328" t="str">
        <f ca="1">'Week 15'!BY15</f>
        <v xml:space="preserve">   var w15_p12_picks        = [];</v>
      </c>
    </row>
    <row r="412" spans="100:100" x14ac:dyDescent="0.2">
      <c r="CV412" s="328" t="str">
        <f ca="1">'Week 15'!BY16</f>
        <v xml:space="preserve">   var w15_p1_weights       = [];</v>
      </c>
    </row>
    <row r="413" spans="100:100" x14ac:dyDescent="0.2">
      <c r="CV413" s="328" t="str">
        <f ca="1">'Week 15'!BY17</f>
        <v xml:space="preserve">   var w15_p2_weights       = [];</v>
      </c>
    </row>
    <row r="414" spans="100:100" x14ac:dyDescent="0.2">
      <c r="CV414" s="328" t="str">
        <f ca="1">'Week 15'!BY18</f>
        <v xml:space="preserve">   var w15_p3_weights       = [];</v>
      </c>
    </row>
    <row r="415" spans="100:100" x14ac:dyDescent="0.2">
      <c r="CV415" s="328" t="str">
        <f ca="1">'Week 15'!BY19</f>
        <v xml:space="preserve">   var w15_p4_weights       = [];</v>
      </c>
    </row>
    <row r="416" spans="100:100" x14ac:dyDescent="0.2">
      <c r="CV416" s="328" t="str">
        <f ca="1">'Week 15'!BY20</f>
        <v xml:space="preserve">   var w15_p5_weights       = [];</v>
      </c>
    </row>
    <row r="417" spans="100:100" x14ac:dyDescent="0.2">
      <c r="CV417" s="328" t="str">
        <f ca="1">'Week 15'!BY21</f>
        <v xml:space="preserve">   var w15_p6_weights       = [];</v>
      </c>
    </row>
    <row r="418" spans="100:100" x14ac:dyDescent="0.2">
      <c r="CV418" s="328" t="str">
        <f ca="1">'Week 15'!BY22</f>
        <v xml:space="preserve">   var w15_p7_weights       = [];</v>
      </c>
    </row>
    <row r="419" spans="100:100" x14ac:dyDescent="0.2">
      <c r="CV419" s="328" t="str">
        <f ca="1">'Week 15'!BY23</f>
        <v xml:space="preserve">   var w15_p8_weights       = [];</v>
      </c>
    </row>
    <row r="420" spans="100:100" x14ac:dyDescent="0.2">
      <c r="CV420" s="328" t="str">
        <f ca="1">'Week 15'!BY24</f>
        <v xml:space="preserve">   var w15_p9_weights       = [];</v>
      </c>
    </row>
    <row r="421" spans="100:100" x14ac:dyDescent="0.2">
      <c r="CV421" s="328" t="str">
        <f ca="1">'Week 15'!BY25</f>
        <v xml:space="preserve">   var w15_p10_weights      = [];</v>
      </c>
    </row>
    <row r="422" spans="100:100" x14ac:dyDescent="0.2">
      <c r="CV422" s="328" t="str">
        <f ca="1">'Week 15'!BY26</f>
        <v xml:space="preserve">   var w15_p11_weights      = [];</v>
      </c>
    </row>
    <row r="423" spans="100:100" x14ac:dyDescent="0.2">
      <c r="CV423" s="328" t="str">
        <f ca="1">'Week 15'!BY27</f>
        <v xml:space="preserve">   var w15_p12_weights      = [];</v>
      </c>
    </row>
    <row r="424" spans="100:100" x14ac:dyDescent="0.2">
      <c r="CV424" s="328" t="str">
        <f ca="1">'Week 15'!BY28</f>
        <v xml:space="preserve">   var w15_winners          = [];</v>
      </c>
    </row>
    <row r="425" spans="100:100" x14ac:dyDescent="0.2">
      <c r="CV425" s="328" t="str">
        <f ca="1">'Week 15'!BY29</f>
        <v xml:space="preserve">   var w15_mn_points        = ["","","","","","","","","","","",""];</v>
      </c>
    </row>
    <row r="426" spans="100:100" x14ac:dyDescent="0.2">
      <c r="CV426" s="328" t="str">
        <f ca="1">'Week 15'!BY30</f>
        <v xml:space="preserve">   var w15_actual_mn_points = 0;</v>
      </c>
    </row>
    <row r="427" spans="100:100" x14ac:dyDescent="0.2">
      <c r="CV427" s="328"/>
    </row>
    <row r="428" spans="100:100" x14ac:dyDescent="0.2">
      <c r="CV428" s="328" t="str">
        <f ca="1">'Week 16'!BY4</f>
        <v xml:space="preserve">   var w16_p1_picks         = [];</v>
      </c>
    </row>
    <row r="429" spans="100:100" x14ac:dyDescent="0.2">
      <c r="CV429" s="328" t="str">
        <f ca="1">'Week 16'!BY5</f>
        <v xml:space="preserve">   var w16_p2_picks         = [];</v>
      </c>
    </row>
    <row r="430" spans="100:100" x14ac:dyDescent="0.2">
      <c r="CV430" s="328" t="str">
        <f ca="1">'Week 16'!BY6</f>
        <v xml:space="preserve">   var w16_p3_picks         = [];</v>
      </c>
    </row>
    <row r="431" spans="100:100" x14ac:dyDescent="0.2">
      <c r="CV431" s="328" t="str">
        <f ca="1">'Week 16'!BY7</f>
        <v xml:space="preserve">   var w16_p4_picks         = [];</v>
      </c>
    </row>
    <row r="432" spans="100:100" x14ac:dyDescent="0.2">
      <c r="CV432" s="328" t="str">
        <f ca="1">'Week 16'!BY8</f>
        <v xml:space="preserve">   var w16_p5_picks         = [];</v>
      </c>
    </row>
    <row r="433" spans="100:100" x14ac:dyDescent="0.2">
      <c r="CV433" s="328" t="str">
        <f ca="1">'Week 16'!BY9</f>
        <v xml:space="preserve">   var w16_p6_picks         = [];</v>
      </c>
    </row>
    <row r="434" spans="100:100" x14ac:dyDescent="0.2">
      <c r="CV434" s="328" t="str">
        <f ca="1">'Week 16'!BY10</f>
        <v xml:space="preserve">   var w16_p7_picks         = [];</v>
      </c>
    </row>
    <row r="435" spans="100:100" x14ac:dyDescent="0.2">
      <c r="CV435" s="328" t="str">
        <f ca="1">'Week 16'!BY11</f>
        <v xml:space="preserve">   var w16_p8_picks         = [];</v>
      </c>
    </row>
    <row r="436" spans="100:100" x14ac:dyDescent="0.2">
      <c r="CV436" s="328" t="str">
        <f ca="1">'Week 16'!BY12</f>
        <v xml:space="preserve">   var w16_p9_picks         = [];</v>
      </c>
    </row>
    <row r="437" spans="100:100" x14ac:dyDescent="0.2">
      <c r="CV437" s="328" t="str">
        <f ca="1">'Week 16'!BY13</f>
        <v xml:space="preserve">   var w16_p10_picks        = [];</v>
      </c>
    </row>
    <row r="438" spans="100:100" x14ac:dyDescent="0.2">
      <c r="CV438" s="328" t="str">
        <f ca="1">'Week 16'!BY14</f>
        <v xml:space="preserve">   var w16_p11_picks        = [];</v>
      </c>
    </row>
    <row r="439" spans="100:100" x14ac:dyDescent="0.2">
      <c r="CV439" s="328" t="str">
        <f ca="1">'Week 16'!BY15</f>
        <v xml:space="preserve">   var w16_p12_picks        = [];</v>
      </c>
    </row>
    <row r="440" spans="100:100" x14ac:dyDescent="0.2">
      <c r="CV440" s="328" t="str">
        <f ca="1">'Week 16'!BY16</f>
        <v xml:space="preserve">   var w16_p1_weights       = [];</v>
      </c>
    </row>
    <row r="441" spans="100:100" x14ac:dyDescent="0.2">
      <c r="CV441" s="328" t="str">
        <f ca="1">'Week 16'!BY17</f>
        <v xml:space="preserve">   var w16_p2_weights       = [];</v>
      </c>
    </row>
    <row r="442" spans="100:100" x14ac:dyDescent="0.2">
      <c r="CV442" s="328" t="str">
        <f ca="1">'Week 16'!BY18</f>
        <v xml:space="preserve">   var w16_p3_weights       = [];</v>
      </c>
    </row>
    <row r="443" spans="100:100" x14ac:dyDescent="0.2">
      <c r="CV443" s="328" t="str">
        <f ca="1">'Week 16'!BY19</f>
        <v xml:space="preserve">   var w16_p4_weights       = [];</v>
      </c>
    </row>
    <row r="444" spans="100:100" x14ac:dyDescent="0.2">
      <c r="CV444" s="328" t="str">
        <f ca="1">'Week 16'!BY20</f>
        <v xml:space="preserve">   var w16_p5_weights       = [];</v>
      </c>
    </row>
    <row r="445" spans="100:100" x14ac:dyDescent="0.2">
      <c r="CV445" s="328" t="str">
        <f ca="1">'Week 16'!BY21</f>
        <v xml:space="preserve">   var w16_p6_weights       = [];</v>
      </c>
    </row>
    <row r="446" spans="100:100" x14ac:dyDescent="0.2">
      <c r="CV446" s="328" t="str">
        <f ca="1">'Week 16'!BY22</f>
        <v xml:space="preserve">   var w16_p7_weights       = [];</v>
      </c>
    </row>
    <row r="447" spans="100:100" x14ac:dyDescent="0.2">
      <c r="CV447" s="328" t="str">
        <f ca="1">'Week 16'!BY23</f>
        <v xml:space="preserve">   var w16_p8_weights       = [];</v>
      </c>
    </row>
    <row r="448" spans="100:100" x14ac:dyDescent="0.2">
      <c r="CV448" s="328" t="str">
        <f ca="1">'Week 16'!BY24</f>
        <v xml:space="preserve">   var w16_p9_weights       = [];</v>
      </c>
    </row>
    <row r="449" spans="100:100" x14ac:dyDescent="0.2">
      <c r="CV449" s="328" t="str">
        <f ca="1">'Week 16'!BY25</f>
        <v xml:space="preserve">   var w16_p10_weights      = [];</v>
      </c>
    </row>
    <row r="450" spans="100:100" x14ac:dyDescent="0.2">
      <c r="CV450" s="328" t="str">
        <f ca="1">'Week 16'!BY26</f>
        <v xml:space="preserve">   var w16_p11_weights      = [];</v>
      </c>
    </row>
    <row r="451" spans="100:100" x14ac:dyDescent="0.2">
      <c r="CV451" s="328" t="str">
        <f ca="1">'Week 16'!BY27</f>
        <v xml:space="preserve">   var w16_p12_weights      = [];</v>
      </c>
    </row>
    <row r="452" spans="100:100" x14ac:dyDescent="0.2">
      <c r="CV452" s="328" t="str">
        <f ca="1">'Week 16'!BY28</f>
        <v xml:space="preserve">   var w16_winners          = [];</v>
      </c>
    </row>
    <row r="453" spans="100:100" x14ac:dyDescent="0.2">
      <c r="CV453" s="328" t="str">
        <f ca="1">'Week 16'!BY29</f>
        <v xml:space="preserve">   var w16_mn_points        = ["","","","","","","","","","","",""];</v>
      </c>
    </row>
    <row r="454" spans="100:100" x14ac:dyDescent="0.2">
      <c r="CV454" s="328" t="str">
        <f ca="1">'Week 16'!BY30</f>
        <v xml:space="preserve">   var w16_actual_mn_points = 0;</v>
      </c>
    </row>
    <row r="455" spans="100:100" x14ac:dyDescent="0.2">
      <c r="CV455" s="328"/>
    </row>
    <row r="456" spans="100:100" x14ac:dyDescent="0.2">
      <c r="CV456" s="328" t="str">
        <f ca="1">'Week 17'!BY4</f>
        <v xml:space="preserve">   var w17_p1_picks         = [];</v>
      </c>
    </row>
    <row r="457" spans="100:100" x14ac:dyDescent="0.2">
      <c r="CV457" s="328" t="str">
        <f ca="1">'Week 17'!BY5</f>
        <v xml:space="preserve">   var w17_p2_picks         = [];</v>
      </c>
    </row>
    <row r="458" spans="100:100" x14ac:dyDescent="0.2">
      <c r="CV458" s="328" t="str">
        <f ca="1">'Week 17'!BY6</f>
        <v xml:space="preserve">   var w17_p3_picks         = [];</v>
      </c>
    </row>
    <row r="459" spans="100:100" x14ac:dyDescent="0.2">
      <c r="CV459" s="328" t="str">
        <f ca="1">'Week 17'!BY7</f>
        <v xml:space="preserve">   var w17_p4_picks         = [];</v>
      </c>
    </row>
    <row r="460" spans="100:100" x14ac:dyDescent="0.2">
      <c r="CV460" s="328" t="str">
        <f ca="1">'Week 17'!BY8</f>
        <v xml:space="preserve">   var w17_p5_picks         = [];</v>
      </c>
    </row>
    <row r="461" spans="100:100" x14ac:dyDescent="0.2">
      <c r="CV461" s="328" t="str">
        <f ca="1">'Week 17'!BY9</f>
        <v xml:space="preserve">   var w17_p6_picks         = [];</v>
      </c>
    </row>
    <row r="462" spans="100:100" x14ac:dyDescent="0.2">
      <c r="CV462" s="328" t="str">
        <f ca="1">'Week 17'!BY10</f>
        <v xml:space="preserve">   var w17_p7_picks         = [];</v>
      </c>
    </row>
    <row r="463" spans="100:100" x14ac:dyDescent="0.2">
      <c r="CV463" s="328" t="str">
        <f ca="1">'Week 17'!BY11</f>
        <v xml:space="preserve">   var w17_p8_picks         = [];</v>
      </c>
    </row>
    <row r="464" spans="100:100" x14ac:dyDescent="0.2">
      <c r="CV464" s="328" t="str">
        <f ca="1">'Week 17'!BY12</f>
        <v xml:space="preserve">   var w17_p9_picks         = [];</v>
      </c>
    </row>
    <row r="465" spans="100:100" x14ac:dyDescent="0.2">
      <c r="CV465" s="328" t="str">
        <f ca="1">'Week 17'!BY13</f>
        <v xml:space="preserve">   var w17_p10_picks        = [];</v>
      </c>
    </row>
    <row r="466" spans="100:100" x14ac:dyDescent="0.2">
      <c r="CV466" s="328" t="str">
        <f ca="1">'Week 17'!BY14</f>
        <v xml:space="preserve">   var w17_p11_picks        = [];</v>
      </c>
    </row>
    <row r="467" spans="100:100" x14ac:dyDescent="0.2">
      <c r="CV467" s="328" t="str">
        <f ca="1">'Week 17'!BY15</f>
        <v xml:space="preserve">   var w17_p12_picks        = [];</v>
      </c>
    </row>
    <row r="468" spans="100:100" x14ac:dyDescent="0.2">
      <c r="CV468" s="328" t="str">
        <f ca="1">'Week 17'!BY16</f>
        <v xml:space="preserve">   var w17_p1_weights       = [];</v>
      </c>
    </row>
    <row r="469" spans="100:100" x14ac:dyDescent="0.2">
      <c r="CV469" s="328" t="str">
        <f ca="1">'Week 17'!BY17</f>
        <v xml:space="preserve">   var w17_p2_weights       = [];</v>
      </c>
    </row>
    <row r="470" spans="100:100" x14ac:dyDescent="0.2">
      <c r="CV470" s="328" t="str">
        <f ca="1">'Week 17'!BY18</f>
        <v xml:space="preserve">   var w17_p3_weights       = [];</v>
      </c>
    </row>
    <row r="471" spans="100:100" x14ac:dyDescent="0.2">
      <c r="CV471" s="328" t="str">
        <f ca="1">'Week 17'!BY19</f>
        <v xml:space="preserve">   var w17_p4_weights       = [];</v>
      </c>
    </row>
    <row r="472" spans="100:100" x14ac:dyDescent="0.2">
      <c r="CV472" s="328" t="str">
        <f ca="1">'Week 17'!BY20</f>
        <v xml:space="preserve">   var w17_p5_weights       = [];</v>
      </c>
    </row>
    <row r="473" spans="100:100" x14ac:dyDescent="0.2">
      <c r="CV473" s="328" t="str">
        <f ca="1">'Week 17'!BY21</f>
        <v xml:space="preserve">   var w17_p6_weights       = [];</v>
      </c>
    </row>
    <row r="474" spans="100:100" x14ac:dyDescent="0.2">
      <c r="CV474" s="328" t="str">
        <f ca="1">'Week 17'!BY22</f>
        <v xml:space="preserve">   var w17_p7_weights       = [];</v>
      </c>
    </row>
    <row r="475" spans="100:100" x14ac:dyDescent="0.2">
      <c r="CV475" s="328" t="str">
        <f ca="1">'Week 17'!BY23</f>
        <v xml:space="preserve">   var w17_p8_weights       = [];</v>
      </c>
    </row>
    <row r="476" spans="100:100" x14ac:dyDescent="0.2">
      <c r="CV476" s="328" t="str">
        <f ca="1">'Week 17'!BY24</f>
        <v xml:space="preserve">   var w17_p9_weights       = [];</v>
      </c>
    </row>
    <row r="477" spans="100:100" x14ac:dyDescent="0.2">
      <c r="CV477" s="328" t="str">
        <f ca="1">'Week 17'!BY25</f>
        <v xml:space="preserve">   var w17_p10_weights      = [];</v>
      </c>
    </row>
    <row r="478" spans="100:100" x14ac:dyDescent="0.2">
      <c r="CV478" s="328" t="str">
        <f ca="1">'Week 17'!BY26</f>
        <v xml:space="preserve">   var w17_p11_weights      = [];</v>
      </c>
    </row>
    <row r="479" spans="100:100" x14ac:dyDescent="0.2">
      <c r="CV479" s="328" t="str">
        <f ca="1">'Week 17'!BY27</f>
        <v xml:space="preserve">   var w17_p12_weights      = [];</v>
      </c>
    </row>
    <row r="480" spans="100:100" x14ac:dyDescent="0.2">
      <c r="CV480" s="328" t="str">
        <f ca="1">'Week 17'!BY28</f>
        <v xml:space="preserve">   var w17_winners          = [];</v>
      </c>
    </row>
    <row r="481" spans="100:100" x14ac:dyDescent="0.2">
      <c r="CV481" s="328" t="str">
        <f ca="1">'Week 17'!BY29</f>
        <v xml:space="preserve">   var w17_mn_points        = ["","","","","","","","","","","",""];</v>
      </c>
    </row>
    <row r="482" spans="100:100" x14ac:dyDescent="0.2">
      <c r="CV482" s="328" t="str">
        <f ca="1">'Week 17'!BY30</f>
        <v xml:space="preserve">   var w17_actual_mn_points = 0;</v>
      </c>
    </row>
    <row r="483" spans="100:100" x14ac:dyDescent="0.2">
      <c r="CV483" s="328"/>
    </row>
    <row r="484" spans="100:100" x14ac:dyDescent="0.2">
      <c r="CV484" s="328" t="s">
        <v>127</v>
      </c>
    </row>
    <row r="485" spans="100:100" x14ac:dyDescent="0.2">
      <c r="CV485" s="328" t="s">
        <v>128</v>
      </c>
    </row>
    <row r="486" spans="100:100" x14ac:dyDescent="0.2">
      <c r="CV486" s="328" t="s">
        <v>129</v>
      </c>
    </row>
    <row r="487" spans="100:100" x14ac:dyDescent="0.2">
      <c r="CV487" s="328" t="s">
        <v>130</v>
      </c>
    </row>
    <row r="488" spans="100:100" x14ac:dyDescent="0.2">
      <c r="CV488" s="328" t="s">
        <v>131</v>
      </c>
    </row>
    <row r="489" spans="100:100" x14ac:dyDescent="0.2">
      <c r="CV489" s="328" t="s">
        <v>132</v>
      </c>
    </row>
    <row r="490" spans="100:100" x14ac:dyDescent="0.2">
      <c r="CV490" s="328" t="s">
        <v>133</v>
      </c>
    </row>
    <row r="491" spans="100:100" x14ac:dyDescent="0.2">
      <c r="CV491" s="328" t="s">
        <v>134</v>
      </c>
    </row>
    <row r="492" spans="100:100" x14ac:dyDescent="0.2">
      <c r="CV492" s="328" t="s">
        <v>135</v>
      </c>
    </row>
    <row r="493" spans="100:100" x14ac:dyDescent="0.2">
      <c r="CV493" s="328" t="s">
        <v>136</v>
      </c>
    </row>
    <row r="494" spans="100:100" x14ac:dyDescent="0.2">
      <c r="CV494" s="328" t="s">
        <v>137</v>
      </c>
    </row>
    <row r="495" spans="100:100" x14ac:dyDescent="0.2">
      <c r="CV495" s="328" t="s">
        <v>138</v>
      </c>
    </row>
    <row r="496" spans="100:100" x14ac:dyDescent="0.2">
      <c r="CV496" s="328"/>
    </row>
    <row r="497" spans="100:100" x14ac:dyDescent="0.2">
      <c r="CV497" s="328" t="s">
        <v>139</v>
      </c>
    </row>
    <row r="498" spans="100:100" x14ac:dyDescent="0.2">
      <c r="CV498" s="328" t="s">
        <v>140</v>
      </c>
    </row>
    <row r="499" spans="100:100" x14ac:dyDescent="0.2">
      <c r="CV499" s="328" t="s">
        <v>141</v>
      </c>
    </row>
    <row r="500" spans="100:100" x14ac:dyDescent="0.2">
      <c r="CV500" s="328" t="s">
        <v>142</v>
      </c>
    </row>
    <row r="501" spans="100:100" x14ac:dyDescent="0.2">
      <c r="CV501" s="328" t="s">
        <v>143</v>
      </c>
    </row>
    <row r="502" spans="100:100" x14ac:dyDescent="0.2">
      <c r="CV502" s="328" t="s">
        <v>144</v>
      </c>
    </row>
    <row r="503" spans="100:100" x14ac:dyDescent="0.2">
      <c r="CV503" s="328" t="s">
        <v>145</v>
      </c>
    </row>
    <row r="504" spans="100:100" x14ac:dyDescent="0.2">
      <c r="CV504" s="328" t="s">
        <v>146</v>
      </c>
    </row>
    <row r="505" spans="100:100" x14ac:dyDescent="0.2">
      <c r="CV505" s="328" t="s">
        <v>147</v>
      </c>
    </row>
    <row r="506" spans="100:100" x14ac:dyDescent="0.2">
      <c r="CV506" s="328" t="s">
        <v>148</v>
      </c>
    </row>
    <row r="507" spans="100:100" x14ac:dyDescent="0.2">
      <c r="CV507" s="328" t="s">
        <v>149</v>
      </c>
    </row>
    <row r="508" spans="100:100" x14ac:dyDescent="0.2">
      <c r="CV508" s="328" t="s">
        <v>150</v>
      </c>
    </row>
    <row r="509" spans="100:100" x14ac:dyDescent="0.2">
      <c r="CV509" s="328"/>
    </row>
    <row r="510" spans="100:100" x14ac:dyDescent="0.2">
      <c r="CV510" s="328" t="s">
        <v>151</v>
      </c>
    </row>
    <row r="511" spans="100:100" x14ac:dyDescent="0.2">
      <c r="CV511" s="328" t="s">
        <v>152</v>
      </c>
    </row>
    <row r="512" spans="100:100" x14ac:dyDescent="0.2">
      <c r="CV512" s="328" t="s">
        <v>153</v>
      </c>
    </row>
    <row r="513" spans="100:100" x14ac:dyDescent="0.2">
      <c r="CV513" s="328" t="s">
        <v>154</v>
      </c>
    </row>
    <row r="514" spans="100:100" x14ac:dyDescent="0.2">
      <c r="CV514" s="328" t="s">
        <v>155</v>
      </c>
    </row>
    <row r="515" spans="100:100" x14ac:dyDescent="0.2">
      <c r="CV515" s="328" t="s">
        <v>156</v>
      </c>
    </row>
    <row r="516" spans="100:100" x14ac:dyDescent="0.2">
      <c r="CV516" s="328" t="s">
        <v>157</v>
      </c>
    </row>
    <row r="517" spans="100:100" x14ac:dyDescent="0.2">
      <c r="CV517" s="328" t="s">
        <v>158</v>
      </c>
    </row>
    <row r="518" spans="100:100" x14ac:dyDescent="0.2">
      <c r="CV518" s="328" t="s">
        <v>159</v>
      </c>
    </row>
    <row r="519" spans="100:100" x14ac:dyDescent="0.2">
      <c r="CV519" s="328" t="s">
        <v>160</v>
      </c>
    </row>
    <row r="520" spans="100:100" x14ac:dyDescent="0.2">
      <c r="CV520" s="328" t="s">
        <v>161</v>
      </c>
    </row>
    <row r="521" spans="100:100" x14ac:dyDescent="0.2">
      <c r="CV521" s="328" t="s">
        <v>162</v>
      </c>
    </row>
    <row r="522" spans="100:100" x14ac:dyDescent="0.2">
      <c r="CV522" s="328"/>
    </row>
    <row r="523" spans="100:100" x14ac:dyDescent="0.2">
      <c r="CV523" s="328" t="s">
        <v>163</v>
      </c>
    </row>
    <row r="524" spans="100:100" x14ac:dyDescent="0.2">
      <c r="CV524" s="328" t="s">
        <v>164</v>
      </c>
    </row>
    <row r="525" spans="100:100" x14ac:dyDescent="0.2">
      <c r="CV525" s="328" t="s">
        <v>165</v>
      </c>
    </row>
    <row r="526" spans="100:100" x14ac:dyDescent="0.2">
      <c r="CV526" s="328" t="s">
        <v>166</v>
      </c>
    </row>
    <row r="527" spans="100:100" x14ac:dyDescent="0.2">
      <c r="CV527" s="328" t="s">
        <v>167</v>
      </c>
    </row>
    <row r="528" spans="100:100" x14ac:dyDescent="0.2">
      <c r="CV528" s="328" t="s">
        <v>168</v>
      </c>
    </row>
    <row r="529" spans="100:100" x14ac:dyDescent="0.2">
      <c r="CV529" s="328" t="s">
        <v>169</v>
      </c>
    </row>
    <row r="530" spans="100:100" x14ac:dyDescent="0.2">
      <c r="CV530" s="328" t="s">
        <v>170</v>
      </c>
    </row>
    <row r="531" spans="100:100" x14ac:dyDescent="0.2">
      <c r="CV531" s="328" t="s">
        <v>171</v>
      </c>
    </row>
    <row r="532" spans="100:100" x14ac:dyDescent="0.2">
      <c r="CV532" s="328" t="s">
        <v>172</v>
      </c>
    </row>
    <row r="533" spans="100:100" x14ac:dyDescent="0.2">
      <c r="CV533" s="328" t="s">
        <v>173</v>
      </c>
    </row>
    <row r="534" spans="100:100" x14ac:dyDescent="0.2">
      <c r="CV534" s="328" t="s">
        <v>174</v>
      </c>
    </row>
    <row r="535" spans="100:100" x14ac:dyDescent="0.2">
      <c r="CV535" s="328"/>
    </row>
    <row r="536" spans="100:100" x14ac:dyDescent="0.2">
      <c r="CV536" s="328" t="s">
        <v>175</v>
      </c>
    </row>
    <row r="537" spans="100:100" x14ac:dyDescent="0.2">
      <c r="CV537" s="328" t="s">
        <v>176</v>
      </c>
    </row>
    <row r="538" spans="100:100" x14ac:dyDescent="0.2">
      <c r="CV538" s="328" t="s">
        <v>177</v>
      </c>
    </row>
    <row r="539" spans="100:100" x14ac:dyDescent="0.2">
      <c r="CV539" s="328" t="s">
        <v>178</v>
      </c>
    </row>
    <row r="540" spans="100:100" x14ac:dyDescent="0.2">
      <c r="CV540" s="328" t="s">
        <v>179</v>
      </c>
    </row>
    <row r="541" spans="100:100" x14ac:dyDescent="0.2">
      <c r="CV541" s="328" t="s">
        <v>180</v>
      </c>
    </row>
    <row r="542" spans="100:100" x14ac:dyDescent="0.2">
      <c r="CV542" s="328" t="s">
        <v>181</v>
      </c>
    </row>
    <row r="543" spans="100:100" x14ac:dyDescent="0.2">
      <c r="CV543" s="328" t="s">
        <v>182</v>
      </c>
    </row>
    <row r="544" spans="100:100" x14ac:dyDescent="0.2">
      <c r="CV544" s="328" t="s">
        <v>183</v>
      </c>
    </row>
    <row r="545" spans="100:100" x14ac:dyDescent="0.2">
      <c r="CV545" s="328" t="s">
        <v>184</v>
      </c>
    </row>
    <row r="546" spans="100:100" x14ac:dyDescent="0.2">
      <c r="CV546" s="328" t="s">
        <v>185</v>
      </c>
    </row>
    <row r="547" spans="100:100" x14ac:dyDescent="0.2">
      <c r="CV547" s="328" t="s">
        <v>186</v>
      </c>
    </row>
    <row r="548" spans="100:100" x14ac:dyDescent="0.2">
      <c r="CV548" s="328"/>
    </row>
    <row r="549" spans="100:100" x14ac:dyDescent="0.2">
      <c r="CV549" s="328" t="s">
        <v>187</v>
      </c>
    </row>
    <row r="550" spans="100:100" x14ac:dyDescent="0.2">
      <c r="CV550" s="328" t="s">
        <v>188</v>
      </c>
    </row>
    <row r="551" spans="100:100" x14ac:dyDescent="0.2">
      <c r="CV551" s="328" t="s">
        <v>189</v>
      </c>
    </row>
    <row r="552" spans="100:100" x14ac:dyDescent="0.2">
      <c r="CV552" s="328" t="s">
        <v>190</v>
      </c>
    </row>
    <row r="553" spans="100:100" x14ac:dyDescent="0.2">
      <c r="CV553" s="328" t="s">
        <v>191</v>
      </c>
    </row>
    <row r="554" spans="100:100" x14ac:dyDescent="0.2">
      <c r="CV554" s="328" t="s">
        <v>192</v>
      </c>
    </row>
    <row r="555" spans="100:100" x14ac:dyDescent="0.2">
      <c r="CV555" s="328" t="s">
        <v>193</v>
      </c>
    </row>
    <row r="556" spans="100:100" x14ac:dyDescent="0.2">
      <c r="CV556" s="328" t="s">
        <v>194</v>
      </c>
    </row>
    <row r="557" spans="100:100" x14ac:dyDescent="0.2">
      <c r="CV557" s="328" t="s">
        <v>195</v>
      </c>
    </row>
    <row r="558" spans="100:100" x14ac:dyDescent="0.2">
      <c r="CV558" s="328" t="s">
        <v>196</v>
      </c>
    </row>
    <row r="559" spans="100:100" x14ac:dyDescent="0.2">
      <c r="CV559" s="328" t="s">
        <v>197</v>
      </c>
    </row>
    <row r="560" spans="100:100" x14ac:dyDescent="0.2">
      <c r="CV560" s="328" t="s">
        <v>198</v>
      </c>
    </row>
    <row r="561" spans="100:100" x14ac:dyDescent="0.2">
      <c r="CV561" s="328"/>
    </row>
    <row r="562" spans="100:100" x14ac:dyDescent="0.2">
      <c r="CV562" s="328" t="s">
        <v>199</v>
      </c>
    </row>
    <row r="563" spans="100:100" x14ac:dyDescent="0.2">
      <c r="CV563" s="328" t="s">
        <v>200</v>
      </c>
    </row>
    <row r="564" spans="100:100" x14ac:dyDescent="0.2">
      <c r="CV564" s="328" t="s">
        <v>201</v>
      </c>
    </row>
    <row r="565" spans="100:100" x14ac:dyDescent="0.2">
      <c r="CV565" s="328" t="s">
        <v>202</v>
      </c>
    </row>
    <row r="566" spans="100:100" x14ac:dyDescent="0.2">
      <c r="CV566" s="328" t="s">
        <v>203</v>
      </c>
    </row>
    <row r="567" spans="100:100" x14ac:dyDescent="0.2">
      <c r="CV567" s="328" t="s">
        <v>204</v>
      </c>
    </row>
    <row r="568" spans="100:100" x14ac:dyDescent="0.2">
      <c r="CV568" s="328" t="s">
        <v>205</v>
      </c>
    </row>
    <row r="569" spans="100:100" x14ac:dyDescent="0.2">
      <c r="CV569" s="328" t="s">
        <v>206</v>
      </c>
    </row>
    <row r="570" spans="100:100" x14ac:dyDescent="0.2">
      <c r="CV570" s="328" t="s">
        <v>207</v>
      </c>
    </row>
    <row r="571" spans="100:100" x14ac:dyDescent="0.2">
      <c r="CV571" s="328" t="s">
        <v>208</v>
      </c>
    </row>
    <row r="572" spans="100:100" x14ac:dyDescent="0.2">
      <c r="CV572" s="328" t="s">
        <v>209</v>
      </c>
    </row>
    <row r="573" spans="100:100" x14ac:dyDescent="0.2">
      <c r="CV573" s="328" t="s">
        <v>210</v>
      </c>
    </row>
    <row r="574" spans="100:100" x14ac:dyDescent="0.2">
      <c r="CV574" s="328"/>
    </row>
    <row r="575" spans="100:100" x14ac:dyDescent="0.2">
      <c r="CV575" s="328" t="s">
        <v>211</v>
      </c>
    </row>
    <row r="576" spans="100:100" x14ac:dyDescent="0.2">
      <c r="CV576" s="328" t="s">
        <v>212</v>
      </c>
    </row>
    <row r="577" spans="100:100" x14ac:dyDescent="0.2">
      <c r="CV577" s="328" t="s">
        <v>213</v>
      </c>
    </row>
    <row r="578" spans="100:100" x14ac:dyDescent="0.2">
      <c r="CV578" s="328" t="s">
        <v>214</v>
      </c>
    </row>
    <row r="579" spans="100:100" x14ac:dyDescent="0.2">
      <c r="CV579" s="328" t="s">
        <v>215</v>
      </c>
    </row>
    <row r="580" spans="100:100" x14ac:dyDescent="0.2">
      <c r="CV580" s="328" t="s">
        <v>216</v>
      </c>
    </row>
    <row r="581" spans="100:100" x14ac:dyDescent="0.2">
      <c r="CV581" s="328" t="s">
        <v>217</v>
      </c>
    </row>
    <row r="582" spans="100:100" x14ac:dyDescent="0.2">
      <c r="CV582" s="328" t="s">
        <v>218</v>
      </c>
    </row>
    <row r="583" spans="100:100" x14ac:dyDescent="0.2">
      <c r="CV583" s="328" t="s">
        <v>219</v>
      </c>
    </row>
    <row r="584" spans="100:100" x14ac:dyDescent="0.2">
      <c r="CV584" s="328" t="s">
        <v>220</v>
      </c>
    </row>
    <row r="585" spans="100:100" x14ac:dyDescent="0.2">
      <c r="CV585" s="328" t="s">
        <v>221</v>
      </c>
    </row>
    <row r="586" spans="100:100" x14ac:dyDescent="0.2">
      <c r="CV586" s="328" t="s">
        <v>222</v>
      </c>
    </row>
    <row r="587" spans="100:100" x14ac:dyDescent="0.2">
      <c r="CV587" s="328"/>
    </row>
    <row r="588" spans="100:100" x14ac:dyDescent="0.2">
      <c r="CV588" s="328" t="s">
        <v>223</v>
      </c>
    </row>
    <row r="589" spans="100:100" x14ac:dyDescent="0.2">
      <c r="CV589" s="328" t="s">
        <v>224</v>
      </c>
    </row>
    <row r="590" spans="100:100" x14ac:dyDescent="0.2">
      <c r="CV590" s="328" t="s">
        <v>225</v>
      </c>
    </row>
    <row r="591" spans="100:100" x14ac:dyDescent="0.2">
      <c r="CV591" s="328" t="s">
        <v>226</v>
      </c>
    </row>
    <row r="592" spans="100:100" x14ac:dyDescent="0.2">
      <c r="CV592" s="328" t="s">
        <v>227</v>
      </c>
    </row>
    <row r="593" spans="100:100" x14ac:dyDescent="0.2">
      <c r="CV593" s="328" t="s">
        <v>228</v>
      </c>
    </row>
    <row r="594" spans="100:100" x14ac:dyDescent="0.2">
      <c r="CV594" s="328" t="s">
        <v>229</v>
      </c>
    </row>
    <row r="595" spans="100:100" x14ac:dyDescent="0.2">
      <c r="CV595" s="328" t="s">
        <v>230</v>
      </c>
    </row>
    <row r="596" spans="100:100" x14ac:dyDescent="0.2">
      <c r="CV596" s="328" t="s">
        <v>231</v>
      </c>
    </row>
    <row r="597" spans="100:100" x14ac:dyDescent="0.2">
      <c r="CV597" s="328" t="s">
        <v>232</v>
      </c>
    </row>
    <row r="598" spans="100:100" x14ac:dyDescent="0.2">
      <c r="CV598" s="328" t="s">
        <v>233</v>
      </c>
    </row>
    <row r="599" spans="100:100" x14ac:dyDescent="0.2">
      <c r="CV599" s="328" t="s">
        <v>234</v>
      </c>
    </row>
    <row r="600" spans="100:100" x14ac:dyDescent="0.2">
      <c r="CV600" s="328"/>
    </row>
    <row r="601" spans="100:100" x14ac:dyDescent="0.2">
      <c r="CV601" s="328" t="s">
        <v>235</v>
      </c>
    </row>
    <row r="602" spans="100:100" x14ac:dyDescent="0.2">
      <c r="CV602" s="328" t="s">
        <v>236</v>
      </c>
    </row>
    <row r="603" spans="100:100" x14ac:dyDescent="0.2">
      <c r="CV603" s="328" t="s">
        <v>237</v>
      </c>
    </row>
    <row r="604" spans="100:100" x14ac:dyDescent="0.2">
      <c r="CV604" s="328" t="s">
        <v>238</v>
      </c>
    </row>
    <row r="605" spans="100:100" x14ac:dyDescent="0.2">
      <c r="CV605" s="328" t="s">
        <v>239</v>
      </c>
    </row>
    <row r="606" spans="100:100" x14ac:dyDescent="0.2">
      <c r="CV606" s="328" t="s">
        <v>240</v>
      </c>
    </row>
    <row r="607" spans="100:100" x14ac:dyDescent="0.2">
      <c r="CV607" s="328" t="s">
        <v>241</v>
      </c>
    </row>
    <row r="608" spans="100:100" x14ac:dyDescent="0.2">
      <c r="CV608" s="328" t="s">
        <v>242</v>
      </c>
    </row>
    <row r="609" spans="100:100" x14ac:dyDescent="0.2">
      <c r="CV609" s="328" t="s">
        <v>243</v>
      </c>
    </row>
    <row r="610" spans="100:100" x14ac:dyDescent="0.2">
      <c r="CV610" s="328" t="s">
        <v>244</v>
      </c>
    </row>
    <row r="611" spans="100:100" x14ac:dyDescent="0.2">
      <c r="CV611" s="328" t="s">
        <v>245</v>
      </c>
    </row>
    <row r="612" spans="100:100" x14ac:dyDescent="0.2">
      <c r="CV612" s="328" t="s">
        <v>246</v>
      </c>
    </row>
    <row r="613" spans="100:100" x14ac:dyDescent="0.2">
      <c r="CV613" s="328"/>
    </row>
    <row r="614" spans="100:100" x14ac:dyDescent="0.2">
      <c r="CV614" s="328" t="s">
        <v>247</v>
      </c>
    </row>
    <row r="615" spans="100:100" x14ac:dyDescent="0.2">
      <c r="CV615" s="328" t="s">
        <v>248</v>
      </c>
    </row>
    <row r="616" spans="100:100" x14ac:dyDescent="0.2">
      <c r="CV616" s="328" t="s">
        <v>249</v>
      </c>
    </row>
    <row r="617" spans="100:100" x14ac:dyDescent="0.2">
      <c r="CV617" s="328" t="s">
        <v>250</v>
      </c>
    </row>
    <row r="618" spans="100:100" x14ac:dyDescent="0.2">
      <c r="CV618" s="328" t="s">
        <v>251</v>
      </c>
    </row>
    <row r="619" spans="100:100" x14ac:dyDescent="0.2">
      <c r="CV619" s="328" t="s">
        <v>252</v>
      </c>
    </row>
    <row r="620" spans="100:100" x14ac:dyDescent="0.2">
      <c r="CV620" s="328" t="s">
        <v>253</v>
      </c>
    </row>
    <row r="621" spans="100:100" x14ac:dyDescent="0.2">
      <c r="CV621" s="328" t="s">
        <v>254</v>
      </c>
    </row>
    <row r="622" spans="100:100" x14ac:dyDescent="0.2">
      <c r="CV622" s="328" t="s">
        <v>255</v>
      </c>
    </row>
    <row r="623" spans="100:100" x14ac:dyDescent="0.2">
      <c r="CV623" s="328" t="s">
        <v>256</v>
      </c>
    </row>
    <row r="624" spans="100:100" x14ac:dyDescent="0.2">
      <c r="CV624" s="328" t="s">
        <v>257</v>
      </c>
    </row>
    <row r="625" spans="100:100" x14ac:dyDescent="0.2">
      <c r="CV625" s="328" t="s">
        <v>258</v>
      </c>
    </row>
    <row r="626" spans="100:100" x14ac:dyDescent="0.2">
      <c r="CV626" s="328"/>
    </row>
    <row r="627" spans="100:100" x14ac:dyDescent="0.2">
      <c r="CV627" s="328" t="s">
        <v>259</v>
      </c>
    </row>
    <row r="628" spans="100:100" x14ac:dyDescent="0.2">
      <c r="CV628" s="328" t="s">
        <v>260</v>
      </c>
    </row>
    <row r="629" spans="100:100" x14ac:dyDescent="0.2">
      <c r="CV629" s="328" t="s">
        <v>261</v>
      </c>
    </row>
    <row r="630" spans="100:100" x14ac:dyDescent="0.2">
      <c r="CV630" s="328" t="s">
        <v>262</v>
      </c>
    </row>
    <row r="631" spans="100:100" x14ac:dyDescent="0.2">
      <c r="CV631" s="328" t="s">
        <v>263</v>
      </c>
    </row>
    <row r="632" spans="100:100" x14ac:dyDescent="0.2">
      <c r="CV632" s="328" t="s">
        <v>264</v>
      </c>
    </row>
    <row r="633" spans="100:100" x14ac:dyDescent="0.2">
      <c r="CV633" s="328" t="s">
        <v>265</v>
      </c>
    </row>
    <row r="634" spans="100:100" x14ac:dyDescent="0.2">
      <c r="CV634" s="328" t="s">
        <v>266</v>
      </c>
    </row>
    <row r="635" spans="100:100" x14ac:dyDescent="0.2">
      <c r="CV635" s="328" t="s">
        <v>267</v>
      </c>
    </row>
    <row r="636" spans="100:100" x14ac:dyDescent="0.2">
      <c r="CV636" s="328" t="s">
        <v>268</v>
      </c>
    </row>
    <row r="637" spans="100:100" x14ac:dyDescent="0.2">
      <c r="CV637" s="328" t="s">
        <v>269</v>
      </c>
    </row>
    <row r="638" spans="100:100" x14ac:dyDescent="0.2">
      <c r="CV638" s="328" t="s">
        <v>270</v>
      </c>
    </row>
    <row r="639" spans="100:100" x14ac:dyDescent="0.2">
      <c r="CV639" s="328"/>
    </row>
    <row r="640" spans="100:100" x14ac:dyDescent="0.2">
      <c r="CV640" s="328" t="s">
        <v>271</v>
      </c>
    </row>
    <row r="641" spans="100:100" x14ac:dyDescent="0.2">
      <c r="CV641" s="328" t="s">
        <v>272</v>
      </c>
    </row>
    <row r="642" spans="100:100" x14ac:dyDescent="0.2">
      <c r="CV642" s="328" t="s">
        <v>273</v>
      </c>
    </row>
    <row r="643" spans="100:100" x14ac:dyDescent="0.2">
      <c r="CV643" s="328" t="s">
        <v>274</v>
      </c>
    </row>
    <row r="644" spans="100:100" x14ac:dyDescent="0.2">
      <c r="CV644" s="328" t="s">
        <v>275</v>
      </c>
    </row>
    <row r="645" spans="100:100" x14ac:dyDescent="0.2">
      <c r="CV645" s="328" t="s">
        <v>276</v>
      </c>
    </row>
    <row r="646" spans="100:100" x14ac:dyDescent="0.2">
      <c r="CV646" s="328" t="s">
        <v>277</v>
      </c>
    </row>
    <row r="647" spans="100:100" x14ac:dyDescent="0.2">
      <c r="CV647" s="328" t="s">
        <v>278</v>
      </c>
    </row>
    <row r="648" spans="100:100" x14ac:dyDescent="0.2">
      <c r="CV648" s="328" t="s">
        <v>279</v>
      </c>
    </row>
    <row r="649" spans="100:100" x14ac:dyDescent="0.2">
      <c r="CV649" s="328" t="s">
        <v>280</v>
      </c>
    </row>
    <row r="650" spans="100:100" x14ac:dyDescent="0.2">
      <c r="CV650" s="328" t="s">
        <v>281</v>
      </c>
    </row>
    <row r="651" spans="100:100" x14ac:dyDescent="0.2">
      <c r="CV651" s="328" t="s">
        <v>282</v>
      </c>
    </row>
    <row r="652" spans="100:100" x14ac:dyDescent="0.2">
      <c r="CV652" s="328"/>
    </row>
    <row r="653" spans="100:100" x14ac:dyDescent="0.2">
      <c r="CV653" s="328" t="s">
        <v>283</v>
      </c>
    </row>
    <row r="654" spans="100:100" x14ac:dyDescent="0.2">
      <c r="CV654" s="328" t="s">
        <v>284</v>
      </c>
    </row>
    <row r="655" spans="100:100" x14ac:dyDescent="0.2">
      <c r="CV655" s="328" t="s">
        <v>285</v>
      </c>
    </row>
    <row r="656" spans="100:100" x14ac:dyDescent="0.2">
      <c r="CV656" s="328" t="s">
        <v>286</v>
      </c>
    </row>
    <row r="657" spans="100:100" x14ac:dyDescent="0.2">
      <c r="CV657" s="328" t="s">
        <v>287</v>
      </c>
    </row>
    <row r="658" spans="100:100" x14ac:dyDescent="0.2">
      <c r="CV658" s="328" t="s">
        <v>288</v>
      </c>
    </row>
    <row r="659" spans="100:100" x14ac:dyDescent="0.2">
      <c r="CV659" s="328" t="s">
        <v>289</v>
      </c>
    </row>
    <row r="660" spans="100:100" x14ac:dyDescent="0.2">
      <c r="CV660" s="328" t="s">
        <v>290</v>
      </c>
    </row>
    <row r="661" spans="100:100" x14ac:dyDescent="0.2">
      <c r="CV661" s="328" t="s">
        <v>291</v>
      </c>
    </row>
    <row r="662" spans="100:100" x14ac:dyDescent="0.2">
      <c r="CV662" s="328" t="s">
        <v>292</v>
      </c>
    </row>
    <row r="663" spans="100:100" x14ac:dyDescent="0.2">
      <c r="CV663" s="328" t="s">
        <v>293</v>
      </c>
    </row>
    <row r="664" spans="100:100" x14ac:dyDescent="0.2">
      <c r="CV664" s="328" t="s">
        <v>294</v>
      </c>
    </row>
    <row r="665" spans="100:100" x14ac:dyDescent="0.2">
      <c r="CV665" s="328"/>
    </row>
    <row r="666" spans="100:100" x14ac:dyDescent="0.2">
      <c r="CV666" s="328" t="s">
        <v>295</v>
      </c>
    </row>
    <row r="667" spans="100:100" x14ac:dyDescent="0.2">
      <c r="CV667" s="328" t="s">
        <v>296</v>
      </c>
    </row>
    <row r="668" spans="100:100" x14ac:dyDescent="0.2">
      <c r="CV668" s="328" t="s">
        <v>297</v>
      </c>
    </row>
    <row r="669" spans="100:100" x14ac:dyDescent="0.2">
      <c r="CV669" s="328" t="s">
        <v>298</v>
      </c>
    </row>
    <row r="670" spans="100:100" x14ac:dyDescent="0.2">
      <c r="CV670" s="328" t="s">
        <v>299</v>
      </c>
    </row>
    <row r="671" spans="100:100" x14ac:dyDescent="0.2">
      <c r="CV671" s="328" t="s">
        <v>300</v>
      </c>
    </row>
    <row r="672" spans="100:100" x14ac:dyDescent="0.2">
      <c r="CV672" s="328" t="s">
        <v>301</v>
      </c>
    </row>
    <row r="673" spans="100:100" x14ac:dyDescent="0.2">
      <c r="CV673" s="328" t="s">
        <v>302</v>
      </c>
    </row>
    <row r="674" spans="100:100" x14ac:dyDescent="0.2">
      <c r="CV674" s="328" t="s">
        <v>303</v>
      </c>
    </row>
    <row r="675" spans="100:100" x14ac:dyDescent="0.2">
      <c r="CV675" s="328" t="s">
        <v>304</v>
      </c>
    </row>
    <row r="676" spans="100:100" x14ac:dyDescent="0.2">
      <c r="CV676" s="328" t="s">
        <v>305</v>
      </c>
    </row>
    <row r="677" spans="100:100" x14ac:dyDescent="0.2">
      <c r="CV677" s="328" t="s">
        <v>306</v>
      </c>
    </row>
    <row r="678" spans="100:100" x14ac:dyDescent="0.2">
      <c r="CV678" s="328"/>
    </row>
    <row r="679" spans="100:100" x14ac:dyDescent="0.2">
      <c r="CV679" s="328" t="s">
        <v>307</v>
      </c>
    </row>
    <row r="680" spans="100:100" x14ac:dyDescent="0.2">
      <c r="CV680" s="328" t="s">
        <v>308</v>
      </c>
    </row>
    <row r="681" spans="100:100" x14ac:dyDescent="0.2">
      <c r="CV681" s="328" t="s">
        <v>309</v>
      </c>
    </row>
    <row r="682" spans="100:100" x14ac:dyDescent="0.2">
      <c r="CV682" s="328" t="s">
        <v>310</v>
      </c>
    </row>
    <row r="683" spans="100:100" x14ac:dyDescent="0.2">
      <c r="CV683" s="328" t="s">
        <v>311</v>
      </c>
    </row>
    <row r="684" spans="100:100" x14ac:dyDescent="0.2">
      <c r="CV684" s="328" t="s">
        <v>312</v>
      </c>
    </row>
    <row r="685" spans="100:100" x14ac:dyDescent="0.2">
      <c r="CV685" s="328" t="s">
        <v>313</v>
      </c>
    </row>
    <row r="686" spans="100:100" x14ac:dyDescent="0.2">
      <c r="CV686" s="328" t="s">
        <v>314</v>
      </c>
    </row>
    <row r="687" spans="100:100" x14ac:dyDescent="0.2">
      <c r="CV687" s="328" t="s">
        <v>315</v>
      </c>
    </row>
    <row r="688" spans="100:100" x14ac:dyDescent="0.2">
      <c r="CV688" s="328" t="s">
        <v>316</v>
      </c>
    </row>
    <row r="689" spans="100:100" x14ac:dyDescent="0.2">
      <c r="CV689" s="328" t="s">
        <v>317</v>
      </c>
    </row>
    <row r="690" spans="100:100" x14ac:dyDescent="0.2">
      <c r="CV690" s="328" t="s">
        <v>318</v>
      </c>
    </row>
    <row r="691" spans="100:100" x14ac:dyDescent="0.2">
      <c r="CV691" s="328"/>
    </row>
    <row r="692" spans="100:100" x14ac:dyDescent="0.2">
      <c r="CV692" s="328" t="s">
        <v>319</v>
      </c>
    </row>
    <row r="693" spans="100:100" x14ac:dyDescent="0.2">
      <c r="CV693" s="328" t="s">
        <v>320</v>
      </c>
    </row>
    <row r="694" spans="100:100" x14ac:dyDescent="0.2">
      <c r="CV694" s="328" t="s">
        <v>321</v>
      </c>
    </row>
    <row r="695" spans="100:100" x14ac:dyDescent="0.2">
      <c r="CV695" s="328" t="s">
        <v>322</v>
      </c>
    </row>
    <row r="696" spans="100:100" x14ac:dyDescent="0.2">
      <c r="CV696" s="328" t="s">
        <v>323</v>
      </c>
    </row>
    <row r="697" spans="100:100" x14ac:dyDescent="0.2">
      <c r="CV697" s="328" t="s">
        <v>324</v>
      </c>
    </row>
    <row r="698" spans="100:100" x14ac:dyDescent="0.2">
      <c r="CV698" s="328" t="s">
        <v>325</v>
      </c>
    </row>
    <row r="699" spans="100:100" x14ac:dyDescent="0.2">
      <c r="CV699" s="328" t="s">
        <v>326</v>
      </c>
    </row>
    <row r="700" spans="100:100" x14ac:dyDescent="0.2">
      <c r="CV700" s="328" t="s">
        <v>327</v>
      </c>
    </row>
    <row r="701" spans="100:100" x14ac:dyDescent="0.2">
      <c r="CV701" s="328" t="s">
        <v>328</v>
      </c>
    </row>
    <row r="702" spans="100:100" x14ac:dyDescent="0.2">
      <c r="CV702" s="328" t="s">
        <v>329</v>
      </c>
    </row>
    <row r="703" spans="100:100" x14ac:dyDescent="0.2">
      <c r="CV703" s="328" t="s">
        <v>330</v>
      </c>
    </row>
    <row r="704" spans="100:100" x14ac:dyDescent="0.2">
      <c r="CV704" s="328"/>
    </row>
    <row r="705" spans="100:100" x14ac:dyDescent="0.2">
      <c r="CV705" s="328" t="s">
        <v>331</v>
      </c>
    </row>
    <row r="706" spans="100:100" x14ac:dyDescent="0.2">
      <c r="CV706" s="328" t="s">
        <v>332</v>
      </c>
    </row>
    <row r="707" spans="100:100" x14ac:dyDescent="0.2">
      <c r="CV707" s="328" t="s">
        <v>333</v>
      </c>
    </row>
    <row r="708" spans="100:100" x14ac:dyDescent="0.2">
      <c r="CV708" s="328" t="s">
        <v>334</v>
      </c>
    </row>
    <row r="709" spans="100:100" x14ac:dyDescent="0.2">
      <c r="CV709" s="328" t="s">
        <v>335</v>
      </c>
    </row>
    <row r="710" spans="100:100" x14ac:dyDescent="0.2">
      <c r="CV710" s="328" t="s">
        <v>336</v>
      </c>
    </row>
    <row r="711" spans="100:100" x14ac:dyDescent="0.2">
      <c r="CV711" s="328" t="s">
        <v>337</v>
      </c>
    </row>
    <row r="712" spans="100:100" x14ac:dyDescent="0.2">
      <c r="CV712" s="328" t="s">
        <v>338</v>
      </c>
    </row>
    <row r="713" spans="100:100" x14ac:dyDescent="0.2">
      <c r="CV713" s="328" t="s">
        <v>339</v>
      </c>
    </row>
    <row r="714" spans="100:100" x14ac:dyDescent="0.2">
      <c r="CV714" s="328" t="s">
        <v>340</v>
      </c>
    </row>
    <row r="715" spans="100:100" x14ac:dyDescent="0.2">
      <c r="CV715" s="328" t="s">
        <v>341</v>
      </c>
    </row>
    <row r="716" spans="100:100" x14ac:dyDescent="0.2">
      <c r="CV716" s="328" t="s">
        <v>342</v>
      </c>
    </row>
    <row r="717" spans="100:100" x14ac:dyDescent="0.2">
      <c r="CV717" s="328"/>
    </row>
    <row r="718" spans="100:100" x14ac:dyDescent="0.2">
      <c r="CV718" s="328" t="s">
        <v>343</v>
      </c>
    </row>
    <row r="719" spans="100:100" x14ac:dyDescent="0.2">
      <c r="CV719" s="328" t="s">
        <v>344</v>
      </c>
    </row>
    <row r="720" spans="100:100" x14ac:dyDescent="0.2">
      <c r="CV720" s="328" t="s">
        <v>345</v>
      </c>
    </row>
    <row r="721" spans="100:100" x14ac:dyDescent="0.2">
      <c r="CV721" s="328" t="s">
        <v>346</v>
      </c>
    </row>
    <row r="722" spans="100:100" x14ac:dyDescent="0.2">
      <c r="CV722" s="328" t="s">
        <v>347</v>
      </c>
    </row>
    <row r="723" spans="100:100" x14ac:dyDescent="0.2">
      <c r="CV723" s="328" t="s">
        <v>348</v>
      </c>
    </row>
    <row r="724" spans="100:100" x14ac:dyDescent="0.2">
      <c r="CV724" s="328" t="s">
        <v>349</v>
      </c>
    </row>
    <row r="725" spans="100:100" x14ac:dyDescent="0.2">
      <c r="CV725" s="328" t="s">
        <v>350</v>
      </c>
    </row>
    <row r="726" spans="100:100" x14ac:dyDescent="0.2">
      <c r="CV726" s="328" t="s">
        <v>351</v>
      </c>
    </row>
    <row r="727" spans="100:100" x14ac:dyDescent="0.2">
      <c r="CV727" s="328" t="s">
        <v>352</v>
      </c>
    </row>
    <row r="728" spans="100:100" x14ac:dyDescent="0.2">
      <c r="CV728" s="328" t="s">
        <v>353</v>
      </c>
    </row>
    <row r="729" spans="100:100" x14ac:dyDescent="0.2">
      <c r="CV729" s="328" t="s">
        <v>354</v>
      </c>
    </row>
    <row r="730" spans="100:100" x14ac:dyDescent="0.2">
      <c r="CV730" s="328"/>
    </row>
    <row r="731" spans="100:100" x14ac:dyDescent="0.2">
      <c r="CV731" s="328" t="s">
        <v>355</v>
      </c>
    </row>
    <row r="732" spans="100:100" x14ac:dyDescent="0.2">
      <c r="CV732" s="328" t="s">
        <v>356</v>
      </c>
    </row>
    <row r="733" spans="100:100" x14ac:dyDescent="0.2">
      <c r="CV733" s="328" t="s">
        <v>357</v>
      </c>
    </row>
    <row r="734" spans="100:100" x14ac:dyDescent="0.2">
      <c r="CV734" s="328" t="s">
        <v>358</v>
      </c>
    </row>
    <row r="735" spans="100:100" x14ac:dyDescent="0.2">
      <c r="CV735" s="328" t="s">
        <v>359</v>
      </c>
    </row>
    <row r="736" spans="100:100" x14ac:dyDescent="0.2">
      <c r="CV736" s="328" t="s">
        <v>360</v>
      </c>
    </row>
    <row r="737" spans="100:100" x14ac:dyDescent="0.2">
      <c r="CV737" s="328" t="s">
        <v>361</v>
      </c>
    </row>
    <row r="738" spans="100:100" x14ac:dyDescent="0.2">
      <c r="CV738" s="328" t="s">
        <v>362</v>
      </c>
    </row>
    <row r="739" spans="100:100" x14ac:dyDescent="0.2">
      <c r="CV739" s="328" t="s">
        <v>363</v>
      </c>
    </row>
    <row r="740" spans="100:100" x14ac:dyDescent="0.2">
      <c r="CV740" s="328" t="s">
        <v>364</v>
      </c>
    </row>
    <row r="741" spans="100:100" x14ac:dyDescent="0.2">
      <c r="CV741" s="328" t="s">
        <v>365</v>
      </c>
    </row>
    <row r="742" spans="100:100" x14ac:dyDescent="0.2">
      <c r="CV742" s="328" t="s">
        <v>366</v>
      </c>
    </row>
    <row r="743" spans="100:100" x14ac:dyDescent="0.2">
      <c r="CV743" s="328"/>
    </row>
    <row r="744" spans="100:100" x14ac:dyDescent="0.2">
      <c r="CV744" s="328" t="s">
        <v>367</v>
      </c>
    </row>
    <row r="745" spans="100:100" x14ac:dyDescent="0.2">
      <c r="CV745" s="328" t="s">
        <v>368</v>
      </c>
    </row>
    <row r="746" spans="100:100" x14ac:dyDescent="0.2">
      <c r="CV746" s="328" t="s">
        <v>369</v>
      </c>
    </row>
    <row r="747" spans="100:100" x14ac:dyDescent="0.2">
      <c r="CV747" s="328" t="s">
        <v>370</v>
      </c>
    </row>
    <row r="748" spans="100:100" x14ac:dyDescent="0.2">
      <c r="CV748" s="328" t="s">
        <v>371</v>
      </c>
    </row>
    <row r="749" spans="100:100" x14ac:dyDescent="0.2">
      <c r="CV749" s="328" t="s">
        <v>372</v>
      </c>
    </row>
    <row r="750" spans="100:100" x14ac:dyDescent="0.2">
      <c r="CV750" s="328" t="s">
        <v>373</v>
      </c>
    </row>
    <row r="751" spans="100:100" x14ac:dyDescent="0.2">
      <c r="CV751" s="328" t="s">
        <v>374</v>
      </c>
    </row>
    <row r="752" spans="100:100" x14ac:dyDescent="0.2">
      <c r="CV752" s="328" t="s">
        <v>375</v>
      </c>
    </row>
    <row r="753" spans="100:100" x14ac:dyDescent="0.2">
      <c r="CV753" s="328" t="s">
        <v>376</v>
      </c>
    </row>
    <row r="754" spans="100:100" x14ac:dyDescent="0.2">
      <c r="CV754" s="328" t="s">
        <v>377</v>
      </c>
    </row>
    <row r="755" spans="100:100" x14ac:dyDescent="0.2">
      <c r="CV755" s="328" t="s">
        <v>378</v>
      </c>
    </row>
    <row r="756" spans="100:100" x14ac:dyDescent="0.2">
      <c r="CV756" s="328"/>
    </row>
    <row r="757" spans="100:100" x14ac:dyDescent="0.2">
      <c r="CV757" s="328" t="s">
        <v>379</v>
      </c>
    </row>
    <row r="758" spans="100:100" x14ac:dyDescent="0.2">
      <c r="CV758" s="328" t="s">
        <v>380</v>
      </c>
    </row>
    <row r="759" spans="100:100" x14ac:dyDescent="0.2">
      <c r="CV759" s="328" t="s">
        <v>381</v>
      </c>
    </row>
    <row r="760" spans="100:100" x14ac:dyDescent="0.2">
      <c r="CV760" s="328" t="s">
        <v>382</v>
      </c>
    </row>
    <row r="761" spans="100:100" x14ac:dyDescent="0.2">
      <c r="CV761" s="328" t="s">
        <v>383</v>
      </c>
    </row>
    <row r="762" spans="100:100" x14ac:dyDescent="0.2">
      <c r="CV762" s="328" t="s">
        <v>384</v>
      </c>
    </row>
    <row r="763" spans="100:100" x14ac:dyDescent="0.2">
      <c r="CV763" s="328" t="s">
        <v>385</v>
      </c>
    </row>
    <row r="764" spans="100:100" x14ac:dyDescent="0.2">
      <c r="CV764" s="328" t="s">
        <v>386</v>
      </c>
    </row>
    <row r="765" spans="100:100" x14ac:dyDescent="0.2">
      <c r="CV765" s="328" t="s">
        <v>387</v>
      </c>
    </row>
    <row r="766" spans="100:100" x14ac:dyDescent="0.2">
      <c r="CV766" s="328" t="s">
        <v>388</v>
      </c>
    </row>
    <row r="767" spans="100:100" x14ac:dyDescent="0.2">
      <c r="CV767" s="328" t="s">
        <v>389</v>
      </c>
    </row>
    <row r="768" spans="100:100" x14ac:dyDescent="0.2">
      <c r="CV768" s="328" t="s">
        <v>390</v>
      </c>
    </row>
    <row r="769" spans="100:100" x14ac:dyDescent="0.2">
      <c r="CV769" s="328"/>
    </row>
    <row r="770" spans="100:100" x14ac:dyDescent="0.2">
      <c r="CV770" s="328" t="s">
        <v>391</v>
      </c>
    </row>
    <row r="771" spans="100:100" x14ac:dyDescent="0.2">
      <c r="CV771" s="328" t="s">
        <v>392</v>
      </c>
    </row>
    <row r="772" spans="100:100" x14ac:dyDescent="0.2">
      <c r="CV772" s="328" t="s">
        <v>393</v>
      </c>
    </row>
    <row r="773" spans="100:100" x14ac:dyDescent="0.2">
      <c r="CV773" s="328" t="s">
        <v>394</v>
      </c>
    </row>
    <row r="774" spans="100:100" x14ac:dyDescent="0.2">
      <c r="CV774" s="328" t="s">
        <v>395</v>
      </c>
    </row>
    <row r="775" spans="100:100" x14ac:dyDescent="0.2">
      <c r="CV775" s="328" t="s">
        <v>396</v>
      </c>
    </row>
    <row r="776" spans="100:100" x14ac:dyDescent="0.2">
      <c r="CV776" s="328" t="s">
        <v>397</v>
      </c>
    </row>
    <row r="777" spans="100:100" x14ac:dyDescent="0.2">
      <c r="CV777" s="328" t="s">
        <v>398</v>
      </c>
    </row>
    <row r="778" spans="100:100" x14ac:dyDescent="0.2">
      <c r="CV778" s="328" t="s">
        <v>399</v>
      </c>
    </row>
    <row r="779" spans="100:100" x14ac:dyDescent="0.2">
      <c r="CV779" s="328" t="s">
        <v>400</v>
      </c>
    </row>
    <row r="780" spans="100:100" x14ac:dyDescent="0.2">
      <c r="CV780" s="328" t="s">
        <v>401</v>
      </c>
    </row>
    <row r="781" spans="100:100" x14ac:dyDescent="0.2">
      <c r="CV781" s="328" t="s">
        <v>402</v>
      </c>
    </row>
    <row r="782" spans="100:100" x14ac:dyDescent="0.2">
      <c r="CV782" s="328"/>
    </row>
    <row r="783" spans="100:100" x14ac:dyDescent="0.2">
      <c r="CV783" s="328" t="s">
        <v>403</v>
      </c>
    </row>
    <row r="784" spans="100:100" x14ac:dyDescent="0.2">
      <c r="CV784" s="328" t="s">
        <v>404</v>
      </c>
    </row>
    <row r="785" spans="100:100" x14ac:dyDescent="0.2">
      <c r="CV785" s="328" t="s">
        <v>405</v>
      </c>
    </row>
    <row r="786" spans="100:100" x14ac:dyDescent="0.2">
      <c r="CV786" s="328" t="s">
        <v>406</v>
      </c>
    </row>
    <row r="787" spans="100:100" x14ac:dyDescent="0.2">
      <c r="CV787" s="328" t="s">
        <v>407</v>
      </c>
    </row>
    <row r="788" spans="100:100" x14ac:dyDescent="0.2">
      <c r="CV788" s="328" t="s">
        <v>408</v>
      </c>
    </row>
    <row r="789" spans="100:100" x14ac:dyDescent="0.2">
      <c r="CV789" s="328" t="s">
        <v>409</v>
      </c>
    </row>
    <row r="790" spans="100:100" x14ac:dyDescent="0.2">
      <c r="CV790" s="328" t="s">
        <v>410</v>
      </c>
    </row>
    <row r="791" spans="100:100" x14ac:dyDescent="0.2">
      <c r="CV791" s="328" t="s">
        <v>411</v>
      </c>
    </row>
    <row r="792" spans="100:100" x14ac:dyDescent="0.2">
      <c r="CV792" s="328" t="s">
        <v>412</v>
      </c>
    </row>
    <row r="793" spans="100:100" x14ac:dyDescent="0.2">
      <c r="CV793" s="328" t="s">
        <v>413</v>
      </c>
    </row>
    <row r="794" spans="100:100" x14ac:dyDescent="0.2">
      <c r="CV794" s="328" t="s">
        <v>414</v>
      </c>
    </row>
    <row r="795" spans="100:100" x14ac:dyDescent="0.2">
      <c r="CV795" s="328"/>
    </row>
    <row r="796" spans="100:100" x14ac:dyDescent="0.2">
      <c r="CV796" s="328" t="s">
        <v>415</v>
      </c>
    </row>
    <row r="797" spans="100:100" x14ac:dyDescent="0.2">
      <c r="CV797" s="328" t="s">
        <v>416</v>
      </c>
    </row>
    <row r="798" spans="100:100" x14ac:dyDescent="0.2">
      <c r="CV798" s="328" t="s">
        <v>417</v>
      </c>
    </row>
    <row r="799" spans="100:100" x14ac:dyDescent="0.2">
      <c r="CV799" s="328" t="s">
        <v>418</v>
      </c>
    </row>
    <row r="800" spans="100:100" x14ac:dyDescent="0.2">
      <c r="CV800" s="328" t="s">
        <v>419</v>
      </c>
    </row>
    <row r="801" spans="100:100" x14ac:dyDescent="0.2">
      <c r="CV801" s="328" t="s">
        <v>420</v>
      </c>
    </row>
    <row r="802" spans="100:100" x14ac:dyDescent="0.2">
      <c r="CV802" s="328" t="s">
        <v>421</v>
      </c>
    </row>
    <row r="803" spans="100:100" x14ac:dyDescent="0.2">
      <c r="CV803" s="328" t="s">
        <v>422</v>
      </c>
    </row>
    <row r="804" spans="100:100" x14ac:dyDescent="0.2">
      <c r="CV804" s="328" t="s">
        <v>423</v>
      </c>
    </row>
    <row r="805" spans="100:100" x14ac:dyDescent="0.2">
      <c r="CV805" s="328" t="s">
        <v>424</v>
      </c>
    </row>
    <row r="806" spans="100:100" x14ac:dyDescent="0.2">
      <c r="CV806" s="328" t="s">
        <v>425</v>
      </c>
    </row>
    <row r="807" spans="100:100" x14ac:dyDescent="0.2">
      <c r="CV807" s="328" t="s">
        <v>426</v>
      </c>
    </row>
    <row r="808" spans="100:100" x14ac:dyDescent="0.2">
      <c r="CV808" s="328"/>
    </row>
    <row r="809" spans="100:100" x14ac:dyDescent="0.2">
      <c r="CV809" s="328" t="s">
        <v>427</v>
      </c>
    </row>
    <row r="810" spans="100:100" x14ac:dyDescent="0.2">
      <c r="CV810" s="328" t="s">
        <v>428</v>
      </c>
    </row>
    <row r="811" spans="100:100" x14ac:dyDescent="0.2">
      <c r="CV811" s="328" t="s">
        <v>429</v>
      </c>
    </row>
    <row r="812" spans="100:100" x14ac:dyDescent="0.2">
      <c r="CV812" s="328" t="s">
        <v>430</v>
      </c>
    </row>
    <row r="813" spans="100:100" x14ac:dyDescent="0.2">
      <c r="CV813" s="328" t="s">
        <v>431</v>
      </c>
    </row>
    <row r="814" spans="100:100" x14ac:dyDescent="0.2">
      <c r="CV814" s="328" t="s">
        <v>432</v>
      </c>
    </row>
    <row r="815" spans="100:100" x14ac:dyDescent="0.2">
      <c r="CV815" s="328" t="s">
        <v>433</v>
      </c>
    </row>
    <row r="816" spans="100:100" x14ac:dyDescent="0.2">
      <c r="CV816" s="328" t="s">
        <v>434</v>
      </c>
    </row>
    <row r="817" spans="100:100" x14ac:dyDescent="0.2">
      <c r="CV817" s="328" t="s">
        <v>435</v>
      </c>
    </row>
    <row r="818" spans="100:100" x14ac:dyDescent="0.2">
      <c r="CV818" s="328" t="s">
        <v>436</v>
      </c>
    </row>
    <row r="819" spans="100:100" x14ac:dyDescent="0.2">
      <c r="CV819" s="328" t="s">
        <v>437</v>
      </c>
    </row>
    <row r="820" spans="100:100" x14ac:dyDescent="0.2">
      <c r="CV820" s="328" t="s">
        <v>438</v>
      </c>
    </row>
    <row r="821" spans="100:100" x14ac:dyDescent="0.2">
      <c r="CV821" s="328"/>
    </row>
    <row r="822" spans="100:100" x14ac:dyDescent="0.2">
      <c r="CV822" s="328" t="s">
        <v>439</v>
      </c>
    </row>
    <row r="823" spans="100:100" x14ac:dyDescent="0.2">
      <c r="CV823" s="328" t="s">
        <v>440</v>
      </c>
    </row>
    <row r="824" spans="100:100" x14ac:dyDescent="0.2">
      <c r="CV824" s="328" t="s">
        <v>441</v>
      </c>
    </row>
    <row r="825" spans="100:100" x14ac:dyDescent="0.2">
      <c r="CV825" s="328" t="s">
        <v>442</v>
      </c>
    </row>
    <row r="826" spans="100:100" x14ac:dyDescent="0.2">
      <c r="CV826" s="328" t="s">
        <v>443</v>
      </c>
    </row>
    <row r="827" spans="100:100" x14ac:dyDescent="0.2">
      <c r="CV827" s="328" t="s">
        <v>444</v>
      </c>
    </row>
    <row r="828" spans="100:100" x14ac:dyDescent="0.2">
      <c r="CV828" s="328" t="s">
        <v>445</v>
      </c>
    </row>
    <row r="829" spans="100:100" x14ac:dyDescent="0.2">
      <c r="CV829" s="328" t="s">
        <v>446</v>
      </c>
    </row>
    <row r="830" spans="100:100" x14ac:dyDescent="0.2">
      <c r="CV830" s="328" t="s">
        <v>447</v>
      </c>
    </row>
    <row r="831" spans="100:100" x14ac:dyDescent="0.2">
      <c r="CV831" s="328" t="s">
        <v>448</v>
      </c>
    </row>
    <row r="832" spans="100:100" x14ac:dyDescent="0.2">
      <c r="CV832" s="328" t="s">
        <v>449</v>
      </c>
    </row>
    <row r="833" spans="100:100" x14ac:dyDescent="0.2">
      <c r="CV833" s="328" t="s">
        <v>450</v>
      </c>
    </row>
    <row r="834" spans="100:100" x14ac:dyDescent="0.2">
      <c r="CV834" s="328"/>
    </row>
    <row r="835" spans="100:100" x14ac:dyDescent="0.2">
      <c r="CV835" s="328" t="s">
        <v>451</v>
      </c>
    </row>
    <row r="836" spans="100:100" x14ac:dyDescent="0.2">
      <c r="CV836" s="328" t="s">
        <v>452</v>
      </c>
    </row>
    <row r="837" spans="100:100" x14ac:dyDescent="0.2">
      <c r="CV837" s="328" t="s">
        <v>453</v>
      </c>
    </row>
    <row r="838" spans="100:100" x14ac:dyDescent="0.2">
      <c r="CV838" s="328" t="s">
        <v>454</v>
      </c>
    </row>
    <row r="839" spans="100:100" x14ac:dyDescent="0.2">
      <c r="CV839" s="328" t="s">
        <v>455</v>
      </c>
    </row>
    <row r="840" spans="100:100" x14ac:dyDescent="0.2">
      <c r="CV840" s="328" t="s">
        <v>456</v>
      </c>
    </row>
    <row r="841" spans="100:100" x14ac:dyDescent="0.2">
      <c r="CV841" s="328" t="s">
        <v>457</v>
      </c>
    </row>
    <row r="842" spans="100:100" x14ac:dyDescent="0.2">
      <c r="CV842" s="328" t="s">
        <v>458</v>
      </c>
    </row>
    <row r="843" spans="100:100" x14ac:dyDescent="0.2">
      <c r="CV843" s="328" t="s">
        <v>459</v>
      </c>
    </row>
    <row r="844" spans="100:100" x14ac:dyDescent="0.2">
      <c r="CV844" s="328" t="s">
        <v>460</v>
      </c>
    </row>
    <row r="845" spans="100:100" x14ac:dyDescent="0.2">
      <c r="CV845" s="328" t="s">
        <v>461</v>
      </c>
    </row>
    <row r="846" spans="100:100" x14ac:dyDescent="0.2">
      <c r="CV846" s="328" t="s">
        <v>462</v>
      </c>
    </row>
    <row r="847" spans="100:100" x14ac:dyDescent="0.2">
      <c r="CV847" s="328"/>
    </row>
    <row r="848" spans="100:100" x14ac:dyDescent="0.2">
      <c r="CV848" s="328" t="s">
        <v>463</v>
      </c>
    </row>
    <row r="849" spans="100:100" x14ac:dyDescent="0.2">
      <c r="CV849" s="328" t="s">
        <v>464</v>
      </c>
    </row>
    <row r="850" spans="100:100" x14ac:dyDescent="0.2">
      <c r="CV850" s="328" t="s">
        <v>465</v>
      </c>
    </row>
    <row r="851" spans="100:100" x14ac:dyDescent="0.2">
      <c r="CV851" s="328" t="s">
        <v>466</v>
      </c>
    </row>
    <row r="852" spans="100:100" x14ac:dyDescent="0.2">
      <c r="CV852" s="328" t="s">
        <v>467</v>
      </c>
    </row>
    <row r="853" spans="100:100" x14ac:dyDescent="0.2">
      <c r="CV853" s="328" t="s">
        <v>468</v>
      </c>
    </row>
    <row r="854" spans="100:100" x14ac:dyDescent="0.2">
      <c r="CV854" s="328" t="s">
        <v>469</v>
      </c>
    </row>
    <row r="855" spans="100:100" x14ac:dyDescent="0.2">
      <c r="CV855" s="328" t="s">
        <v>470</v>
      </c>
    </row>
    <row r="856" spans="100:100" x14ac:dyDescent="0.2">
      <c r="CV856" s="328" t="s">
        <v>471</v>
      </c>
    </row>
    <row r="857" spans="100:100" x14ac:dyDescent="0.2">
      <c r="CV857" s="328" t="s">
        <v>472</v>
      </c>
    </row>
    <row r="858" spans="100:100" x14ac:dyDescent="0.2">
      <c r="CV858" s="328" t="s">
        <v>473</v>
      </c>
    </row>
    <row r="859" spans="100:100" x14ac:dyDescent="0.2">
      <c r="CV859" s="328" t="s">
        <v>474</v>
      </c>
    </row>
    <row r="860" spans="100:100" x14ac:dyDescent="0.2">
      <c r="CV860" s="328"/>
    </row>
    <row r="861" spans="100:100" x14ac:dyDescent="0.2">
      <c r="CV861" s="328" t="s">
        <v>475</v>
      </c>
    </row>
    <row r="862" spans="100:100" x14ac:dyDescent="0.2">
      <c r="CV862" s="328" t="s">
        <v>476</v>
      </c>
    </row>
    <row r="863" spans="100:100" x14ac:dyDescent="0.2">
      <c r="CV863" s="328" t="s">
        <v>477</v>
      </c>
    </row>
    <row r="864" spans="100:100" x14ac:dyDescent="0.2">
      <c r="CV864" s="328" t="s">
        <v>478</v>
      </c>
    </row>
    <row r="865" spans="100:100" x14ac:dyDescent="0.2">
      <c r="CV865" s="328" t="s">
        <v>479</v>
      </c>
    </row>
    <row r="866" spans="100:100" x14ac:dyDescent="0.2">
      <c r="CV866" s="328" t="s">
        <v>480</v>
      </c>
    </row>
    <row r="867" spans="100:100" x14ac:dyDescent="0.2">
      <c r="CV867" s="328" t="s">
        <v>481</v>
      </c>
    </row>
    <row r="868" spans="100:100" x14ac:dyDescent="0.2">
      <c r="CV868" s="328" t="s">
        <v>482</v>
      </c>
    </row>
    <row r="869" spans="100:100" x14ac:dyDescent="0.2">
      <c r="CV869" s="328" t="s">
        <v>483</v>
      </c>
    </row>
    <row r="870" spans="100:100" x14ac:dyDescent="0.2">
      <c r="CV870" s="328" t="s">
        <v>484</v>
      </c>
    </row>
    <row r="871" spans="100:100" x14ac:dyDescent="0.2">
      <c r="CV871" s="328" t="s">
        <v>485</v>
      </c>
    </row>
    <row r="872" spans="100:100" x14ac:dyDescent="0.2">
      <c r="CV872" s="328" t="s">
        <v>486</v>
      </c>
    </row>
    <row r="873" spans="100:100" x14ac:dyDescent="0.2">
      <c r="CV873" s="328"/>
    </row>
    <row r="874" spans="100:100" x14ac:dyDescent="0.2">
      <c r="CV874" s="328" t="s">
        <v>487</v>
      </c>
    </row>
    <row r="875" spans="100:100" x14ac:dyDescent="0.2">
      <c r="CV875" s="328" t="s">
        <v>488</v>
      </c>
    </row>
    <row r="876" spans="100:100" x14ac:dyDescent="0.2">
      <c r="CV876" s="328" t="s">
        <v>489</v>
      </c>
    </row>
    <row r="877" spans="100:100" x14ac:dyDescent="0.2">
      <c r="CV877" s="328" t="s">
        <v>490</v>
      </c>
    </row>
    <row r="878" spans="100:100" x14ac:dyDescent="0.2">
      <c r="CV878" s="328" t="s">
        <v>491</v>
      </c>
    </row>
    <row r="879" spans="100:100" x14ac:dyDescent="0.2">
      <c r="CV879" s="328" t="s">
        <v>492</v>
      </c>
    </row>
    <row r="880" spans="100:100" x14ac:dyDescent="0.2">
      <c r="CV880" s="328" t="s">
        <v>493</v>
      </c>
    </row>
    <row r="881" spans="100:100" x14ac:dyDescent="0.2">
      <c r="CV881" s="328" t="s">
        <v>494</v>
      </c>
    </row>
    <row r="882" spans="100:100" x14ac:dyDescent="0.2">
      <c r="CV882" s="328" t="s">
        <v>495</v>
      </c>
    </row>
    <row r="883" spans="100:100" x14ac:dyDescent="0.2">
      <c r="CV883" s="328" t="s">
        <v>496</v>
      </c>
    </row>
    <row r="884" spans="100:100" x14ac:dyDescent="0.2">
      <c r="CV884" s="328" t="s">
        <v>497</v>
      </c>
    </row>
    <row r="885" spans="100:100" x14ac:dyDescent="0.2">
      <c r="CV885" s="328" t="s">
        <v>498</v>
      </c>
    </row>
    <row r="886" spans="100:100" x14ac:dyDescent="0.2">
      <c r="CV886" s="328"/>
    </row>
    <row r="887" spans="100:100" x14ac:dyDescent="0.2">
      <c r="CV887" s="328" t="s">
        <v>499</v>
      </c>
    </row>
    <row r="888" spans="100:100" x14ac:dyDescent="0.2">
      <c r="CV888" s="328" t="s">
        <v>500</v>
      </c>
    </row>
    <row r="889" spans="100:100" x14ac:dyDescent="0.2">
      <c r="CV889" s="328" t="s">
        <v>501</v>
      </c>
    </row>
    <row r="890" spans="100:100" x14ac:dyDescent="0.2">
      <c r="CV890" s="328" t="s">
        <v>502</v>
      </c>
    </row>
    <row r="891" spans="100:100" x14ac:dyDescent="0.2">
      <c r="CV891" s="328" t="s">
        <v>503</v>
      </c>
    </row>
    <row r="892" spans="100:100" x14ac:dyDescent="0.2">
      <c r="CV892" s="328" t="s">
        <v>504</v>
      </c>
    </row>
    <row r="893" spans="100:100" x14ac:dyDescent="0.2">
      <c r="CV893" s="328" t="s">
        <v>505</v>
      </c>
    </row>
    <row r="894" spans="100:100" x14ac:dyDescent="0.2">
      <c r="CV894" s="328" t="s">
        <v>506</v>
      </c>
    </row>
    <row r="895" spans="100:100" x14ac:dyDescent="0.2">
      <c r="CV895" s="328" t="s">
        <v>507</v>
      </c>
    </row>
    <row r="896" spans="100:100" x14ac:dyDescent="0.2">
      <c r="CV896" s="328" t="s">
        <v>508</v>
      </c>
    </row>
    <row r="897" spans="100:100" x14ac:dyDescent="0.2">
      <c r="CV897" s="328" t="s">
        <v>509</v>
      </c>
    </row>
    <row r="898" spans="100:100" x14ac:dyDescent="0.2">
      <c r="CV898" s="328" t="s">
        <v>510</v>
      </c>
    </row>
    <row r="899" spans="100:100" x14ac:dyDescent="0.2">
      <c r="CV899" s="328"/>
    </row>
    <row r="900" spans="100:100" x14ac:dyDescent="0.2">
      <c r="CV900" s="328" t="s">
        <v>511</v>
      </c>
    </row>
    <row r="901" spans="100:100" x14ac:dyDescent="0.2">
      <c r="CV901" s="328" t="s">
        <v>512</v>
      </c>
    </row>
    <row r="902" spans="100:100" x14ac:dyDescent="0.2">
      <c r="CV902" s="328" t="s">
        <v>513</v>
      </c>
    </row>
    <row r="903" spans="100:100" x14ac:dyDescent="0.2">
      <c r="CV903" s="328" t="s">
        <v>514</v>
      </c>
    </row>
    <row r="904" spans="100:100" x14ac:dyDescent="0.2">
      <c r="CV904" s="328" t="s">
        <v>515</v>
      </c>
    </row>
    <row r="905" spans="100:100" x14ac:dyDescent="0.2">
      <c r="CV905" s="328" t="s">
        <v>516</v>
      </c>
    </row>
    <row r="906" spans="100:100" x14ac:dyDescent="0.2">
      <c r="CV906" s="328" t="s">
        <v>517</v>
      </c>
    </row>
    <row r="907" spans="100:100" x14ac:dyDescent="0.2">
      <c r="CV907" s="328" t="s">
        <v>518</v>
      </c>
    </row>
    <row r="908" spans="100:100" x14ac:dyDescent="0.2">
      <c r="CV908" s="328" t="s">
        <v>519</v>
      </c>
    </row>
    <row r="909" spans="100:100" x14ac:dyDescent="0.2">
      <c r="CV909" s="328" t="s">
        <v>520</v>
      </c>
    </row>
    <row r="910" spans="100:100" x14ac:dyDescent="0.2">
      <c r="CV910" s="328" t="s">
        <v>521</v>
      </c>
    </row>
    <row r="911" spans="100:100" x14ac:dyDescent="0.2">
      <c r="CV911" s="328" t="s">
        <v>522</v>
      </c>
    </row>
    <row r="912" spans="100:100" x14ac:dyDescent="0.2">
      <c r="CV912" s="328"/>
    </row>
    <row r="913" spans="100:100" x14ac:dyDescent="0.2">
      <c r="CV913" s="328" t="s">
        <v>523</v>
      </c>
    </row>
    <row r="914" spans="100:100" x14ac:dyDescent="0.2">
      <c r="CV914" s="328" t="s">
        <v>524</v>
      </c>
    </row>
    <row r="915" spans="100:100" x14ac:dyDescent="0.2">
      <c r="CV915" s="328" t="s">
        <v>525</v>
      </c>
    </row>
    <row r="916" spans="100:100" x14ac:dyDescent="0.2">
      <c r="CV916" s="328" t="s">
        <v>526</v>
      </c>
    </row>
    <row r="917" spans="100:100" x14ac:dyDescent="0.2">
      <c r="CV917" s="328" t="s">
        <v>527</v>
      </c>
    </row>
    <row r="918" spans="100:100" x14ac:dyDescent="0.2">
      <c r="CV918" s="328" t="s">
        <v>528</v>
      </c>
    </row>
    <row r="919" spans="100:100" x14ac:dyDescent="0.2">
      <c r="CV919" s="328" t="s">
        <v>529</v>
      </c>
    </row>
    <row r="920" spans="100:100" x14ac:dyDescent="0.2">
      <c r="CV920" s="328" t="s">
        <v>530</v>
      </c>
    </row>
    <row r="921" spans="100:100" x14ac:dyDescent="0.2">
      <c r="CV921" s="328" t="s">
        <v>531</v>
      </c>
    </row>
    <row r="922" spans="100:100" x14ac:dyDescent="0.2">
      <c r="CV922" s="328" t="s">
        <v>532</v>
      </c>
    </row>
    <row r="923" spans="100:100" x14ac:dyDescent="0.2">
      <c r="CV923" s="328" t="s">
        <v>533</v>
      </c>
    </row>
    <row r="924" spans="100:100" x14ac:dyDescent="0.2">
      <c r="CV924" s="328" t="s">
        <v>534</v>
      </c>
    </row>
    <row r="925" spans="100:100" x14ac:dyDescent="0.2">
      <c r="CV925" s="328"/>
    </row>
    <row r="926" spans="100:100" x14ac:dyDescent="0.2">
      <c r="CV926" s="328" t="s">
        <v>535</v>
      </c>
    </row>
    <row r="927" spans="100:100" x14ac:dyDescent="0.2">
      <c r="CV927" s="328" t="s">
        <v>536</v>
      </c>
    </row>
    <row r="928" spans="100:100" x14ac:dyDescent="0.2">
      <c r="CV928" s="328" t="s">
        <v>537</v>
      </c>
    </row>
    <row r="929" spans="100:100" x14ac:dyDescent="0.2">
      <c r="CV929" s="328" t="s">
        <v>538</v>
      </c>
    </row>
    <row r="930" spans="100:100" x14ac:dyDescent="0.2">
      <c r="CV930" s="328" t="s">
        <v>539</v>
      </c>
    </row>
    <row r="931" spans="100:100" x14ac:dyDescent="0.2">
      <c r="CV931" s="328" t="s">
        <v>540</v>
      </c>
    </row>
    <row r="932" spans="100:100" x14ac:dyDescent="0.2">
      <c r="CV932" s="328" t="s">
        <v>541</v>
      </c>
    </row>
    <row r="933" spans="100:100" x14ac:dyDescent="0.2">
      <c r="CV933" s="328" t="s">
        <v>542</v>
      </c>
    </row>
    <row r="934" spans="100:100" x14ac:dyDescent="0.2">
      <c r="CV934" s="328" t="s">
        <v>543</v>
      </c>
    </row>
    <row r="935" spans="100:100" x14ac:dyDescent="0.2">
      <c r="CV935" s="328" t="s">
        <v>544</v>
      </c>
    </row>
    <row r="936" spans="100:100" x14ac:dyDescent="0.2">
      <c r="CV936" s="328" t="s">
        <v>545</v>
      </c>
    </row>
    <row r="937" spans="100:100" x14ac:dyDescent="0.2">
      <c r="CV937" s="328" t="s">
        <v>546</v>
      </c>
    </row>
    <row r="938" spans="100:100" x14ac:dyDescent="0.2">
      <c r="CV938" s="328" t="s">
        <v>547</v>
      </c>
    </row>
    <row r="939" spans="100:100" x14ac:dyDescent="0.2">
      <c r="CV939" s="328" t="s">
        <v>548</v>
      </c>
    </row>
    <row r="940" spans="100:100" x14ac:dyDescent="0.2">
      <c r="CV940" s="328" t="s">
        <v>549</v>
      </c>
    </row>
    <row r="941" spans="100:100" x14ac:dyDescent="0.2">
      <c r="CV941" s="328" t="s">
        <v>550</v>
      </c>
    </row>
    <row r="942" spans="100:100" x14ac:dyDescent="0.2">
      <c r="CV942" s="328" t="s">
        <v>551</v>
      </c>
    </row>
    <row r="943" spans="100:100" x14ac:dyDescent="0.2">
      <c r="CV943" s="328"/>
    </row>
    <row r="944" spans="100:100" x14ac:dyDescent="0.2">
      <c r="CV944" s="328" t="s">
        <v>552</v>
      </c>
    </row>
    <row r="945" spans="100:100" x14ac:dyDescent="0.2">
      <c r="CV945" s="328" t="s">
        <v>553</v>
      </c>
    </row>
    <row r="946" spans="100:100" x14ac:dyDescent="0.2">
      <c r="CV946" s="328" t="s">
        <v>554</v>
      </c>
    </row>
    <row r="947" spans="100:100" x14ac:dyDescent="0.2">
      <c r="CV947" s="328" t="s">
        <v>555</v>
      </c>
    </row>
    <row r="948" spans="100:100" x14ac:dyDescent="0.2">
      <c r="CV948" s="328" t="s">
        <v>556</v>
      </c>
    </row>
    <row r="949" spans="100:100" x14ac:dyDescent="0.2">
      <c r="CV949" s="328" t="s">
        <v>557</v>
      </c>
    </row>
    <row r="950" spans="100:100" x14ac:dyDescent="0.2">
      <c r="CV950" s="328" t="s">
        <v>558</v>
      </c>
    </row>
    <row r="951" spans="100:100" x14ac:dyDescent="0.2">
      <c r="CV951" s="328" t="s">
        <v>559</v>
      </c>
    </row>
    <row r="952" spans="100:100" x14ac:dyDescent="0.2">
      <c r="CV952" s="328" t="s">
        <v>560</v>
      </c>
    </row>
    <row r="953" spans="100:100" x14ac:dyDescent="0.2">
      <c r="CV953" s="328" t="s">
        <v>561</v>
      </c>
    </row>
    <row r="954" spans="100:100" x14ac:dyDescent="0.2">
      <c r="CV954" s="328" t="s">
        <v>562</v>
      </c>
    </row>
    <row r="955" spans="100:100" x14ac:dyDescent="0.2">
      <c r="CV955" s="328" t="s">
        <v>563</v>
      </c>
    </row>
    <row r="956" spans="100:100" x14ac:dyDescent="0.2">
      <c r="CV956" s="328" t="s">
        <v>564</v>
      </c>
    </row>
    <row r="957" spans="100:100" x14ac:dyDescent="0.2">
      <c r="CV957" s="328" t="s">
        <v>565</v>
      </c>
    </row>
    <row r="958" spans="100:100" x14ac:dyDescent="0.2">
      <c r="CV958" s="328" t="s">
        <v>566</v>
      </c>
    </row>
    <row r="959" spans="100:100" x14ac:dyDescent="0.2">
      <c r="CV959" s="328" t="s">
        <v>567</v>
      </c>
    </row>
    <row r="960" spans="100:100" x14ac:dyDescent="0.2">
      <c r="CV960" s="328" t="s">
        <v>568</v>
      </c>
    </row>
    <row r="961" spans="100:100" x14ac:dyDescent="0.2">
      <c r="CV961" s="328"/>
    </row>
    <row r="962" spans="100:100" x14ac:dyDescent="0.2">
      <c r="CV962" s="328" t="s">
        <v>569</v>
      </c>
    </row>
    <row r="963" spans="100:100" x14ac:dyDescent="0.2">
      <c r="CV963" s="328" t="s">
        <v>570</v>
      </c>
    </row>
    <row r="964" spans="100:100" x14ac:dyDescent="0.2">
      <c r="CV964" s="328" t="s">
        <v>571</v>
      </c>
    </row>
    <row r="965" spans="100:100" x14ac:dyDescent="0.2">
      <c r="CV965" s="328" t="s">
        <v>572</v>
      </c>
    </row>
    <row r="966" spans="100:100" x14ac:dyDescent="0.2">
      <c r="CV966" s="328" t="s">
        <v>573</v>
      </c>
    </row>
    <row r="967" spans="100:100" x14ac:dyDescent="0.2">
      <c r="CV967" s="328" t="s">
        <v>574</v>
      </c>
    </row>
    <row r="968" spans="100:100" x14ac:dyDescent="0.2">
      <c r="CV968" s="328" t="s">
        <v>575</v>
      </c>
    </row>
    <row r="969" spans="100:100" x14ac:dyDescent="0.2">
      <c r="CV969" s="328" t="s">
        <v>576</v>
      </c>
    </row>
    <row r="970" spans="100:100" x14ac:dyDescent="0.2">
      <c r="CV970" s="328" t="s">
        <v>577</v>
      </c>
    </row>
    <row r="971" spans="100:100" x14ac:dyDescent="0.2">
      <c r="CV971" s="328" t="s">
        <v>578</v>
      </c>
    </row>
    <row r="972" spans="100:100" x14ac:dyDescent="0.2">
      <c r="CV972" s="328" t="s">
        <v>579</v>
      </c>
    </row>
    <row r="973" spans="100:100" x14ac:dyDescent="0.2">
      <c r="CV973" s="328" t="s">
        <v>580</v>
      </c>
    </row>
    <row r="974" spans="100:100" x14ac:dyDescent="0.2">
      <c r="CV974" s="328" t="s">
        <v>581</v>
      </c>
    </row>
    <row r="975" spans="100:100" x14ac:dyDescent="0.2">
      <c r="CV975" s="328" t="s">
        <v>582</v>
      </c>
    </row>
    <row r="976" spans="100:100" x14ac:dyDescent="0.2">
      <c r="CV976" s="328" t="s">
        <v>583</v>
      </c>
    </row>
    <row r="977" spans="100:100" x14ac:dyDescent="0.2">
      <c r="CV977" s="328" t="s">
        <v>584</v>
      </c>
    </row>
    <row r="978" spans="100:100" x14ac:dyDescent="0.2">
      <c r="CV978" s="328" t="s">
        <v>585</v>
      </c>
    </row>
    <row r="979" spans="100:100" x14ac:dyDescent="0.2">
      <c r="CV979" s="328"/>
    </row>
    <row r="980" spans="100:100" x14ac:dyDescent="0.2">
      <c r="CV980" s="328" t="s">
        <v>586</v>
      </c>
    </row>
    <row r="981" spans="100:100" x14ac:dyDescent="0.2">
      <c r="CV981" s="328" t="s">
        <v>587</v>
      </c>
    </row>
    <row r="982" spans="100:100" x14ac:dyDescent="0.2">
      <c r="CV982" s="328" t="s">
        <v>588</v>
      </c>
    </row>
    <row r="983" spans="100:100" x14ac:dyDescent="0.2">
      <c r="CV983" s="328" t="s">
        <v>589</v>
      </c>
    </row>
    <row r="984" spans="100:100" x14ac:dyDescent="0.2">
      <c r="CV984" s="328" t="s">
        <v>590</v>
      </c>
    </row>
    <row r="985" spans="100:100" x14ac:dyDescent="0.2">
      <c r="CV985" s="328" t="s">
        <v>591</v>
      </c>
    </row>
    <row r="986" spans="100:100" x14ac:dyDescent="0.2">
      <c r="CV986" s="328" t="s">
        <v>592</v>
      </c>
    </row>
    <row r="987" spans="100:100" x14ac:dyDescent="0.2">
      <c r="CV987" s="328" t="s">
        <v>593</v>
      </c>
    </row>
    <row r="988" spans="100:100" x14ac:dyDescent="0.2">
      <c r="CV988" s="328" t="s">
        <v>594</v>
      </c>
    </row>
    <row r="989" spans="100:100" x14ac:dyDescent="0.2">
      <c r="CV989" s="328" t="s">
        <v>595</v>
      </c>
    </row>
    <row r="990" spans="100:100" x14ac:dyDescent="0.2">
      <c r="CV990" s="328" t="s">
        <v>596</v>
      </c>
    </row>
    <row r="991" spans="100:100" x14ac:dyDescent="0.2">
      <c r="CV991" s="328" t="s">
        <v>597</v>
      </c>
    </row>
    <row r="992" spans="100:100" x14ac:dyDescent="0.2">
      <c r="CV992" s="328" t="s">
        <v>598</v>
      </c>
    </row>
    <row r="993" spans="100:100" x14ac:dyDescent="0.2">
      <c r="CV993" s="328" t="s">
        <v>599</v>
      </c>
    </row>
    <row r="994" spans="100:100" x14ac:dyDescent="0.2">
      <c r="CV994" s="328" t="s">
        <v>600</v>
      </c>
    </row>
    <row r="995" spans="100:100" x14ac:dyDescent="0.2">
      <c r="CV995" s="328" t="s">
        <v>601</v>
      </c>
    </row>
    <row r="996" spans="100:100" x14ac:dyDescent="0.2">
      <c r="CV996" s="328" t="s">
        <v>602</v>
      </c>
    </row>
    <row r="997" spans="100:100" x14ac:dyDescent="0.2">
      <c r="CV997" s="328"/>
    </row>
    <row r="998" spans="100:100" x14ac:dyDescent="0.2">
      <c r="CV998" s="328" t="s">
        <v>603</v>
      </c>
    </row>
    <row r="999" spans="100:100" x14ac:dyDescent="0.2">
      <c r="CV999" s="328" t="s">
        <v>604</v>
      </c>
    </row>
    <row r="1000" spans="100:100" x14ac:dyDescent="0.2">
      <c r="CV1000" s="328" t="s">
        <v>605</v>
      </c>
    </row>
    <row r="1001" spans="100:100" x14ac:dyDescent="0.2">
      <c r="CV1001" s="328" t="s">
        <v>606</v>
      </c>
    </row>
    <row r="1002" spans="100:100" x14ac:dyDescent="0.2">
      <c r="CV1002" s="328" t="s">
        <v>607</v>
      </c>
    </row>
    <row r="1003" spans="100:100" x14ac:dyDescent="0.2">
      <c r="CV1003" s="328" t="s">
        <v>608</v>
      </c>
    </row>
    <row r="1004" spans="100:100" x14ac:dyDescent="0.2">
      <c r="CV1004" s="328" t="s">
        <v>609</v>
      </c>
    </row>
    <row r="1005" spans="100:100" x14ac:dyDescent="0.2">
      <c r="CV1005" s="328" t="s">
        <v>610</v>
      </c>
    </row>
    <row r="1006" spans="100:100" x14ac:dyDescent="0.2">
      <c r="CV1006" s="328" t="s">
        <v>611</v>
      </c>
    </row>
    <row r="1007" spans="100:100" x14ac:dyDescent="0.2">
      <c r="CV1007" s="328" t="s">
        <v>612</v>
      </c>
    </row>
    <row r="1008" spans="100:100" x14ac:dyDescent="0.2">
      <c r="CV1008" s="328" t="s">
        <v>613</v>
      </c>
    </row>
    <row r="1009" spans="100:100" x14ac:dyDescent="0.2">
      <c r="CV1009" s="328" t="s">
        <v>614</v>
      </c>
    </row>
    <row r="1010" spans="100:100" x14ac:dyDescent="0.2">
      <c r="CV1010" s="328" t="s">
        <v>615</v>
      </c>
    </row>
    <row r="1011" spans="100:100" x14ac:dyDescent="0.2">
      <c r="CV1011" s="328" t="s">
        <v>616</v>
      </c>
    </row>
    <row r="1012" spans="100:100" x14ac:dyDescent="0.2">
      <c r="CV1012" s="328" t="s">
        <v>617</v>
      </c>
    </row>
    <row r="1013" spans="100:100" x14ac:dyDescent="0.2">
      <c r="CV1013" s="328" t="s">
        <v>618</v>
      </c>
    </row>
    <row r="1014" spans="100:100" x14ac:dyDescent="0.2">
      <c r="CV1014" s="328" t="s">
        <v>619</v>
      </c>
    </row>
    <row r="1015" spans="100:100" x14ac:dyDescent="0.2">
      <c r="CV1015" s="327"/>
    </row>
    <row r="1016" spans="100:100" x14ac:dyDescent="0.2">
      <c r="CV1016" s="329" t="s">
        <v>744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690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745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745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745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745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654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653</v>
      </c>
      <c r="B87" s="121" t="s">
        <v>623</v>
      </c>
      <c r="C87" s="114" t="s">
        <v>640</v>
      </c>
      <c r="E87" s="57" t="str">
        <f t="shared" si="4"/>
        <v xml:space="preserve">      "Football Team",</v>
      </c>
    </row>
    <row r="88" spans="1:5" x14ac:dyDescent="0.2">
      <c r="A88" s="112" t="s">
        <v>646</v>
      </c>
      <c r="B88" s="121" t="s">
        <v>623</v>
      </c>
      <c r="C88" s="114" t="s">
        <v>629</v>
      </c>
      <c r="E88" s="57" t="str">
        <f t="shared" si="4"/>
        <v xml:space="preserve">      "Titans",</v>
      </c>
    </row>
    <row r="89" spans="1:5" x14ac:dyDescent="0.2">
      <c r="A89" s="112" t="s">
        <v>641</v>
      </c>
      <c r="B89" s="121" t="s">
        <v>623</v>
      </c>
      <c r="C89" s="114" t="s">
        <v>650</v>
      </c>
      <c r="E89" s="57" t="str">
        <f t="shared" si="4"/>
        <v xml:space="preserve">      "Raiders",</v>
      </c>
    </row>
    <row r="90" spans="1:5" x14ac:dyDescent="0.2">
      <c r="A90" s="112" t="s">
        <v>630</v>
      </c>
      <c r="B90" s="121" t="s">
        <v>623</v>
      </c>
      <c r="C90" s="114" t="s">
        <v>652</v>
      </c>
      <c r="E90" s="57" t="str">
        <f t="shared" si="4"/>
        <v xml:space="preserve">      "49ers",</v>
      </c>
    </row>
    <row r="91" spans="1:5" x14ac:dyDescent="0.2">
      <c r="A91" s="112" t="s">
        <v>649</v>
      </c>
      <c r="B91" s="121" t="s">
        <v>623</v>
      </c>
      <c r="C91" s="114" t="s">
        <v>745</v>
      </c>
      <c r="E91" s="57" t="str">
        <f t="shared" si="4"/>
        <v xml:space="preserve">      "Bengals",</v>
      </c>
    </row>
    <row r="92" spans="1:5" x14ac:dyDescent="0.2">
      <c r="A92" s="112" t="s">
        <v>639</v>
      </c>
      <c r="B92" s="121" t="s">
        <v>623</v>
      </c>
      <c r="C92" s="114" t="s">
        <v>647</v>
      </c>
      <c r="E92" s="57" t="str">
        <f t="shared" si="4"/>
        <v xml:space="preserve">      "Texans",</v>
      </c>
    </row>
    <row r="93" spans="1:5" x14ac:dyDescent="0.2">
      <c r="A93" s="112" t="s">
        <v>635</v>
      </c>
      <c r="B93" s="121" t="s">
        <v>623</v>
      </c>
      <c r="C93" s="114" t="s">
        <v>627</v>
      </c>
      <c r="E93" s="57" t="str">
        <f t="shared" si="4"/>
        <v xml:space="preserve">      "Jets",</v>
      </c>
    </row>
    <row r="94" spans="1:5" x14ac:dyDescent="0.2">
      <c r="A94" s="112" t="s">
        <v>651</v>
      </c>
      <c r="B94" s="121" t="s">
        <v>623</v>
      </c>
      <c r="C94" s="114" t="s">
        <v>648</v>
      </c>
      <c r="E94" s="57" t="str">
        <f t="shared" si="4"/>
        <v xml:space="preserve">      "Panthers",</v>
      </c>
    </row>
    <row r="95" spans="1:5" x14ac:dyDescent="0.2">
      <c r="A95" s="112" t="s">
        <v>638</v>
      </c>
      <c r="B95" s="121" t="s">
        <v>623</v>
      </c>
      <c r="C95" s="114" t="s">
        <v>625</v>
      </c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659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660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633</v>
      </c>
      <c r="B103" s="121" t="s">
        <v>623</v>
      </c>
      <c r="C103" s="114" t="s">
        <v>632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643</v>
      </c>
      <c r="B104" s="121" t="s">
        <v>623</v>
      </c>
      <c r="C104" s="114" t="s">
        <v>635</v>
      </c>
      <c r="E104" s="57" t="str">
        <f t="shared" si="5"/>
        <v xml:space="preserve">      "Falcons",</v>
      </c>
    </row>
    <row r="105" spans="1:5" x14ac:dyDescent="0.2">
      <c r="A105" s="112" t="s">
        <v>634</v>
      </c>
      <c r="B105" s="121" t="s">
        <v>623</v>
      </c>
      <c r="C105" s="114" t="s">
        <v>636</v>
      </c>
      <c r="E105" s="57" t="str">
        <f t="shared" si="5"/>
        <v xml:space="preserve">      "Bills",</v>
      </c>
    </row>
    <row r="106" spans="1:5" x14ac:dyDescent="0.2">
      <c r="A106" s="112" t="s">
        <v>626</v>
      </c>
      <c r="B106" s="121" t="s">
        <v>623</v>
      </c>
      <c r="C106" s="114" t="s">
        <v>638</v>
      </c>
      <c r="E106" s="57" t="str">
        <f t="shared" si="5"/>
        <v xml:space="preserve">      "Browns",</v>
      </c>
    </row>
    <row r="107" spans="1:5" x14ac:dyDescent="0.2">
      <c r="A107" s="112" t="s">
        <v>745</v>
      </c>
      <c r="B107" s="121" t="s">
        <v>623</v>
      </c>
      <c r="C107" s="114" t="s">
        <v>651</v>
      </c>
      <c r="E107" s="57" t="str">
        <f t="shared" si="5"/>
        <v xml:space="preserve">      "Vikings",</v>
      </c>
    </row>
    <row r="108" spans="1:5" x14ac:dyDescent="0.2">
      <c r="A108" s="112" t="s">
        <v>628</v>
      </c>
      <c r="B108" s="121" t="s">
        <v>623</v>
      </c>
      <c r="C108" s="114" t="s">
        <v>641</v>
      </c>
      <c r="E108" s="57" t="str">
        <f t="shared" si="5"/>
        <v xml:space="preserve">      "Patriots",</v>
      </c>
    </row>
    <row r="109" spans="1:5" x14ac:dyDescent="0.2">
      <c r="A109" s="112" t="s">
        <v>627</v>
      </c>
      <c r="B109" s="121" t="s">
        <v>623</v>
      </c>
      <c r="C109" s="114" t="s">
        <v>650</v>
      </c>
      <c r="E109" s="57" t="str">
        <f t="shared" si="5"/>
        <v xml:space="preserve">      "Giants",</v>
      </c>
    </row>
    <row r="110" spans="1:5" x14ac:dyDescent="0.2">
      <c r="A110" s="112" t="s">
        <v>622</v>
      </c>
      <c r="B110" s="121" t="s">
        <v>623</v>
      </c>
      <c r="C110" s="114" t="s">
        <v>652</v>
      </c>
      <c r="E110" s="57" t="str">
        <f t="shared" si="5"/>
        <v xml:space="preserve">      "Eagles",</v>
      </c>
    </row>
    <row r="111" spans="1:5" x14ac:dyDescent="0.2">
      <c r="A111" s="112" t="s">
        <v>639</v>
      </c>
      <c r="B111" s="121" t="s">
        <v>623</v>
      </c>
      <c r="C111" s="114" t="s">
        <v>653</v>
      </c>
      <c r="E111" s="57" t="str">
        <f t="shared" si="5"/>
        <v xml:space="preserve">      "Steelers",</v>
      </c>
    </row>
    <row r="112" spans="1:5" x14ac:dyDescent="0.2">
      <c r="A112" s="112" t="s">
        <v>629</v>
      </c>
      <c r="B112" s="121" t="s">
        <v>623</v>
      </c>
      <c r="C112" s="114" t="s">
        <v>642</v>
      </c>
      <c r="E112" s="57" t="str">
        <f t="shared" si="5"/>
        <v xml:space="preserve">      "Colts",</v>
      </c>
    </row>
    <row r="113" spans="1:5" x14ac:dyDescent="0.2">
      <c r="A113" s="112" t="s">
        <v>637</v>
      </c>
      <c r="B113" s="121" t="s">
        <v>623</v>
      </c>
      <c r="C113" s="114" t="s">
        <v>644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661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662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634</v>
      </c>
      <c r="B123" s="121" t="s">
        <v>623</v>
      </c>
      <c r="C123" s="114" t="s">
        <v>626</v>
      </c>
      <c r="E123" s="57" t="s">
        <v>89</v>
      </c>
    </row>
    <row r="124" spans="1:5" x14ac:dyDescent="0.2">
      <c r="A124" s="112" t="s">
        <v>650</v>
      </c>
      <c r="B124" s="121" t="s">
        <v>623</v>
      </c>
      <c r="C124" s="114" t="s">
        <v>628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642</v>
      </c>
      <c r="B127" s="121" t="s">
        <v>623</v>
      </c>
      <c r="C127" s="114" t="s">
        <v>639</v>
      </c>
      <c r="E127" s="57" t="str">
        <f t="shared" si="6"/>
        <v xml:space="preserve">      "Jaguars",</v>
      </c>
    </row>
    <row r="128" spans="1:5" x14ac:dyDescent="0.2">
      <c r="A128" s="112" t="s">
        <v>632</v>
      </c>
      <c r="B128" s="121" t="s">
        <v>623</v>
      </c>
      <c r="C128" s="114" t="s">
        <v>645</v>
      </c>
      <c r="E128" s="57" t="str">
        <f t="shared" si="6"/>
        <v xml:space="preserve">      "Browns",</v>
      </c>
    </row>
    <row r="129" spans="1:5" x14ac:dyDescent="0.2">
      <c r="A129" s="112" t="s">
        <v>630</v>
      </c>
      <c r="B129" s="121" t="s">
        <v>623</v>
      </c>
      <c r="C129" s="114" t="s">
        <v>629</v>
      </c>
      <c r="E129" s="57" t="str">
        <f t="shared" si="6"/>
        <v xml:space="preserve">      "Saints",</v>
      </c>
    </row>
    <row r="130" spans="1:5" x14ac:dyDescent="0.2">
      <c r="A130" s="112" t="s">
        <v>648</v>
      </c>
      <c r="B130" s="121" t="s">
        <v>623</v>
      </c>
      <c r="C130" s="114" t="s">
        <v>745</v>
      </c>
      <c r="E130" s="57" t="str">
        <f t="shared" si="6"/>
        <v xml:space="preserve">      "Vikings",</v>
      </c>
    </row>
    <row r="131" spans="1:5" x14ac:dyDescent="0.2">
      <c r="A131" s="112" t="s">
        <v>625</v>
      </c>
      <c r="B131" s="121" t="s">
        <v>623</v>
      </c>
      <c r="C131" s="114" t="s">
        <v>646</v>
      </c>
      <c r="E131" s="57" t="str">
        <f t="shared" si="6"/>
        <v xml:space="preserve">      "Seahawks",</v>
      </c>
    </row>
    <row r="132" spans="1:5" x14ac:dyDescent="0.2">
      <c r="A132" s="112" t="s">
        <v>624</v>
      </c>
      <c r="B132" s="121" t="s">
        <v>623</v>
      </c>
      <c r="C132" s="114" t="s">
        <v>653</v>
      </c>
      <c r="E132" s="57" t="str">
        <f t="shared" si="6"/>
        <v xml:space="preserve">      "Chargers",</v>
      </c>
    </row>
    <row r="133" spans="1:5" x14ac:dyDescent="0.2">
      <c r="A133" s="112" t="s">
        <v>647</v>
      </c>
      <c r="B133" s="121" t="s">
        <v>623</v>
      </c>
      <c r="C133" s="114" t="s">
        <v>640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663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664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640</v>
      </c>
      <c r="B143" s="121" t="s">
        <v>623</v>
      </c>
      <c r="C143" s="114" t="s">
        <v>630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652</v>
      </c>
      <c r="B144" s="121" t="s">
        <v>623</v>
      </c>
      <c r="C144" s="114" t="s">
        <v>643</v>
      </c>
      <c r="E144" s="57" t="str">
        <f t="shared" si="7"/>
        <v xml:space="preserve">      "Panthers",</v>
      </c>
    </row>
    <row r="145" spans="1:5" x14ac:dyDescent="0.2">
      <c r="A145" s="112" t="s">
        <v>631</v>
      </c>
      <c r="B145" s="121" t="s">
        <v>623</v>
      </c>
      <c r="C145" s="114" t="s">
        <v>627</v>
      </c>
      <c r="E145" s="57" t="str">
        <f t="shared" si="7"/>
        <v xml:space="preserve">      "Bears",</v>
      </c>
    </row>
    <row r="146" spans="1:5" x14ac:dyDescent="0.2">
      <c r="A146" s="112" t="s">
        <v>635</v>
      </c>
      <c r="B146" s="121" t="s">
        <v>623</v>
      </c>
      <c r="C146" s="114" t="s">
        <v>634</v>
      </c>
      <c r="E146" s="57" t="str">
        <f t="shared" si="7"/>
        <v xml:space="preserve">      "Bengals",</v>
      </c>
    </row>
    <row r="147" spans="1:5" x14ac:dyDescent="0.2">
      <c r="A147" s="112" t="s">
        <v>638</v>
      </c>
      <c r="B147" s="121" t="s">
        <v>623</v>
      </c>
      <c r="C147" s="114" t="s">
        <v>637</v>
      </c>
      <c r="E147" s="57" t="str">
        <f t="shared" si="7"/>
        <v xml:space="preserve">      "Cowboys",</v>
      </c>
    </row>
    <row r="148" spans="1:5" x14ac:dyDescent="0.2">
      <c r="A148" s="112" t="s">
        <v>629</v>
      </c>
      <c r="B148" s="121" t="s">
        <v>623</v>
      </c>
      <c r="C148" s="114" t="s">
        <v>624</v>
      </c>
      <c r="E148" s="57" t="str">
        <f t="shared" si="7"/>
        <v xml:space="preserve">      "Lions",</v>
      </c>
    </row>
    <row r="149" spans="1:5" x14ac:dyDescent="0.2">
      <c r="A149" s="112" t="s">
        <v>649</v>
      </c>
      <c r="B149" s="121" t="s">
        <v>623</v>
      </c>
      <c r="C149" s="114" t="s">
        <v>639</v>
      </c>
      <c r="E149" s="57" t="str">
        <f t="shared" si="7"/>
        <v xml:space="preserve">      "Texans",</v>
      </c>
    </row>
    <row r="150" spans="1:5" x14ac:dyDescent="0.2">
      <c r="A150" s="112" t="s">
        <v>636</v>
      </c>
      <c r="B150" s="121" t="s">
        <v>623</v>
      </c>
      <c r="C150" s="114" t="s">
        <v>642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648</v>
      </c>
      <c r="B153" s="121" t="s">
        <v>623</v>
      </c>
      <c r="C153" s="114" t="s">
        <v>641</v>
      </c>
      <c r="E153" s="57" t="str">
        <f t="shared" si="7"/>
        <v xml:space="preserve">      "Rams",</v>
      </c>
    </row>
    <row r="154" spans="1:5" x14ac:dyDescent="0.2">
      <c r="A154" s="112"/>
      <c r="B154" s="121"/>
      <c r="C154" s="114"/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665</v>
      </c>
      <c r="B161" s="55"/>
      <c r="C161" s="56"/>
      <c r="E161" s="57" t="str">
        <f>CONCATENATE("      var open_date_4 = [",$F$1,B79,$F$1,"];")</f>
        <v xml:space="preserve">      var open_date_4 = ["None"];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"Broncos",</v>
      </c>
    </row>
    <row r="170" spans="1:5" x14ac:dyDescent="0.2">
      <c r="A170" s="112" t="s">
        <v>651</v>
      </c>
      <c r="B170" s="121" t="s">
        <v>623</v>
      </c>
      <c r="C170" s="114" t="s">
        <v>745</v>
      </c>
      <c r="E170" s="57" t="str">
        <f t="shared" si="8"/>
        <v xml:space="preserve">      "Cardinals",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"Eagles",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"Bills",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"Rams",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"Dolphins",</v>
      </c>
    </row>
    <row r="175" spans="1:5" x14ac:dyDescent="0.2">
      <c r="A175" s="112"/>
      <c r="B175" s="121"/>
      <c r="C175" s="114"/>
      <c r="E175" s="57" t="str">
        <f t="shared" si="8"/>
        <v xml:space="preserve">      "Colts",</v>
      </c>
    </row>
    <row r="176" spans="1:5" x14ac:dyDescent="0.2">
      <c r="A176" s="112"/>
      <c r="B176" s="121"/>
      <c r="C176" s="114"/>
      <c r="E176" s="57" t="str">
        <f t="shared" si="8"/>
        <v xml:space="preserve">      "Giants",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 xml:space="preserve">      "Vikings",</v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666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667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745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"Patriots",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"Jets",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"Steelers",</v>
      </c>
    </row>
    <row r="191" spans="1:5" x14ac:dyDescent="0.2">
      <c r="A191" s="112" t="s">
        <v>629</v>
      </c>
      <c r="B191" s="121" t="s">
        <v>623</v>
      </c>
      <c r="C191" s="114" t="s">
        <v>639</v>
      </c>
      <c r="E191" s="57" t="str">
        <f t="shared" si="9"/>
        <v xml:space="preserve">      "Titans",</v>
      </c>
    </row>
    <row r="192" spans="1:5" x14ac:dyDescent="0.2">
      <c r="A192" s="112" t="s">
        <v>625</v>
      </c>
      <c r="B192" s="121" t="s">
        <v>623</v>
      </c>
      <c r="C192" s="114" t="s">
        <v>649</v>
      </c>
      <c r="E192" s="57" t="str">
        <f t="shared" si="9"/>
        <v xml:space="preserve">      "Football Team",</v>
      </c>
    </row>
    <row r="193" spans="1:5" x14ac:dyDescent="0.2">
      <c r="A193" s="112" t="s">
        <v>647</v>
      </c>
      <c r="B193" s="121" t="s">
        <v>623</v>
      </c>
      <c r="C193" s="114" t="s">
        <v>645</v>
      </c>
      <c r="E193" s="57" t="str">
        <f t="shared" si="9"/>
        <v xml:space="preserve">      "49ers",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"Browns",</v>
      </c>
    </row>
    <row r="195" spans="1:5" x14ac:dyDescent="0.2">
      <c r="A195" s="112"/>
      <c r="B195" s="121"/>
      <c r="C195" s="114"/>
      <c r="E195" s="57" t="str">
        <f t="shared" si="9"/>
        <v xml:space="preserve">      "Cowboys",</v>
      </c>
    </row>
    <row r="196" spans="1:5" x14ac:dyDescent="0.2">
      <c r="A196" s="112"/>
      <c r="B196" s="121"/>
      <c r="C196" s="114"/>
      <c r="E196" s="57" t="str">
        <f t="shared" si="9"/>
        <v xml:space="preserve">      "Seahawks",</v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668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669</v>
      </c>
      <c r="B201" s="55"/>
      <c r="C201" s="56"/>
      <c r="E201" s="57" t="str">
        <f>CONCATENATE("      var open_date_5 = [",$F$1,B99,$F$1,"];")</f>
        <v xml:space="preserve">      var open_date_5 = ["Lions, Packers"];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"Bears",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"Bengals",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"Lions",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"Falcons",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"Football Team",</v>
      </c>
    </row>
    <row r="210" spans="1:5" x14ac:dyDescent="0.2">
      <c r="A210" s="112" t="s">
        <v>643</v>
      </c>
      <c r="B210" s="121" t="s">
        <v>623</v>
      </c>
      <c r="C210" s="114" t="s">
        <v>745</v>
      </c>
      <c r="E210" s="57" t="str">
        <f t="shared" si="10"/>
        <v xml:space="preserve">      "Ravens",</v>
      </c>
    </row>
    <row r="211" spans="1:5" x14ac:dyDescent="0.2">
      <c r="A211" s="112" t="s">
        <v>642</v>
      </c>
      <c r="B211" s="121" t="s">
        <v>623</v>
      </c>
      <c r="C211" s="114" t="s">
        <v>653</v>
      </c>
      <c r="E211" s="57" t="str">
        <f t="shared" si="10"/>
        <v xml:space="preserve">      "Browns",</v>
      </c>
    </row>
    <row r="212" spans="1:5" x14ac:dyDescent="0.2">
      <c r="A212" s="112" t="s">
        <v>648</v>
      </c>
      <c r="B212" s="121" t="s">
        <v>623</v>
      </c>
      <c r="C212" s="114" t="s">
        <v>638</v>
      </c>
      <c r="E212" s="57" t="str">
        <f t="shared" si="10"/>
        <v xml:space="preserve">      "Texans",</v>
      </c>
    </row>
    <row r="213" spans="1:5" x14ac:dyDescent="0.2">
      <c r="A213" s="112" t="s">
        <v>624</v>
      </c>
      <c r="B213" s="121" t="s">
        <v>623</v>
      </c>
      <c r="C213" s="114" t="s">
        <v>631</v>
      </c>
      <c r="E213" s="57" t="str">
        <f t="shared" si="10"/>
        <v xml:space="preserve">      "Dolphins",</v>
      </c>
    </row>
    <row r="214" spans="1:5" x14ac:dyDescent="0.2">
      <c r="A214" s="112"/>
      <c r="B214" s="121"/>
      <c r="C214" s="114"/>
      <c r="E214" s="57" t="str">
        <f t="shared" si="10"/>
        <v xml:space="preserve">      "Jets",</v>
      </c>
    </row>
    <row r="215" spans="1:5" x14ac:dyDescent="0.2">
      <c r="A215" s="112"/>
      <c r="B215" s="121"/>
      <c r="C215" s="114"/>
      <c r="E215" s="57" t="str">
        <f t="shared" si="10"/>
        <v xml:space="preserve">      "Packers",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670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671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745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"Panthers",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"Colts",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"Jaguars",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"Vikings",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"Giants",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"Eagles",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"Steelers",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"Titans",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"Broncos",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"Chargers",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"Buccaneers",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672</v>
      </c>
      <c r="B241" s="55"/>
      <c r="C241" s="56"/>
      <c r="E241" s="57" t="str">
        <f>CONCATENATE("      var open_date_6 = [",$F$1,B119,$F$1,"];")</f>
        <v xml:space="preserve">      var open_date_6 = ["Patriots,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"Lions",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"Steelers",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745</v>
      </c>
      <c r="B249" s="121" t="s">
        <v>623</v>
      </c>
      <c r="C249" s="114" t="s">
        <v>650</v>
      </c>
      <c r="E249" s="57" t="str">
        <f t="shared" si="12"/>
        <v xml:space="preserve">      "Chargers",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"Panthers",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"Bills",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"Cowboys",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"Seahawks",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"Chiefs",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"49ers",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673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674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"Falcons",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"Ravens",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"Dolphins",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"Saints",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"Jets",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"Football Team",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"Cardinals",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"Broncos",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"Patriots",</v>
      </c>
    </row>
    <row r="275" spans="1:5" x14ac:dyDescent="0.2">
      <c r="A275" s="112" t="s">
        <v>745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675</v>
      </c>
      <c r="B281" s="55"/>
      <c r="C281" s="56"/>
      <c r="E281" s="57" t="str">
        <f>CONCATENATE("      var open_date_7 = [",$F$1,B139,$F$1,"];")</f>
        <v xml:space="preserve">      var open_date_7 = ["Colts, Jaguars, Titans,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"Patriots",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"Titans",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"Raiders",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"Colts",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"Vikings",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"Jets",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"Rams",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"Jaguars",</v>
      </c>
    </row>
    <row r="293" spans="1:5" x14ac:dyDescent="0.2">
      <c r="A293" s="112" t="s">
        <v>625</v>
      </c>
      <c r="B293" s="121" t="s">
        <v>623</v>
      </c>
      <c r="C293" s="114" t="s">
        <v>745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"Cowboys",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/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676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"Bills",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"Bengals",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"Browns",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"Lions",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"Packers",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"Chiefs",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"Dolphins",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"Chargers",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745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"Eagles",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/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677</v>
      </c>
      <c r="B321" s="55"/>
      <c r="C321" s="56"/>
      <c r="E321" s="57" t="str">
        <f>CONCATENATE("      var open_date_8 = [",$F$1,B159,$F$1,"];")</f>
        <v xml:space="preserve">      var open_date_8 = ["Broncos, Cardinals, Ravens, Football Team, Steelers,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745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"Jets",</v>
      </c>
    </row>
    <row r="374" spans="5:5" x14ac:dyDescent="0.2">
      <c r="E374" s="57" t="str">
        <f t="shared" si="18"/>
        <v xml:space="preserve">      "Seahawks",</v>
      </c>
    </row>
    <row r="375" spans="5:5" x14ac:dyDescent="0.2">
      <c r="E375" s="57" t="str">
        <f t="shared" si="18"/>
        <v xml:space="preserve">      "49ers",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"Dolphins",</v>
      </c>
    </row>
    <row r="393" spans="5:5" x14ac:dyDescent="0.2">
      <c r="E393" s="57" t="str">
        <f t="shared" si="19"/>
        <v xml:space="preserve">      "Rams",</v>
      </c>
    </row>
    <row r="394" spans="5:5" x14ac:dyDescent="0.2">
      <c r="E394" s="57" t="str">
        <f t="shared" si="19"/>
        <v xml:space="preserve">      "Saints",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["Chargers, Chiefs, Cowboys, Falcons"];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"Chargers",</v>
      </c>
    </row>
    <row r="414" spans="5:5" x14ac:dyDescent="0.2">
      <c r="E414" s="57" t="str">
        <f t="shared" si="20"/>
        <v xml:space="preserve">      "Cowboys",</v>
      </c>
    </row>
    <row r="415" spans="5:5" x14ac:dyDescent="0.2">
      <c r="E415" s="57" t="str">
        <f t="shared" si="20"/>
        <v xml:space="preserve">      "Chiefs",</v>
      </c>
    </row>
    <row r="416" spans="5:5" x14ac:dyDescent="0.2">
      <c r="E416" s="57" t="str">
        <f t="shared" si="20"/>
        <v/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"Broncos",</v>
      </c>
    </row>
    <row r="433" spans="5:5" x14ac:dyDescent="0.2">
      <c r="E433" s="57" t="str">
        <f t="shared" si="21"/>
        <v xml:space="preserve">      "Vikings",</v>
      </c>
    </row>
    <row r="434" spans="5:5" x14ac:dyDescent="0.2">
      <c r="E434" s="57" t="str">
        <f t="shared" si="21"/>
        <v xml:space="preserve">      "Raiders",</v>
      </c>
    </row>
    <row r="435" spans="5:5" x14ac:dyDescent="0.2">
      <c r="E435" s="57" t="str">
        <f t="shared" si="21"/>
        <v/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Dolphins, Giants, Jets"];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691</v>
      </c>
    </row>
    <row r="684" spans="5:5" x14ac:dyDescent="0.2">
      <c r="E684" s="57" t="s">
        <v>692</v>
      </c>
    </row>
    <row r="685" spans="5:5" x14ac:dyDescent="0.2">
      <c r="E685" s="57" t="s">
        <v>693</v>
      </c>
    </row>
    <row r="686" spans="5:5" x14ac:dyDescent="0.2">
      <c r="E686" s="57" t="s">
        <v>694</v>
      </c>
    </row>
    <row r="687" spans="5:5" x14ac:dyDescent="0.2">
      <c r="E687" s="57" t="s">
        <v>695</v>
      </c>
    </row>
    <row r="688" spans="5:5" x14ac:dyDescent="0.2">
      <c r="E688" s="57" t="s">
        <v>696</v>
      </c>
    </row>
    <row r="689" spans="5:5" x14ac:dyDescent="0.2">
      <c r="E689" s="57" t="s">
        <v>697</v>
      </c>
    </row>
    <row r="690" spans="5:5" x14ac:dyDescent="0.2">
      <c r="E690" s="57" t="s">
        <v>698</v>
      </c>
    </row>
    <row r="691" spans="5:5" x14ac:dyDescent="0.2">
      <c r="E691" s="57" t="s">
        <v>699</v>
      </c>
    </row>
    <row r="692" spans="5:5" x14ac:dyDescent="0.2">
      <c r="E692" s="57" t="s">
        <v>700</v>
      </c>
    </row>
    <row r="693" spans="5:5" x14ac:dyDescent="0.2">
      <c r="E693" s="57" t="s">
        <v>701</v>
      </c>
    </row>
    <row r="694" spans="5:5" x14ac:dyDescent="0.2">
      <c r="E694" s="57" t="s">
        <v>702</v>
      </c>
    </row>
    <row r="695" spans="5:5" x14ac:dyDescent="0.2">
      <c r="E695" s="57" t="s">
        <v>703</v>
      </c>
    </row>
    <row r="696" spans="5:5" x14ac:dyDescent="0.2">
      <c r="E696" s="57" t="s">
        <v>704</v>
      </c>
    </row>
    <row r="697" spans="5:5" x14ac:dyDescent="0.2">
      <c r="E697" s="57" t="s">
        <v>705</v>
      </c>
    </row>
    <row r="698" spans="5:5" x14ac:dyDescent="0.2">
      <c r="E698" s="57" t="s">
        <v>706</v>
      </c>
    </row>
    <row r="699" spans="5:5" x14ac:dyDescent="0.2">
      <c r="E699" s="57" t="s">
        <v>707</v>
      </c>
    </row>
    <row r="701" spans="5:5" x14ac:dyDescent="0.2">
      <c r="E701" s="57" t="s">
        <v>708</v>
      </c>
    </row>
    <row r="702" spans="5:5" x14ac:dyDescent="0.2">
      <c r="E702" s="57" t="s">
        <v>709</v>
      </c>
    </row>
    <row r="703" spans="5:5" x14ac:dyDescent="0.2">
      <c r="E703" s="57" t="s">
        <v>710</v>
      </c>
    </row>
    <row r="704" spans="5:5" x14ac:dyDescent="0.2">
      <c r="E704" s="57" t="s">
        <v>711</v>
      </c>
    </row>
    <row r="705" spans="5:5" x14ac:dyDescent="0.2">
      <c r="E705" s="57" t="s">
        <v>712</v>
      </c>
    </row>
    <row r="706" spans="5:5" x14ac:dyDescent="0.2">
      <c r="E706" s="57" t="s">
        <v>713</v>
      </c>
    </row>
    <row r="707" spans="5:5" x14ac:dyDescent="0.2">
      <c r="E707" s="57" t="s">
        <v>714</v>
      </c>
    </row>
    <row r="708" spans="5:5" x14ac:dyDescent="0.2">
      <c r="E708" s="57" t="s">
        <v>715</v>
      </c>
    </row>
    <row r="709" spans="5:5" x14ac:dyDescent="0.2">
      <c r="E709" s="57" t="s">
        <v>716</v>
      </c>
    </row>
    <row r="710" spans="5:5" x14ac:dyDescent="0.2">
      <c r="E710" s="57" t="s">
        <v>717</v>
      </c>
    </row>
    <row r="711" spans="5:5" x14ac:dyDescent="0.2">
      <c r="E711" s="57" t="s">
        <v>718</v>
      </c>
    </row>
    <row r="712" spans="5:5" x14ac:dyDescent="0.2">
      <c r="E712" s="57" t="s">
        <v>719</v>
      </c>
    </row>
    <row r="713" spans="5:5" x14ac:dyDescent="0.2">
      <c r="E713" s="57" t="s">
        <v>720</v>
      </c>
    </row>
    <row r="714" spans="5:5" x14ac:dyDescent="0.2">
      <c r="E714" s="57" t="s">
        <v>721</v>
      </c>
    </row>
    <row r="715" spans="5:5" x14ac:dyDescent="0.2">
      <c r="E715" s="57" t="s">
        <v>722</v>
      </c>
    </row>
    <row r="716" spans="5:5" x14ac:dyDescent="0.2">
      <c r="E716" s="57" t="s">
        <v>723</v>
      </c>
    </row>
    <row r="717" spans="5:5" x14ac:dyDescent="0.2">
      <c r="E717" s="57" t="s">
        <v>724</v>
      </c>
    </row>
    <row r="719" spans="5:5" x14ac:dyDescent="0.2">
      <c r="E719" s="57" t="s">
        <v>725</v>
      </c>
    </row>
    <row r="720" spans="5:5" x14ac:dyDescent="0.2">
      <c r="E720" s="57" t="s">
        <v>726</v>
      </c>
    </row>
    <row r="721" spans="5:5" x14ac:dyDescent="0.2">
      <c r="E721" s="57" t="s">
        <v>727</v>
      </c>
    </row>
    <row r="722" spans="5:5" x14ac:dyDescent="0.2">
      <c r="E722" s="57" t="s">
        <v>728</v>
      </c>
    </row>
    <row r="723" spans="5:5" x14ac:dyDescent="0.2">
      <c r="E723" s="57" t="s">
        <v>729</v>
      </c>
    </row>
    <row r="724" spans="5:5" x14ac:dyDescent="0.2">
      <c r="E724" s="57" t="s">
        <v>730</v>
      </c>
    </row>
    <row r="725" spans="5:5" x14ac:dyDescent="0.2">
      <c r="E725" s="57" t="s">
        <v>731</v>
      </c>
    </row>
    <row r="726" spans="5:5" x14ac:dyDescent="0.2">
      <c r="E726" s="57" t="s">
        <v>732</v>
      </c>
    </row>
    <row r="727" spans="5:5" x14ac:dyDescent="0.2">
      <c r="E727" s="57" t="s">
        <v>733</v>
      </c>
    </row>
    <row r="728" spans="5:5" x14ac:dyDescent="0.2">
      <c r="E728" s="57" t="s">
        <v>734</v>
      </c>
    </row>
    <row r="729" spans="5:5" x14ac:dyDescent="0.2">
      <c r="E729" s="57" t="s">
        <v>735</v>
      </c>
    </row>
    <row r="730" spans="5:5" x14ac:dyDescent="0.2">
      <c r="E730" s="57" t="s">
        <v>736</v>
      </c>
    </row>
    <row r="731" spans="5:5" x14ac:dyDescent="0.2">
      <c r="E731" s="57" t="s">
        <v>737</v>
      </c>
    </row>
    <row r="732" spans="5:5" x14ac:dyDescent="0.2">
      <c r="E732" s="57" t="s">
        <v>738</v>
      </c>
    </row>
    <row r="733" spans="5:5" x14ac:dyDescent="0.2">
      <c r="E733" s="57" t="s">
        <v>739</v>
      </c>
    </row>
    <row r="734" spans="5:5" x14ac:dyDescent="0.2">
      <c r="E734" s="57" t="s">
        <v>740</v>
      </c>
    </row>
    <row r="735" spans="5:5" x14ac:dyDescent="0.2">
      <c r="E735" s="57" t="s">
        <v>741</v>
      </c>
    </row>
    <row r="737" spans="5:5" x14ac:dyDescent="0.2">
      <c r="E737" s="57" t="s">
        <v>742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2020-10-02T02:20:52Z</dcterms:modified>
</cp:coreProperties>
</file>