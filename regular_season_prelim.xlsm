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F969858D-25A3-4835-860F-84B51FFD65F6}" xr6:coauthVersionLast="45" xr6:coauthVersionMax="45" xr10:uidLastSave="{00000000-0000-0000-0000-000000000000}"/>
  <bookViews>
    <workbookView xWindow="-120" yWindow="-120" windowWidth="24240" windowHeight="13290" tabRatio="742" firstSheet="5" activeTab="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6" i="16" l="1"/>
  <c r="AT44" i="16"/>
  <c r="AT37" i="16"/>
  <c r="AT38" i="16"/>
  <c r="AT43" i="16"/>
  <c r="AT33" i="16"/>
  <c r="AT42" i="16"/>
  <c r="AT41" i="16"/>
  <c r="AT40" i="16"/>
  <c r="AT39" i="16"/>
  <c r="AT35" i="16"/>
  <c r="AT34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AT5" i="26" s="1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7" i="25" s="1"/>
  <c r="G47" i="25"/>
  <c r="AJ2" i="25"/>
  <c r="BJ12" i="25" s="1"/>
  <c r="AG2" i="25"/>
  <c r="BJ4" i="25" s="1"/>
  <c r="AD2" i="25"/>
  <c r="BJ5" i="25" s="1"/>
  <c r="AA2" i="25"/>
  <c r="X2" i="25"/>
  <c r="U2" i="25"/>
  <c r="BF8" i="25" s="1"/>
  <c r="R2" i="25"/>
  <c r="BJ13" i="25" s="1"/>
  <c r="O2" i="25"/>
  <c r="BO11" i="25" s="1"/>
  <c r="L2" i="25"/>
  <c r="BO10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R2" i="25"/>
  <c r="AL9" i="16" s="1"/>
  <c r="CT9" i="16" s="1"/>
  <c r="AI25" i="25"/>
  <c r="AI38" i="25" s="1"/>
  <c r="AC25" i="25"/>
  <c r="AC38" i="25" s="1"/>
  <c r="AR2" i="24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O25" i="25" s="1"/>
  <c r="AO38" i="25" s="1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Z25" i="25" s="1"/>
  <c r="Z38" i="25" s="1"/>
  <c r="W4" i="25"/>
  <c r="W25" i="25" s="1"/>
  <c r="W38" i="25" s="1"/>
  <c r="T4" i="25"/>
  <c r="T25" i="25" s="1"/>
  <c r="T38" i="25" s="1"/>
  <c r="Q4" i="25"/>
  <c r="Q25" i="25" s="1"/>
  <c r="Q38" i="25" s="1"/>
  <c r="N4" i="25"/>
  <c r="K4" i="25"/>
  <c r="H4" i="25"/>
  <c r="H25" i="25" s="1"/>
  <c r="H38" i="25" s="1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BJ4" i="26"/>
  <c r="BO4" i="26"/>
  <c r="BG8" i="33"/>
  <c r="T34" i="33"/>
  <c r="BG14" i="31"/>
  <c r="BO4" i="33"/>
  <c r="BG14" i="36"/>
  <c r="N34" i="32"/>
  <c r="Q34" i="32"/>
  <c r="BG5" i="35"/>
  <c r="BF5" i="23"/>
  <c r="BG5" i="36"/>
  <c r="BG9" i="36"/>
  <c r="AI34" i="29"/>
  <c r="Q34" i="33"/>
  <c r="P56" i="33"/>
  <c r="P55" i="33" s="1"/>
  <c r="P52" i="33" s="1"/>
  <c r="BG15" i="33"/>
  <c r="AO34" i="33"/>
  <c r="BO4" i="21"/>
  <c r="BJ4" i="28"/>
  <c r="BF4" i="35"/>
  <c r="S56" i="31"/>
  <c r="S53" i="31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AL34" i="27"/>
  <c r="Z34" i="27"/>
  <c r="K34" i="30"/>
  <c r="K34" i="34"/>
  <c r="AE56" i="29"/>
  <c r="AH56" i="30"/>
  <c r="AH53" i="30" s="1"/>
  <c r="AT9" i="35"/>
  <c r="AT9" i="34"/>
  <c r="AT18" i="36"/>
  <c r="AT17" i="35"/>
  <c r="AT9" i="36"/>
  <c r="AT5" i="32"/>
  <c r="K25" i="25" l="1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G13" i="27"/>
  <c r="BJ4" i="20"/>
  <c r="BO4" i="30"/>
  <c r="W34" i="29"/>
  <c r="H34" i="29"/>
  <c r="V56" i="29"/>
  <c r="V54" i="29" s="1"/>
  <c r="BJ15" i="1"/>
  <c r="BJ9" i="23"/>
  <c r="BG14" i="32"/>
  <c r="AT10" i="24"/>
  <c r="AY14" i="24"/>
  <c r="AT14" i="23"/>
  <c r="AY10" i="24"/>
  <c r="AT14" i="28"/>
  <c r="BF10" i="36"/>
  <c r="BF7" i="35"/>
  <c r="BF14" i="21"/>
  <c r="BO13" i="25"/>
  <c r="AT7" i="27"/>
  <c r="AY15" i="29"/>
  <c r="AY19" i="29"/>
  <c r="P56" i="26"/>
  <c r="P53" i="26" s="1"/>
  <c r="H34" i="33"/>
  <c r="V56" i="30"/>
  <c r="V55" i="30" s="1"/>
  <c r="BG9" i="28"/>
  <c r="AK56" i="30"/>
  <c r="AK54" i="30" s="1"/>
  <c r="S56" i="26"/>
  <c r="S55" i="26" s="1"/>
  <c r="AV36" i="16"/>
  <c r="AV37" i="16"/>
  <c r="AV43" i="16"/>
  <c r="AV42" i="16"/>
  <c r="AV40" i="16"/>
  <c r="AV35" i="16"/>
  <c r="AV44" i="16"/>
  <c r="AV38" i="16"/>
  <c r="AV33" i="16"/>
  <c r="AV41" i="16"/>
  <c r="AV39" i="16"/>
  <c r="AV34" i="16"/>
  <c r="S56" i="30"/>
  <c r="S55" i="30" s="1"/>
  <c r="Y56" i="26"/>
  <c r="Y53" i="26" s="1"/>
  <c r="AA5" i="16"/>
  <c r="CG25" i="16" s="1"/>
  <c r="AY7" i="36"/>
  <c r="AY14" i="1"/>
  <c r="AY10" i="1"/>
  <c r="AY18" i="36"/>
  <c r="BO12" i="26"/>
  <c r="BJ13" i="29"/>
  <c r="BO6" i="32"/>
  <c r="BF12" i="26"/>
  <c r="BF15" i="33"/>
  <c r="BJ8" i="26"/>
  <c r="BO8" i="34"/>
  <c r="BO11" i="31"/>
  <c r="BJ14" i="25"/>
  <c r="BJ14" i="32"/>
  <c r="BF12" i="30"/>
  <c r="BO8" i="30"/>
  <c r="BF11" i="20"/>
  <c r="BO10" i="23"/>
  <c r="BJ6" i="28"/>
  <c r="BO9" i="33"/>
  <c r="BF5" i="33"/>
  <c r="BO5" i="29"/>
  <c r="BF15" i="25"/>
  <c r="BO15" i="24"/>
  <c r="BJ15" i="33"/>
  <c r="BJ12" i="30"/>
  <c r="BF13" i="20"/>
  <c r="BJ5" i="33"/>
  <c r="BO12" i="34"/>
  <c r="BO14" i="28"/>
  <c r="BF14" i="36"/>
  <c r="BO13" i="29"/>
  <c r="BO10" i="32"/>
  <c r="BF14" i="28"/>
  <c r="BO7" i="27"/>
  <c r="BO8" i="25"/>
  <c r="BO5" i="20"/>
  <c r="BF11" i="31"/>
  <c r="BJ14" i="36"/>
  <c r="BF14" i="32"/>
  <c r="BO4" i="24"/>
  <c r="BJ9" i="29"/>
  <c r="BF10" i="28"/>
  <c r="BO10" i="20"/>
  <c r="BJ11" i="27"/>
  <c r="BJ10" i="23"/>
  <c r="BF11" i="35"/>
  <c r="BF9" i="20"/>
  <c r="BJ15" i="25"/>
  <c r="BJ6" i="24"/>
  <c r="BF12" i="25"/>
  <c r="BO6" i="36"/>
  <c r="BF12" i="34"/>
  <c r="BO15" i="29"/>
  <c r="BJ11" i="35"/>
  <c r="BF6" i="28"/>
  <c r="AT19" i="34"/>
  <c r="BJ7" i="27"/>
  <c r="BF8" i="34"/>
  <c r="BF15" i="20"/>
  <c r="BJ10" i="36"/>
  <c r="BJ12" i="24"/>
  <c r="BJ8" i="24"/>
  <c r="BO9" i="29"/>
  <c r="BO10" i="28"/>
  <c r="BF8" i="30"/>
  <c r="BJ10" i="32"/>
  <c r="BO13" i="23"/>
  <c r="BJ6" i="32"/>
  <c r="BO10" i="24"/>
  <c r="BJ5" i="29"/>
  <c r="BO15" i="21"/>
  <c r="BF15" i="29"/>
  <c r="BF6" i="36"/>
  <c r="BO7" i="35"/>
  <c r="BO15" i="20"/>
  <c r="BF11" i="23"/>
  <c r="BO13" i="20"/>
  <c r="BJ7" i="25"/>
  <c r="BO8" i="26"/>
  <c r="BJ13" i="21"/>
  <c r="BJ13" i="33"/>
  <c r="BO11" i="27"/>
  <c r="BJ9" i="33"/>
  <c r="BF14" i="25"/>
  <c r="BJ7" i="21"/>
  <c r="BO13" i="33"/>
  <c r="AT19" i="21"/>
  <c r="AY7" i="21"/>
  <c r="AY15" i="21"/>
  <c r="AY19" i="21"/>
  <c r="BJ7" i="30"/>
  <c r="BO4" i="34"/>
  <c r="AL20" i="16"/>
  <c r="CT20" i="16" s="1"/>
  <c r="BF12" i="29"/>
  <c r="BO9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7" i="24"/>
  <c r="BO7" i="24"/>
  <c r="BO7" i="30"/>
  <c r="BJ11" i="30"/>
  <c r="BF7" i="26"/>
  <c r="BF6" i="24"/>
  <c r="BO15" i="28"/>
  <c r="BO9" i="28"/>
  <c r="BF7" i="25"/>
  <c r="BJ10" i="27"/>
  <c r="BF15" i="1"/>
  <c r="BF5" i="28"/>
  <c r="BO5" i="36"/>
  <c r="BO12" i="25"/>
  <c r="BO10" i="27"/>
  <c r="BO13" i="24"/>
  <c r="BO5" i="28"/>
  <c r="BJ14" i="27"/>
  <c r="H5" i="16"/>
  <c r="BP5" i="16" s="1"/>
  <c r="R16" i="16"/>
  <c r="BX36" i="16" s="1"/>
  <c r="BJ12" i="20"/>
  <c r="BJ9" i="1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4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AK25" i="29"/>
  <c r="AK41" i="29" s="1"/>
  <c r="AT11" i="31"/>
  <c r="AT19" i="24"/>
  <c r="AT15" i="25"/>
  <c r="BF10" i="34"/>
  <c r="BO15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2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5" i="24"/>
  <c r="BF4" i="27"/>
  <c r="BO4" i="20"/>
  <c r="BJ4" i="31"/>
  <c r="BO5" i="25"/>
  <c r="BF5" i="1"/>
  <c r="BO4" i="28"/>
  <c r="BJ4" i="27"/>
  <c r="BJ9" i="25"/>
  <c r="BJ10" i="24"/>
  <c r="BO8" i="27"/>
  <c r="AK15" i="16"/>
  <c r="BF15" i="26"/>
  <c r="BF14" i="20"/>
  <c r="M13" i="16"/>
  <c r="AC15" i="16"/>
  <c r="CK15" i="16" s="1"/>
  <c r="BO8" i="23"/>
  <c r="BJ9" i="26"/>
  <c r="W13" i="16"/>
  <c r="CE13" i="16" s="1"/>
  <c r="AG13" i="16"/>
  <c r="CM33" i="16" s="1"/>
  <c r="BJ13" i="23"/>
  <c r="AT8" i="29"/>
  <c r="BF13" i="25"/>
  <c r="BO11" i="23"/>
  <c r="BO8" i="3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11" i="24"/>
  <c r="BO11" i="24"/>
  <c r="BF9" i="25"/>
  <c r="BJ8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W11" i="16"/>
  <c r="CE11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2" i="24"/>
  <c r="BO14" i="23"/>
  <c r="BF9" i="23"/>
  <c r="AT8" i="31"/>
  <c r="BJ14" i="34"/>
  <c r="BJ9" i="31"/>
  <c r="BJ12" i="36"/>
  <c r="BO7" i="33"/>
  <c r="BO5" i="34"/>
  <c r="AA14" i="16"/>
  <c r="CG34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4" i="23"/>
  <c r="BO6" i="23"/>
  <c r="AT8" i="33"/>
  <c r="BO14" i="34"/>
  <c r="BF9" i="31"/>
  <c r="BO12" i="36"/>
  <c r="BF7" i="29"/>
  <c r="BF7" i="33"/>
  <c r="BJ7" i="28"/>
  <c r="BO9" i="1"/>
  <c r="BF6" i="27"/>
  <c r="BO14" i="30"/>
  <c r="V15" i="16"/>
  <c r="BF11" i="25"/>
  <c r="BF5" i="25"/>
  <c r="BO11" i="20"/>
  <c r="BO6" i="34"/>
  <c r="BF10" i="35"/>
  <c r="BO7" i="21"/>
  <c r="BF13" i="24"/>
  <c r="BO14" i="20"/>
  <c r="BF14" i="27"/>
  <c r="J13" i="16"/>
  <c r="V25" i="29"/>
  <c r="V41" i="29" s="1"/>
  <c r="BJ4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M25" i="25"/>
  <c r="M41" i="25" s="1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B25" i="33"/>
  <c r="AB41" i="33" s="1"/>
  <c r="V17" i="16"/>
  <c r="BO15" i="34"/>
  <c r="BF10" i="33"/>
  <c r="BJ8" i="31"/>
  <c r="BO14" i="24"/>
  <c r="AY16" i="28"/>
  <c r="AT12" i="31"/>
  <c r="AE11" i="16"/>
  <c r="AL11" i="16"/>
  <c r="CT11" i="16" s="1"/>
  <c r="BO11" i="32"/>
  <c r="BO5" i="26"/>
  <c r="BO15" i="25"/>
  <c r="BJ5" i="34"/>
  <c r="BO12" i="27"/>
  <c r="BF8" i="27"/>
  <c r="BJ5" i="21"/>
  <c r="BJ15" i="21"/>
  <c r="AH14" i="16"/>
  <c r="BF7" i="32"/>
  <c r="BO9" i="21"/>
  <c r="AM5" i="16"/>
  <c r="CS25" i="16" s="1"/>
  <c r="J5" i="16"/>
  <c r="I5" i="16"/>
  <c r="BO25" i="16" s="1"/>
  <c r="BO11" i="28"/>
  <c r="BF9" i="26"/>
  <c r="BJ6" i="25"/>
  <c r="BO13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6" i="21"/>
  <c r="BF12" i="21"/>
  <c r="U5" i="16"/>
  <c r="CA25" i="16" s="1"/>
  <c r="X5" i="16"/>
  <c r="CD25" i="16" s="1"/>
  <c r="AG5" i="16"/>
  <c r="CM25" i="16" s="1"/>
  <c r="K9" i="16"/>
  <c r="BS9" i="16" s="1"/>
  <c r="BF13" i="26"/>
  <c r="BO4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AK25" i="27"/>
  <c r="AK41" i="27" s="1"/>
  <c r="N11" i="16"/>
  <c r="BV11" i="16" s="1"/>
  <c r="BF8" i="1"/>
  <c r="BO11" i="1"/>
  <c r="O9" i="16"/>
  <c r="BU29" i="16" s="1"/>
  <c r="BJ15" i="26"/>
  <c r="BF14" i="33"/>
  <c r="BF8" i="35"/>
  <c r="E11" i="16"/>
  <c r="BM11" i="16" s="1"/>
  <c r="BF11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L9" i="16"/>
  <c r="BR29" i="16" s="1"/>
  <c r="V9" i="16"/>
  <c r="T9" i="16"/>
  <c r="CB9" i="16" s="1"/>
  <c r="G25" i="25"/>
  <c r="G41" i="25" s="1"/>
  <c r="X9" i="16"/>
  <c r="CD29" i="16" s="1"/>
  <c r="AB25" i="25"/>
  <c r="AB41" i="25" s="1"/>
  <c r="I9" i="16"/>
  <c r="BO29" i="16" s="1"/>
  <c r="N9" i="16"/>
  <c r="BV9" i="16" s="1"/>
  <c r="Y9" i="16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AS9" i="16" s="1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BJ5" i="1"/>
  <c r="AT16" i="20"/>
  <c r="AY16" i="24"/>
  <c r="BF7" i="1"/>
  <c r="O18" i="16"/>
  <c r="BU38" i="16" s="1"/>
  <c r="AN25" i="26"/>
  <c r="AN41" i="26" s="1"/>
  <c r="BO8" i="1"/>
  <c r="BJ7" i="1"/>
  <c r="G10" i="16"/>
  <c r="AG8" i="16"/>
  <c r="CM28" i="16" s="1"/>
  <c r="AD8" i="16"/>
  <c r="CJ28" i="16" s="1"/>
  <c r="BO11" i="21"/>
  <c r="BF5" i="21"/>
  <c r="BO9" i="23"/>
  <c r="BF6" i="23"/>
  <c r="BJ7" i="23"/>
  <c r="BF7" i="24"/>
  <c r="BO6" i="24"/>
  <c r="BJ11" i="25"/>
  <c r="BF6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9" i="24"/>
  <c r="BF9" i="24"/>
  <c r="BJ10" i="25"/>
  <c r="BF10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4" i="24"/>
  <c r="BJ15" i="27"/>
  <c r="AT8" i="27"/>
  <c r="Q17" i="16"/>
  <c r="BY17" i="16" s="1"/>
  <c r="BJ14" i="31"/>
  <c r="BO6" i="29"/>
  <c r="BJ5" i="24"/>
  <c r="P25" i="26"/>
  <c r="P41" i="2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4" i="25"/>
  <c r="P18" i="16"/>
  <c r="K10" i="16"/>
  <c r="BS10" i="16" s="1"/>
  <c r="O10" i="16"/>
  <c r="BU30" i="16" s="1"/>
  <c r="BO7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AN25" i="25"/>
  <c r="AN41" i="25" s="1"/>
  <c r="V25" i="25"/>
  <c r="V41" i="25" s="1"/>
  <c r="AC9" i="16"/>
  <c r="CK9" i="16" s="1"/>
  <c r="S9" i="16"/>
  <c r="Z9" i="16"/>
  <c r="CH9" i="16" s="1"/>
  <c r="J9" i="16"/>
  <c r="BY17" i="24"/>
  <c r="CV133" i="16" s="1"/>
  <c r="BY11" i="26"/>
  <c r="CV183" i="16" s="1"/>
  <c r="BY13" i="26"/>
  <c r="CV185" i="16" s="1"/>
  <c r="BY23" i="26"/>
  <c r="CV195" i="16" s="1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Y17" i="26"/>
  <c r="CV189" i="16" s="1"/>
  <c r="BE2" i="26"/>
  <c r="BY6" i="26"/>
  <c r="CV178" i="16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3" i="30"/>
  <c r="Y55" i="27"/>
  <c r="Y52" i="27" s="1"/>
  <c r="J55" i="36"/>
  <c r="J52" i="36" s="1"/>
  <c r="V52" i="30"/>
  <c r="Y54" i="26"/>
  <c r="Y55" i="26"/>
  <c r="Y52" i="26" s="1"/>
  <c r="AK53" i="30"/>
  <c r="AE55" i="29"/>
  <c r="AE52" i="29" s="1"/>
  <c r="AB55" i="32"/>
  <c r="AB52" i="32" s="1"/>
  <c r="M53" i="33"/>
  <c r="AH53" i="33"/>
  <c r="AH55" i="33"/>
  <c r="AH52" i="33" s="1"/>
  <c r="Y54" i="34"/>
  <c r="BG15" i="20"/>
  <c r="BG15" i="35"/>
  <c r="AO34" i="35"/>
  <c r="BF10" i="1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Y18" i="25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AM8" i="16" l="1"/>
  <c r="CS28" i="16" s="1"/>
  <c r="AJ8" i="16"/>
  <c r="CP28" i="16" s="1"/>
  <c r="I8" i="16"/>
  <c r="BO28" i="16" s="1"/>
  <c r="L8" i="16"/>
  <c r="BR28" i="16" s="1"/>
  <c r="AA8" i="16"/>
  <c r="CG28" i="16" s="1"/>
  <c r="X8" i="16"/>
  <c r="CD28" i="16" s="1"/>
  <c r="U8" i="16"/>
  <c r="CA28" i="16" s="1"/>
  <c r="R8" i="16"/>
  <c r="BX28" i="16" s="1"/>
  <c r="O8" i="16"/>
  <c r="BU28" i="16" s="1"/>
  <c r="F8" i="16"/>
  <c r="BL28" i="16" s="1"/>
  <c r="AS8" i="16"/>
  <c r="D8" i="16"/>
  <c r="G25" i="24" s="1"/>
  <c r="G41" i="24" s="1"/>
  <c r="R7" i="16"/>
  <c r="BX27" i="16" s="1"/>
  <c r="AJ7" i="16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P54" i="26"/>
  <c r="AN55" i="29"/>
  <c r="AN52" i="29" s="1"/>
  <c r="V55" i="26"/>
  <c r="V52" i="26" s="1"/>
  <c r="S52" i="30"/>
  <c r="S21" i="30" s="1"/>
  <c r="BE8" i="30" s="1"/>
  <c r="AB54" i="28"/>
  <c r="S53" i="30"/>
  <c r="P53" i="31"/>
  <c r="AB53" i="33"/>
  <c r="AB54" i="33"/>
  <c r="V54" i="26"/>
  <c r="AB55" i="30"/>
  <c r="AB52" i="30" s="1"/>
  <c r="AN55" i="34"/>
  <c r="AN52" i="34" s="1"/>
  <c r="AB55" i="26"/>
  <c r="AB52" i="26" s="1"/>
  <c r="AB21" i="26" s="1"/>
  <c r="BE11" i="26" s="1"/>
  <c r="AB52" i="33"/>
  <c r="S54" i="36"/>
  <c r="S55" i="27"/>
  <c r="AK55" i="33"/>
  <c r="AK52" i="33" s="1"/>
  <c r="AE53" i="33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9" i="16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W9" i="16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C9" i="23"/>
  <c r="AZ9" i="23" s="1"/>
  <c r="BA9" i="23" s="1"/>
  <c r="AZ4" i="23"/>
  <c r="BA4" i="23" s="1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BZ11" i="16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AH54" i="26"/>
  <c r="AH55" i="26"/>
  <c r="AH52" i="26" s="1"/>
  <c r="AH21" i="26" s="1"/>
  <c r="BE13" i="26" s="1"/>
  <c r="AH53" i="26"/>
  <c r="BC14" i="26"/>
  <c r="AZ14" i="26" s="1"/>
  <c r="BA14" i="26" s="1"/>
  <c r="BC6" i="26"/>
  <c r="AZ6" i="26" s="1"/>
  <c r="BA6" i="26" s="1"/>
  <c r="BC8" i="26"/>
  <c r="AZ8" i="26" s="1"/>
  <c r="BA8" i="26" s="1"/>
  <c r="BN9" i="16"/>
  <c r="BQ9" i="16"/>
  <c r="BC8" i="23"/>
  <c r="AZ8" i="23" s="1"/>
  <c r="BA8" i="23" s="1"/>
  <c r="BC18" i="23"/>
  <c r="AZ18" i="23" s="1"/>
  <c r="BA18" i="23" s="1"/>
  <c r="CP27" i="16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CC9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AE54" i="26"/>
  <c r="AE55" i="26"/>
  <c r="AE52" i="26" s="1"/>
  <c r="AE21" i="26" s="1"/>
  <c r="BE12" i="26" s="1"/>
  <c r="BK9" i="16"/>
  <c r="BZ9" i="16"/>
  <c r="CO9" i="16"/>
  <c r="BT9" i="16"/>
  <c r="CR9" i="16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T10" i="16"/>
  <c r="BQ10" i="16"/>
  <c r="BC16" i="27"/>
  <c r="AZ16" i="27" s="1"/>
  <c r="BA16" i="27" s="1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H21" i="27"/>
  <c r="BE13" i="27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AZ16" i="30" s="1"/>
  <c r="BA16" i="30" s="1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J54" i="26"/>
  <c r="J55" i="26"/>
  <c r="J52" i="26" s="1"/>
  <c r="J21" i="26" s="1"/>
  <c r="BE5" i="26" s="1"/>
  <c r="J53" i="26"/>
  <c r="BK10" i="16"/>
  <c r="CO10" i="16"/>
  <c r="CI10" i="16"/>
  <c r="P21" i="26"/>
  <c r="BE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N21" i="25" l="1"/>
  <c r="N34" i="25" s="1"/>
  <c r="AF21" i="25"/>
  <c r="Q21" i="25"/>
  <c r="BG6" i="25" s="1"/>
  <c r="AO21" i="25"/>
  <c r="AC21" i="25"/>
  <c r="AC34" i="25" s="1"/>
  <c r="T21" i="25"/>
  <c r="K21" i="25"/>
  <c r="BG15" i="25" s="1"/>
  <c r="W21" i="25"/>
  <c r="AL21" i="25"/>
  <c r="BG13" i="25" s="1"/>
  <c r="H21" i="25"/>
  <c r="Z21" i="25"/>
  <c r="Z34" i="25" s="1"/>
  <c r="AI21" i="25"/>
  <c r="AU16" i="30"/>
  <c r="AV16" i="30" s="1"/>
  <c r="AU18" i="25"/>
  <c r="AV18" i="25" s="1"/>
  <c r="AU17" i="25"/>
  <c r="AV17" i="25" s="1"/>
  <c r="AE25" i="24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V8" i="16" s="1"/>
  <c r="AF21" i="24"/>
  <c r="AO21" i="24"/>
  <c r="AN8" i="16" s="1"/>
  <c r="T21" i="24"/>
  <c r="N21" i="24"/>
  <c r="M8" i="16" s="1"/>
  <c r="K21" i="24"/>
  <c r="H21" i="24"/>
  <c r="G8" i="16" s="1"/>
  <c r="J25" i="23"/>
  <c r="J41" i="23" s="1"/>
  <c r="Q21" i="24"/>
  <c r="Z21" i="24"/>
  <c r="Y8" i="16" s="1"/>
  <c r="AC21" i="24"/>
  <c r="AI21" i="24"/>
  <c r="AH8" i="16" s="1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AK58" i="32"/>
  <c r="V58" i="29"/>
  <c r="AE58" i="27"/>
  <c r="AH58" i="28"/>
  <c r="J58" i="28"/>
  <c r="AN58" i="33"/>
  <c r="S58" i="26"/>
  <c r="G58" i="27"/>
  <c r="S58" i="27"/>
  <c r="AB58" i="27"/>
  <c r="AK58" i="28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G58" i="26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AK58" i="26"/>
  <c r="S58" i="28"/>
  <c r="M58" i="28"/>
  <c r="G58" i="31"/>
  <c r="V58" i="28"/>
  <c r="G58" i="28"/>
  <c r="CF14" i="16"/>
  <c r="Y58" i="35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AN21" i="26"/>
  <c r="BE15" i="26" s="1"/>
  <c r="AN58" i="26"/>
  <c r="P58" i="26"/>
  <c r="V58" i="26"/>
  <c r="AH58" i="26"/>
  <c r="Y58" i="26"/>
  <c r="J58" i="26"/>
  <c r="AE58" i="26"/>
  <c r="M58" i="26"/>
  <c r="AB58" i="26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BG5" i="25" l="1"/>
  <c r="M56" i="25"/>
  <c r="M55" i="25" s="1"/>
  <c r="M52" i="25" s="1"/>
  <c r="AF34" i="25"/>
  <c r="BG11" i="25"/>
  <c r="AE56" i="25"/>
  <c r="P56" i="25"/>
  <c r="P55" i="25" s="1"/>
  <c r="P52" i="25" s="1"/>
  <c r="Q34" i="25"/>
  <c r="AO34" i="25"/>
  <c r="BG14" i="25"/>
  <c r="AN56" i="25"/>
  <c r="AB56" i="25"/>
  <c r="AB55" i="25" s="1"/>
  <c r="AB52" i="25" s="1"/>
  <c r="BG10" i="25"/>
  <c r="S56" i="25"/>
  <c r="BG7" i="25"/>
  <c r="T34" i="25"/>
  <c r="J56" i="25"/>
  <c r="J53" i="25" s="1"/>
  <c r="K34" i="25"/>
  <c r="W34" i="25"/>
  <c r="BG8" i="25"/>
  <c r="V56" i="25"/>
  <c r="AL34" i="25"/>
  <c r="AK56" i="25"/>
  <c r="AK55" i="25" s="1"/>
  <c r="AK52" i="25" s="1"/>
  <c r="H34" i="25"/>
  <c r="G56" i="25"/>
  <c r="BG4" i="25"/>
  <c r="AK54" i="25"/>
  <c r="Y56" i="25"/>
  <c r="Y55" i="25" s="1"/>
  <c r="Y52" i="25" s="1"/>
  <c r="BG9" i="25"/>
  <c r="AI34" i="25"/>
  <c r="BG12" i="25"/>
  <c r="AH56" i="25"/>
  <c r="BG9" i="24"/>
  <c r="AE8" i="16"/>
  <c r="BG11" i="24"/>
  <c r="P8" i="16"/>
  <c r="BG5" i="24"/>
  <c r="AB8" i="16"/>
  <c r="J56" i="24"/>
  <c r="J54" i="24" s="1"/>
  <c r="J8" i="16"/>
  <c r="T34" i="24"/>
  <c r="S8" i="16"/>
  <c r="AL34" i="24"/>
  <c r="AK8" i="16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P7" i="16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BQ10" i="27"/>
  <c r="BQ14" i="27"/>
  <c r="BQ12" i="27"/>
  <c r="BQ5" i="27"/>
  <c r="BQ8" i="27"/>
  <c r="BQ11" i="27"/>
  <c r="BQ15" i="27"/>
  <c r="BQ6" i="27"/>
  <c r="W24" i="27"/>
  <c r="W37" i="27" s="1"/>
  <c r="BQ9" i="27"/>
  <c r="BQ7" i="27"/>
  <c r="AH27" i="27"/>
  <c r="BQ13" i="27"/>
  <c r="Y27" i="27"/>
  <c r="BQ15" i="30"/>
  <c r="BQ5" i="30"/>
  <c r="Y27" i="30"/>
  <c r="BQ9" i="30"/>
  <c r="AH27" i="30"/>
  <c r="BQ12" i="30"/>
  <c r="W24" i="30"/>
  <c r="W37" i="30" s="1"/>
  <c r="BQ7" i="30"/>
  <c r="BQ14" i="30"/>
  <c r="BQ6" i="30"/>
  <c r="BQ4" i="30"/>
  <c r="BQ8" i="30"/>
  <c r="BQ13" i="30"/>
  <c r="BQ11" i="30"/>
  <c r="BQ10" i="30"/>
  <c r="BQ14" i="25"/>
  <c r="AH27" i="25"/>
  <c r="BQ10" i="25"/>
  <c r="BQ15" i="25"/>
  <c r="BQ13" i="25"/>
  <c r="BQ11" i="25"/>
  <c r="BQ12" i="25"/>
  <c r="BQ7" i="25"/>
  <c r="BQ9" i="25"/>
  <c r="BQ5" i="25"/>
  <c r="W24" i="25"/>
  <c r="W37" i="25" s="1"/>
  <c r="Y27" i="25"/>
  <c r="BQ8" i="25"/>
  <c r="BQ4" i="25"/>
  <c r="BQ6" i="25"/>
  <c r="BQ5" i="33"/>
  <c r="BQ6" i="33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AH27" i="28"/>
  <c r="BQ9" i="28"/>
  <c r="BQ15" i="28"/>
  <c r="BQ11" i="28"/>
  <c r="BQ10" i="28"/>
  <c r="BQ14" i="28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W24" i="34"/>
  <c r="W37" i="34" s="1"/>
  <c r="BQ8" i="34"/>
  <c r="BQ13" i="35"/>
  <c r="BQ7" i="35"/>
  <c r="BQ10" i="35"/>
  <c r="BQ9" i="35"/>
  <c r="BQ15" i="35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BQ7" i="36"/>
  <c r="BQ13" i="36"/>
  <c r="BQ10" i="31"/>
  <c r="BQ11" i="31"/>
  <c r="BQ4" i="31"/>
  <c r="BQ12" i="31"/>
  <c r="BQ13" i="31"/>
  <c r="AH27" i="31"/>
  <c r="W24" i="31"/>
  <c r="W37" i="31" s="1"/>
  <c r="BQ8" i="31"/>
  <c r="BQ15" i="31"/>
  <c r="BQ6" i="31"/>
  <c r="BQ9" i="31"/>
  <c r="Y27" i="31"/>
  <c r="BQ5" i="31"/>
  <c r="BQ7" i="31"/>
  <c r="BQ14" i="31"/>
  <c r="AH26" i="27"/>
  <c r="AH42" i="27" s="1"/>
  <c r="Y26" i="27"/>
  <c r="Y42" i="27" s="1"/>
  <c r="BQ9" i="24"/>
  <c r="BQ4" i="24"/>
  <c r="BQ14" i="24"/>
  <c r="BQ12" i="24"/>
  <c r="BQ5" i="24"/>
  <c r="Y27" i="24"/>
  <c r="BQ7" i="24"/>
  <c r="AH27" i="24"/>
  <c r="BQ8" i="24"/>
  <c r="W24" i="24"/>
  <c r="W37" i="24" s="1"/>
  <c r="BQ15" i="24"/>
  <c r="BQ10" i="24"/>
  <c r="BQ6" i="24"/>
  <c r="BQ13" i="24"/>
  <c r="BQ11" i="24"/>
  <c r="BQ7" i="26"/>
  <c r="H24" i="26"/>
  <c r="H37" i="26" s="1"/>
  <c r="BQ15" i="26"/>
  <c r="BQ11" i="26"/>
  <c r="BQ4" i="26"/>
  <c r="AH27" i="26"/>
  <c r="W24" i="26"/>
  <c r="W37" i="26" s="1"/>
  <c r="BQ14" i="26"/>
  <c r="BQ8" i="26"/>
  <c r="BQ5" i="26"/>
  <c r="BQ12" i="26"/>
  <c r="BQ13" i="26"/>
  <c r="Y27" i="26"/>
  <c r="BQ10" i="26"/>
  <c r="BQ6" i="26"/>
  <c r="BQ9" i="26"/>
  <c r="BQ14" i="29"/>
  <c r="BQ4" i="29"/>
  <c r="BQ8" i="29"/>
  <c r="BQ7" i="29"/>
  <c r="Y27" i="29"/>
  <c r="BQ15" i="29"/>
  <c r="W24" i="29"/>
  <c r="W37" i="29" s="1"/>
  <c r="BQ13" i="29"/>
  <c r="BQ11" i="29"/>
  <c r="BQ12" i="29"/>
  <c r="BQ6" i="29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W24" i="32"/>
  <c r="W37" i="32" s="1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V21" i="16"/>
  <c r="W23" i="20"/>
  <c r="W23" i="1"/>
  <c r="AI34" i="1"/>
  <c r="AH4" i="16"/>
  <c r="AI24" i="31" s="1"/>
  <c r="AI37" i="31" s="1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U21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M54" i="25" l="1"/>
  <c r="M53" i="25"/>
  <c r="AE53" i="25"/>
  <c r="AE54" i="25"/>
  <c r="AE55" i="25"/>
  <c r="AE52" i="25" s="1"/>
  <c r="AE21" i="25" s="1"/>
  <c r="BE11" i="25" s="1"/>
  <c r="P54" i="25"/>
  <c r="P53" i="25"/>
  <c r="AN54" i="25"/>
  <c r="AN53" i="25"/>
  <c r="AN55" i="25"/>
  <c r="AN52" i="25" s="1"/>
  <c r="AN21" i="25" s="1"/>
  <c r="BE14" i="25" s="1"/>
  <c r="AB53" i="25"/>
  <c r="AB54" i="25"/>
  <c r="S54" i="25"/>
  <c r="S53" i="25"/>
  <c r="S55" i="25"/>
  <c r="S52" i="25" s="1"/>
  <c r="S21" i="25" s="1"/>
  <c r="BE7" i="25" s="1"/>
  <c r="J55" i="25"/>
  <c r="J52" i="25" s="1"/>
  <c r="J21" i="25" s="1"/>
  <c r="BE15" i="25" s="1"/>
  <c r="J54" i="25"/>
  <c r="V54" i="25"/>
  <c r="V53" i="25"/>
  <c r="V55" i="25"/>
  <c r="V52" i="25" s="1"/>
  <c r="V21" i="25" s="1"/>
  <c r="BE8" i="25" s="1"/>
  <c r="AK53" i="25"/>
  <c r="AK21" i="25"/>
  <c r="BE13" i="25" s="1"/>
  <c r="G55" i="25"/>
  <c r="G52" i="25" s="1"/>
  <c r="G21" i="25" s="1"/>
  <c r="BE4" i="25" s="1"/>
  <c r="G53" i="25"/>
  <c r="G54" i="25"/>
  <c r="Y53" i="25"/>
  <c r="Y54" i="25"/>
  <c r="M21" i="25"/>
  <c r="BE5" i="25" s="1"/>
  <c r="AH54" i="25"/>
  <c r="AH55" i="25"/>
  <c r="AH52" i="25" s="1"/>
  <c r="AH21" i="25" s="1"/>
  <c r="BE12" i="25" s="1"/>
  <c r="AH53" i="25"/>
  <c r="AB21" i="25"/>
  <c r="BE10" i="25" s="1"/>
  <c r="AU21" i="25"/>
  <c r="P21" i="25"/>
  <c r="BE6" i="25" s="1"/>
  <c r="G45" i="25"/>
  <c r="B1" i="25" s="1"/>
  <c r="Y21" i="25"/>
  <c r="BE9" i="25" s="1"/>
  <c r="J53" i="24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35"/>
  <c r="W36" i="35" s="1"/>
  <c r="W23" i="28"/>
  <c r="BL9" i="28" s="1"/>
  <c r="W23" i="33"/>
  <c r="W36" i="33" s="1"/>
  <c r="W23" i="23"/>
  <c r="W36" i="23" s="1"/>
  <c r="W23" i="34"/>
  <c r="W36" i="34" s="1"/>
  <c r="W23" i="24"/>
  <c r="BL15" i="24" s="1"/>
  <c r="Q23" i="21"/>
  <c r="Q22" i="21" s="1"/>
  <c r="H23" i="28"/>
  <c r="H22" i="28" s="1"/>
  <c r="W23" i="32"/>
  <c r="BL9" i="32" s="1"/>
  <c r="W23" i="29"/>
  <c r="W36" i="29" s="1"/>
  <c r="W23" i="25"/>
  <c r="W22" i="25" s="1"/>
  <c r="W23" i="30"/>
  <c r="BL9" i="30" s="1"/>
  <c r="W23" i="27"/>
  <c r="W22" i="27" s="1"/>
  <c r="W23" i="26"/>
  <c r="W36" i="26" s="1"/>
  <c r="H23" i="21"/>
  <c r="BL9" i="21" s="1"/>
  <c r="W23" i="31"/>
  <c r="W36" i="31" s="1"/>
  <c r="W23" i="36"/>
  <c r="W36" i="36" s="1"/>
  <c r="H23" i="26"/>
  <c r="H36" i="26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CB21" i="16"/>
  <c r="V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Y58" i="25" l="1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H8" i="16"/>
  <c r="BP8" i="16" s="1"/>
  <c r="BE13" i="24"/>
  <c r="T8" i="16"/>
  <c r="CB8" i="16" s="1"/>
  <c r="BE8" i="24"/>
  <c r="K8" i="16"/>
  <c r="BS8" i="16" s="1"/>
  <c r="BE12" i="24"/>
  <c r="Q8" i="16"/>
  <c r="BY8" i="16" s="1"/>
  <c r="BE14" i="24"/>
  <c r="AL8" i="16"/>
  <c r="CT8" i="16" s="1"/>
  <c r="BE10" i="24"/>
  <c r="E8" i="16"/>
  <c r="BM8" i="16" s="1"/>
  <c r="BE5" i="24"/>
  <c r="Z8" i="16"/>
  <c r="CH8" i="16" s="1"/>
  <c r="BE15" i="24"/>
  <c r="AI8" i="16"/>
  <c r="CQ8" i="16" s="1"/>
  <c r="BE9" i="24"/>
  <c r="AC8" i="16"/>
  <c r="CK8" i="16" s="1"/>
  <c r="BE6" i="24"/>
  <c r="AF8" i="16"/>
  <c r="CN8" i="16" s="1"/>
  <c r="BE11" i="24"/>
  <c r="N8" i="16"/>
  <c r="BV8" i="16" s="1"/>
  <c r="BE4" i="24"/>
  <c r="W8" i="16"/>
  <c r="CE8" i="16" s="1"/>
  <c r="Q23" i="31"/>
  <c r="BL7" i="31" s="1"/>
  <c r="AC23" i="33"/>
  <c r="BL11" i="33" s="1"/>
  <c r="Q23" i="29"/>
  <c r="Q36" i="29" s="1"/>
  <c r="AC23" i="25"/>
  <c r="AC36" i="25" s="1"/>
  <c r="Q23" i="30"/>
  <c r="BL7" i="30" s="1"/>
  <c r="Q23" i="25"/>
  <c r="BL11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4" i="30" s="1"/>
  <c r="Q23" i="23"/>
  <c r="Q22" i="23" s="1"/>
  <c r="BK10" i="23" s="1"/>
  <c r="AC23" i="30"/>
  <c r="AC22" i="30" s="1"/>
  <c r="AC35" i="30" s="1"/>
  <c r="H23" i="30"/>
  <c r="BL4" i="30" s="1"/>
  <c r="AE58" i="24"/>
  <c r="Q23" i="33"/>
  <c r="BL7" i="33" s="1"/>
  <c r="P58" i="24"/>
  <c r="M58" i="24"/>
  <c r="G58" i="24"/>
  <c r="Y58" i="24"/>
  <c r="H23" i="25"/>
  <c r="BL9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7" i="26" s="1"/>
  <c r="H23" i="31"/>
  <c r="BL4" i="31" s="1"/>
  <c r="Q23" i="28"/>
  <c r="BL7" i="28" s="1"/>
  <c r="H23" i="27"/>
  <c r="BL4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36" i="28"/>
  <c r="W22" i="21"/>
  <c r="BK14" i="21" s="1"/>
  <c r="Y58" i="23"/>
  <c r="W36" i="21"/>
  <c r="W22" i="33"/>
  <c r="BK9" i="33" s="1"/>
  <c r="S58" i="23"/>
  <c r="V58" i="23"/>
  <c r="AH58" i="23"/>
  <c r="M58" i="23"/>
  <c r="AN58" i="23"/>
  <c r="W22" i="35"/>
  <c r="W35" i="35" s="1"/>
  <c r="W22" i="34"/>
  <c r="BK9" i="34" s="1"/>
  <c r="BL9" i="33"/>
  <c r="W36" i="24"/>
  <c r="W22" i="32"/>
  <c r="W35" i="32" s="1"/>
  <c r="W22" i="24"/>
  <c r="W35" i="24" s="1"/>
  <c r="BL15" i="25"/>
  <c r="W22" i="23"/>
  <c r="BK14" i="23" s="1"/>
  <c r="BL9" i="35"/>
  <c r="BL10" i="21"/>
  <c r="W36" i="25"/>
  <c r="Q36" i="21"/>
  <c r="W36" i="27"/>
  <c r="BL14" i="23"/>
  <c r="BL9" i="34"/>
  <c r="W22" i="29"/>
  <c r="W35" i="29" s="1"/>
  <c r="W22" i="31"/>
  <c r="BK9" i="31" s="1"/>
  <c r="BL9" i="31"/>
  <c r="BL9" i="29"/>
  <c r="BL9" i="27"/>
  <c r="AF23" i="30"/>
  <c r="AF36" i="30" s="1"/>
  <c r="H36" i="28"/>
  <c r="Z23" i="30"/>
  <c r="BL10" i="30" s="1"/>
  <c r="W22" i="28"/>
  <c r="BK9" i="28" s="1"/>
  <c r="BL4" i="28"/>
  <c r="T23" i="34"/>
  <c r="T36" i="34" s="1"/>
  <c r="Z23" i="35"/>
  <c r="Z22" i="35" s="1"/>
  <c r="AF23" i="36"/>
  <c r="AF22" i="36" s="1"/>
  <c r="AC23" i="26"/>
  <c r="BL11" i="26" s="1"/>
  <c r="AI23" i="33"/>
  <c r="AI22" i="33" s="1"/>
  <c r="K23" i="28"/>
  <c r="K22" i="28" s="1"/>
  <c r="T23" i="30"/>
  <c r="T36" i="30" s="1"/>
  <c r="T23" i="33"/>
  <c r="T22" i="33" s="1"/>
  <c r="Z23" i="21"/>
  <c r="Z36" i="21" s="1"/>
  <c r="W36" i="32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BL4" i="26"/>
  <c r="T23" i="36"/>
  <c r="T22" i="36" s="1"/>
  <c r="AI23" i="21"/>
  <c r="BL5" i="21" s="1"/>
  <c r="W36" i="30"/>
  <c r="Z23" i="29"/>
  <c r="BL10" i="29" s="1"/>
  <c r="Z23" i="27"/>
  <c r="Z22" i="27" s="1"/>
  <c r="AF23" i="34"/>
  <c r="AF36" i="34" s="1"/>
  <c r="T23" i="21"/>
  <c r="T22" i="21" s="1"/>
  <c r="Z23" i="34"/>
  <c r="BL10" i="34" s="1"/>
  <c r="W22" i="36"/>
  <c r="W35" i="36" s="1"/>
  <c r="AF23" i="35"/>
  <c r="AF36" i="35" s="1"/>
  <c r="T23" i="31"/>
  <c r="T36" i="31" s="1"/>
  <c r="W22" i="26"/>
  <c r="BK9" i="26" s="1"/>
  <c r="K23" i="30"/>
  <c r="K36" i="30" s="1"/>
  <c r="BL9" i="36"/>
  <c r="AF23" i="28"/>
  <c r="AF22" i="28" s="1"/>
  <c r="N23" i="23"/>
  <c r="BL7" i="23" s="1"/>
  <c r="AI23" i="25"/>
  <c r="BL4" i="25" s="1"/>
  <c r="BL9" i="26"/>
  <c r="N23" i="30"/>
  <c r="BL6" i="30" s="1"/>
  <c r="T23" i="35"/>
  <c r="T22" i="35" s="1"/>
  <c r="K23" i="27"/>
  <c r="BL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10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W22" i="30"/>
  <c r="W35" i="30" s="1"/>
  <c r="K23" i="26"/>
  <c r="BL5" i="26" s="1"/>
  <c r="Z23" i="36"/>
  <c r="Z36" i="36" s="1"/>
  <c r="H22" i="26"/>
  <c r="H35" i="26" s="1"/>
  <c r="AF23" i="33"/>
  <c r="AF36" i="33" s="1"/>
  <c r="AF23" i="27"/>
  <c r="BL12" i="27" s="1"/>
  <c r="AF23" i="25"/>
  <c r="AF36" i="25" s="1"/>
  <c r="AO23" i="27"/>
  <c r="BL15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7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13" i="24" s="1"/>
  <c r="K23" i="21"/>
  <c r="K36" i="21" s="1"/>
  <c r="K23" i="25"/>
  <c r="BL14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5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4" i="28"/>
  <c r="AF22" i="1"/>
  <c r="AF36" i="1"/>
  <c r="BL9" i="1"/>
  <c r="BL5" i="20"/>
  <c r="AF22" i="20"/>
  <c r="AF36" i="20"/>
  <c r="BE8" i="1"/>
  <c r="AF4" i="16"/>
  <c r="BE12" i="1"/>
  <c r="N4" i="16"/>
  <c r="W35" i="25"/>
  <c r="BK15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13" i="20"/>
  <c r="W35" i="20"/>
  <c r="AI22" i="31"/>
  <c r="BL13" i="31"/>
  <c r="AI36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K36" i="36" l="1"/>
  <c r="AC36" i="33"/>
  <c r="BL5" i="36"/>
  <c r="BL7" i="27"/>
  <c r="Q22" i="27"/>
  <c r="Q35" i="27" s="1"/>
  <c r="BK4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7" i="29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7" i="29" s="1"/>
  <c r="AC22" i="25"/>
  <c r="BK10" i="25" s="1"/>
  <c r="BL9" i="24"/>
  <c r="BL10" i="25"/>
  <c r="H35" i="24"/>
  <c r="Q36" i="25"/>
  <c r="Q22" i="25"/>
  <c r="Q35" i="25" s="1"/>
  <c r="H22" i="23"/>
  <c r="BK9" i="23" s="1"/>
  <c r="BK4" i="29"/>
  <c r="H36" i="29"/>
  <c r="Q35" i="32"/>
  <c r="BL4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1" i="30"/>
  <c r="AC36" i="30"/>
  <c r="Q36" i="26"/>
  <c r="BL4" i="32"/>
  <c r="BL11" i="30"/>
  <c r="H36" i="32"/>
  <c r="BL7" i="35"/>
  <c r="Q22" i="35"/>
  <c r="BK7" i="35" s="1"/>
  <c r="H36" i="27"/>
  <c r="AO36" i="23"/>
  <c r="AO22" i="23"/>
  <c r="BK4" i="23" s="1"/>
  <c r="H22" i="35"/>
  <c r="H35" i="35" s="1"/>
  <c r="BL7" i="26"/>
  <c r="BK11" i="24"/>
  <c r="Q35" i="26"/>
  <c r="H36" i="35"/>
  <c r="Q36" i="24"/>
  <c r="W35" i="21"/>
  <c r="H22" i="30"/>
  <c r="H35" i="30" s="1"/>
  <c r="BL11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W35" i="33"/>
  <c r="BK9" i="35"/>
  <c r="BK9" i="32"/>
  <c r="W35" i="34"/>
  <c r="AF22" i="32"/>
  <c r="BK12" i="32" s="1"/>
  <c r="W35" i="23"/>
  <c r="BL10" i="35"/>
  <c r="AL22" i="24"/>
  <c r="BK12" i="24" s="1"/>
  <c r="BK15" i="24"/>
  <c r="AC36" i="26"/>
  <c r="AI36" i="33"/>
  <c r="BL12" i="26"/>
  <c r="AL22" i="25"/>
  <c r="AL35" i="25" s="1"/>
  <c r="AF22" i="30"/>
  <c r="BK12" i="30" s="1"/>
  <c r="Z36" i="29"/>
  <c r="Z22" i="29"/>
  <c r="BK10" i="29" s="1"/>
  <c r="T36" i="36"/>
  <c r="BL12" i="30"/>
  <c r="Z22" i="33"/>
  <c r="Z35" i="33" s="1"/>
  <c r="AF36" i="21"/>
  <c r="W35" i="28"/>
  <c r="BL10" i="33"/>
  <c r="T36" i="33"/>
  <c r="T22" i="31"/>
  <c r="T35" i="31" s="1"/>
  <c r="BL8" i="33"/>
  <c r="K36" i="35"/>
  <c r="BL11" i="29"/>
  <c r="BL12" i="36"/>
  <c r="BL12" i="31"/>
  <c r="AF36" i="36"/>
  <c r="K36" i="31"/>
  <c r="AF36" i="32"/>
  <c r="BK9" i="29"/>
  <c r="Z36" i="32"/>
  <c r="AC22" i="26"/>
  <c r="AC35" i="26" s="1"/>
  <c r="N36" i="36"/>
  <c r="W35" i="31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5" i="28"/>
  <c r="AI36" i="27"/>
  <c r="Z36" i="35"/>
  <c r="K36" i="28"/>
  <c r="T36" i="21"/>
  <c r="AI36" i="32"/>
  <c r="BL6" i="27"/>
  <c r="AF36" i="27"/>
  <c r="BL13" i="26"/>
  <c r="AI36" i="26"/>
  <c r="BL8" i="30"/>
  <c r="N36" i="32"/>
  <c r="T22" i="30"/>
  <c r="BK8" i="30" s="1"/>
  <c r="BL6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AF22" i="27"/>
  <c r="BK12" i="27" s="1"/>
  <c r="BL5" i="33"/>
  <c r="BK9" i="36"/>
  <c r="AC35" i="31"/>
  <c r="N36" i="23"/>
  <c r="BL13" i="27"/>
  <c r="N22" i="27"/>
  <c r="BK6" i="27" s="1"/>
  <c r="BK7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6" i="24" s="1"/>
  <c r="N36" i="30"/>
  <c r="BL14" i="29"/>
  <c r="BL10" i="27"/>
  <c r="BL8" i="35"/>
  <c r="BL13" i="32"/>
  <c r="BL12" i="28"/>
  <c r="Z22" i="28"/>
  <c r="Z35" i="28" s="1"/>
  <c r="BK11" i="27"/>
  <c r="AL35" i="32"/>
  <c r="AI22" i="21"/>
  <c r="BK5" i="21" s="1"/>
  <c r="BL12" i="35"/>
  <c r="AI36" i="28"/>
  <c r="N22" i="30"/>
  <c r="N35" i="30" s="1"/>
  <c r="BL7" i="25"/>
  <c r="AL22" i="26"/>
  <c r="AL35" i="26" s="1"/>
  <c r="BL13" i="21"/>
  <c r="N36" i="33"/>
  <c r="BL5" i="25"/>
  <c r="BL13" i="35"/>
  <c r="Z22" i="23"/>
  <c r="Z35" i="23" s="1"/>
  <c r="AF22" i="35"/>
  <c r="BK12" i="35" s="1"/>
  <c r="Z36" i="27"/>
  <c r="BL15" i="33"/>
  <c r="BL14" i="26"/>
  <c r="AC36" i="27"/>
  <c r="BL12" i="24"/>
  <c r="BL11" i="27"/>
  <c r="AI36" i="25"/>
  <c r="BL12" i="34"/>
  <c r="K22" i="26"/>
  <c r="K35" i="26" s="1"/>
  <c r="BL8" i="26"/>
  <c r="BL13" i="28"/>
  <c r="BL11" i="35"/>
  <c r="K36" i="29"/>
  <c r="AF22" i="24"/>
  <c r="BK5" i="24" s="1"/>
  <c r="K22" i="30"/>
  <c r="K35" i="30" s="1"/>
  <c r="AO22" i="21"/>
  <c r="BK6" i="21" s="1"/>
  <c r="BL10" i="24"/>
  <c r="K36" i="24"/>
  <c r="BL8" i="31"/>
  <c r="N22" i="36"/>
  <c r="N35" i="36" s="1"/>
  <c r="Z22" i="34"/>
  <c r="BK10" i="34" s="1"/>
  <c r="BL5" i="35"/>
  <c r="K22" i="21"/>
  <c r="K35" i="21" s="1"/>
  <c r="AO22" i="24"/>
  <c r="BK7" i="24" s="1"/>
  <c r="AO22" i="36"/>
  <c r="BK15" i="36" s="1"/>
  <c r="BL11" i="28"/>
  <c r="AF36" i="29"/>
  <c r="BL14" i="24"/>
  <c r="AF22" i="33"/>
  <c r="BK12" i="33" s="1"/>
  <c r="Z36" i="34"/>
  <c r="BL5" i="32"/>
  <c r="BK9" i="30"/>
  <c r="BL15" i="21"/>
  <c r="AC22" i="29"/>
  <c r="AC35" i="29" s="1"/>
  <c r="BL5" i="31"/>
  <c r="BL12" i="33"/>
  <c r="BL6" i="31"/>
  <c r="K36" i="32"/>
  <c r="AI22" i="24"/>
  <c r="AI35" i="24" s="1"/>
  <c r="N22" i="25"/>
  <c r="BK6" i="25" s="1"/>
  <c r="BL11" i="32"/>
  <c r="AC36" i="32"/>
  <c r="K22" i="27"/>
  <c r="BK5" i="27" s="1"/>
  <c r="AI22" i="25"/>
  <c r="AI35" i="25" s="1"/>
  <c r="BL6" i="29"/>
  <c r="BL5" i="30"/>
  <c r="AI22" i="36"/>
  <c r="AI35" i="36" s="1"/>
  <c r="AO22" i="32"/>
  <c r="AO35" i="32" s="1"/>
  <c r="AC36" i="21"/>
  <c r="BL8" i="27"/>
  <c r="AO36" i="35"/>
  <c r="AC36" i="36"/>
  <c r="BL14" i="36"/>
  <c r="T36" i="32"/>
  <c r="BK4" i="26"/>
  <c r="N22" i="26"/>
  <c r="BK6" i="26" s="1"/>
  <c r="T36" i="23"/>
  <c r="BL6" i="23"/>
  <c r="AL35" i="33"/>
  <c r="BL12" i="29"/>
  <c r="AC35" i="32"/>
  <c r="K22" i="34"/>
  <c r="K35" i="34" s="1"/>
  <c r="BL8" i="28"/>
  <c r="N36" i="31"/>
  <c r="Z22" i="32"/>
  <c r="BK10" i="32" s="1"/>
  <c r="BL4" i="24"/>
  <c r="BL13" i="30"/>
  <c r="BL10" i="26"/>
  <c r="BK15" i="26"/>
  <c r="BL15" i="26"/>
  <c r="AO36" i="31"/>
  <c r="BL15" i="36"/>
  <c r="AO36" i="26"/>
  <c r="AC36" i="34"/>
  <c r="BL12" i="25"/>
  <c r="Z22" i="26"/>
  <c r="BK10" i="26" s="1"/>
  <c r="BL8" i="25"/>
  <c r="T22" i="28"/>
  <c r="T35" i="28" s="1"/>
  <c r="AI36" i="30"/>
  <c r="BL8" i="24"/>
  <c r="K22" i="25"/>
  <c r="K35" i="25" s="1"/>
  <c r="BL15" i="31"/>
  <c r="BL15" i="34"/>
  <c r="BL6" i="21"/>
  <c r="AO36" i="28"/>
  <c r="AO36" i="24"/>
  <c r="AC22" i="34"/>
  <c r="AC35" i="34" s="1"/>
  <c r="AC22" i="28"/>
  <c r="BK11" i="28" s="1"/>
  <c r="AL22" i="27"/>
  <c r="AL35" i="27" s="1"/>
  <c r="T22" i="32"/>
  <c r="T35" i="32" s="1"/>
  <c r="BL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8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5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8" i="26" s="1"/>
  <c r="BL6" i="24"/>
  <c r="BK15" i="30"/>
  <c r="BL15" i="29"/>
  <c r="AO36" i="33"/>
  <c r="AC36" i="23"/>
  <c r="AC36" i="31"/>
  <c r="BL11" i="31"/>
  <c r="AL36" i="33"/>
  <c r="BL14" i="33"/>
  <c r="BL14" i="34"/>
  <c r="BL14" i="27"/>
  <c r="AL36" i="29"/>
  <c r="Z36" i="31"/>
  <c r="T22" i="25"/>
  <c r="BK13" i="25" s="1"/>
  <c r="AF36" i="23"/>
  <c r="BK15" i="33"/>
  <c r="AO22" i="34"/>
  <c r="BK15" i="34" s="1"/>
  <c r="AO22" i="28"/>
  <c r="BK15" i="28" s="1"/>
  <c r="AC22" i="23"/>
  <c r="AC35" i="23" s="1"/>
  <c r="AL22" i="34"/>
  <c r="BK14" i="34" s="1"/>
  <c r="AL22" i="31"/>
  <c r="AL35" i="31" s="1"/>
  <c r="BK6" i="16"/>
  <c r="CO6" i="16"/>
  <c r="BL10" i="31"/>
  <c r="BL13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4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8" i="16" s="1"/>
  <c r="Z21" i="16"/>
  <c r="AY43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13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12" i="26"/>
  <c r="W21" i="16"/>
  <c r="BK5" i="32"/>
  <c r="K35" i="32"/>
  <c r="T35" i="23"/>
  <c r="BK13" i="23"/>
  <c r="BK8" i="21"/>
  <c r="N35" i="21"/>
  <c r="BK7" i="21"/>
  <c r="AF35" i="21"/>
  <c r="BK13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6" i="23"/>
  <c r="BS6" i="23" s="1"/>
  <c r="BR6" i="24"/>
  <c r="BS6" i="24" s="1"/>
  <c r="BR5" i="29"/>
  <c r="BS5" i="29" s="1"/>
  <c r="H22" i="16"/>
  <c r="BN42" i="16" s="1"/>
  <c r="H23" i="16"/>
  <c r="AW35" i="16" s="1"/>
  <c r="AX35" i="16" s="1"/>
  <c r="H24" i="16"/>
  <c r="BR5" i="21"/>
  <c r="BS5" i="21" s="1"/>
  <c r="BR5" i="26"/>
  <c r="BS5" i="26" s="1"/>
  <c r="BR5" i="27"/>
  <c r="BS5" i="27" s="1"/>
  <c r="BR5" i="34"/>
  <c r="BS5" i="34" s="1"/>
  <c r="BR6" i="25"/>
  <c r="BS6" i="25" s="1"/>
  <c r="H25" i="16"/>
  <c r="BR5" i="36"/>
  <c r="BS5" i="36" s="1"/>
  <c r="AF35" i="36"/>
  <c r="BK12" i="36"/>
  <c r="AF35" i="23"/>
  <c r="BK5" i="23"/>
  <c r="K35" i="28"/>
  <c r="BK5" i="28"/>
  <c r="AI35" i="30"/>
  <c r="BK13" i="30"/>
  <c r="CN4" i="16"/>
  <c r="BR15" i="1"/>
  <c r="BS15" i="1" s="1"/>
  <c r="BK7" i="1"/>
  <c r="Z35" i="1"/>
  <c r="AI35" i="28"/>
  <c r="BK13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12" i="28"/>
  <c r="AF35" i="28"/>
  <c r="AF35" i="20"/>
  <c r="BK5" i="20"/>
  <c r="BK9" i="1"/>
  <c r="AF35" i="1"/>
  <c r="Z35" i="27"/>
  <c r="BK10" i="27"/>
  <c r="N35" i="1"/>
  <c r="BK10" i="1"/>
  <c r="Z35" i="25"/>
  <c r="BK8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Q35" i="31" l="1"/>
  <c r="BK7" i="27"/>
  <c r="H35" i="34"/>
  <c r="BK7" i="34"/>
  <c r="BK11" i="33"/>
  <c r="H35" i="33"/>
  <c r="Q35" i="30"/>
  <c r="H35" i="23"/>
  <c r="Q35" i="29"/>
  <c r="AC35" i="25"/>
  <c r="BK14" i="30"/>
  <c r="BK9" i="25"/>
  <c r="BK7" i="28"/>
  <c r="BK11" i="25"/>
  <c r="BK4" i="27"/>
  <c r="AO35" i="23"/>
  <c r="Q35" i="35"/>
  <c r="BK4" i="35"/>
  <c r="BK4" i="30"/>
  <c r="Q35" i="33"/>
  <c r="H35" i="36"/>
  <c r="BK4" i="31"/>
  <c r="AF35" i="32"/>
  <c r="Z35" i="30"/>
  <c r="AL35" i="24"/>
  <c r="BK8" i="31"/>
  <c r="AF35" i="35"/>
  <c r="T35" i="30"/>
  <c r="BK14" i="27"/>
  <c r="BK11" i="36"/>
  <c r="BK11" i="26"/>
  <c r="BK11" i="34"/>
  <c r="BK11" i="21"/>
  <c r="BK12" i="25"/>
  <c r="AF35" i="30"/>
  <c r="AF35" i="34"/>
  <c r="Z35" i="29"/>
  <c r="BK10" i="33"/>
  <c r="N35" i="34"/>
  <c r="N35" i="27"/>
  <c r="AF35" i="27"/>
  <c r="BK13" i="36"/>
  <c r="BK5" i="26"/>
  <c r="BK8" i="34"/>
  <c r="Z35" i="32"/>
  <c r="BK6" i="28"/>
  <c r="BK6" i="30"/>
  <c r="K35" i="27"/>
  <c r="T35" i="25"/>
  <c r="N35" i="25"/>
  <c r="BK4" i="25"/>
  <c r="AF35" i="31"/>
  <c r="BK10" i="28"/>
  <c r="AO35" i="29"/>
  <c r="N35" i="32"/>
  <c r="BK5" i="30"/>
  <c r="BK4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1" i="29"/>
  <c r="BK14" i="26"/>
  <c r="Z35" i="26"/>
  <c r="Z35" i="34"/>
  <c r="BK15" i="35"/>
  <c r="BK15" i="32"/>
  <c r="T35" i="29"/>
  <c r="AI35" i="23"/>
  <c r="AF35" i="33"/>
  <c r="N35" i="26"/>
  <c r="AO35" i="36"/>
  <c r="AB22" i="36" s="1"/>
  <c r="AC35" i="28"/>
  <c r="BK12" i="23"/>
  <c r="BK8" i="24"/>
  <c r="AF35" i="25"/>
  <c r="BK15" i="27"/>
  <c r="T35" i="26"/>
  <c r="BK13" i="29"/>
  <c r="BK14" i="25"/>
  <c r="BK10" i="36"/>
  <c r="BK6" i="35"/>
  <c r="T35" i="27"/>
  <c r="BK8" i="28"/>
  <c r="AO35" i="34"/>
  <c r="BK14" i="31"/>
  <c r="AL35" i="34"/>
  <c r="AC35" i="21"/>
  <c r="BK4" i="21"/>
  <c r="BK10" i="24"/>
  <c r="AO35" i="28"/>
  <c r="BK14" i="36"/>
  <c r="AL35" i="28"/>
  <c r="BK14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8" i="16"/>
  <c r="BA43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3" i="16"/>
  <c r="AY33" i="16"/>
  <c r="BA42" i="16"/>
  <c r="BB42" i="16" s="1"/>
  <c r="AY42" i="16"/>
  <c r="BN4" i="16"/>
  <c r="AK22" i="1"/>
  <c r="AH22" i="20"/>
  <c r="S22" i="20"/>
  <c r="BI15" i="20"/>
  <c r="AE22" i="1"/>
  <c r="S22" i="1"/>
  <c r="J22" i="1"/>
  <c r="AB22" i="1"/>
  <c r="BI4" i="20"/>
  <c r="BA41" i="16"/>
  <c r="BB41" i="16" s="1"/>
  <c r="AY41" i="16"/>
  <c r="BA44" i="16"/>
  <c r="AY44" i="16"/>
  <c r="BI9" i="20"/>
  <c r="BQ4" i="16"/>
  <c r="CI4" i="16"/>
  <c r="AY40" i="16"/>
  <c r="BA40" i="16"/>
  <c r="BB40" i="16" s="1"/>
  <c r="CF4" i="16"/>
  <c r="BZ4" i="16"/>
  <c r="BI10" i="1"/>
  <c r="BI9" i="1"/>
  <c r="BI4" i="1"/>
  <c r="Y22" i="1"/>
  <c r="BI7" i="20"/>
  <c r="AY37" i="16"/>
  <c r="BA37" i="16"/>
  <c r="BA35" i="16"/>
  <c r="AY35" i="16"/>
  <c r="AY39" i="16"/>
  <c r="BA39" i="16"/>
  <c r="BB39" i="16" s="1"/>
  <c r="BA34" i="16"/>
  <c r="AY34" i="16"/>
  <c r="CO4" i="16"/>
  <c r="BI11" i="20"/>
  <c r="BI6" i="1"/>
  <c r="Y22" i="20"/>
  <c r="BA36" i="16"/>
  <c r="AY36" i="16"/>
  <c r="CR4" i="16"/>
  <c r="BI12" i="20"/>
  <c r="BI10" i="20"/>
  <c r="V22" i="31" l="1"/>
  <c r="BV9" i="31" s="1"/>
  <c r="BW9" i="31" s="1"/>
  <c r="BI11" i="32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BW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4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15" i="26"/>
  <c r="BI6" i="30"/>
  <c r="M22" i="31"/>
  <c r="BV6" i="31" s="1"/>
  <c r="BW6" i="31" s="1"/>
  <c r="Y22" i="31"/>
  <c r="Y40" i="31" s="1"/>
  <c r="AB22" i="31"/>
  <c r="AB40" i="31" s="1"/>
  <c r="AN22" i="31"/>
  <c r="BT15" i="31" s="1"/>
  <c r="BI14" i="30"/>
  <c r="AK22" i="32"/>
  <c r="AK40" i="32" s="1"/>
  <c r="BI13" i="26"/>
  <c r="BI4" i="26"/>
  <c r="AH22" i="31"/>
  <c r="AH40" i="31" s="1"/>
  <c r="BI5" i="26"/>
  <c r="J22" i="31"/>
  <c r="J40" i="31" s="1"/>
  <c r="AB22" i="32"/>
  <c r="BT11" i="32" s="1"/>
  <c r="BI9" i="26"/>
  <c r="BI10" i="26"/>
  <c r="Y22" i="32"/>
  <c r="BV10" i="32" s="1"/>
  <c r="BI7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12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14" i="25"/>
  <c r="J22" i="29"/>
  <c r="BT5" i="29" s="1"/>
  <c r="AK22" i="24"/>
  <c r="BT15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13" i="25" s="1"/>
  <c r="BW13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5" i="25" s="1"/>
  <c r="M22" i="29"/>
  <c r="BT6" i="29" s="1"/>
  <c r="BI4" i="31"/>
  <c r="AB22" i="33"/>
  <c r="BT11" i="33" s="1"/>
  <c r="BI9" i="31"/>
  <c r="BI8" i="31"/>
  <c r="BI13" i="35"/>
  <c r="BI11" i="35"/>
  <c r="BI13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W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1" i="28"/>
  <c r="J22" i="26"/>
  <c r="BT5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4" i="26"/>
  <c r="Y22" i="24"/>
  <c r="BV4" i="24" s="1"/>
  <c r="BI11" i="26"/>
  <c r="AE22" i="24"/>
  <c r="AE40" i="24" s="1"/>
  <c r="V22" i="24"/>
  <c r="BV13" i="24" s="1"/>
  <c r="BW13" i="24" s="1"/>
  <c r="G22" i="24"/>
  <c r="BT5" i="24" s="1"/>
  <c r="BI6" i="26"/>
  <c r="BI15" i="29"/>
  <c r="BI8" i="26"/>
  <c r="BI10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0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11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1" i="26" s="1"/>
  <c r="AE22" i="23"/>
  <c r="AE40" i="23" s="1"/>
  <c r="BI10" i="27"/>
  <c r="AN22" i="29"/>
  <c r="BV15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7" i="25" s="1"/>
  <c r="BI9" i="28"/>
  <c r="S22" i="24"/>
  <c r="S40" i="24" s="1"/>
  <c r="BI9" i="27"/>
  <c r="BI12" i="25"/>
  <c r="AN22" i="27"/>
  <c r="BV15" i="27" s="1"/>
  <c r="BI9" i="32"/>
  <c r="BI10" i="24"/>
  <c r="BI5" i="32"/>
  <c r="Y22" i="27"/>
  <c r="BT10" i="27" s="1"/>
  <c r="P22" i="26"/>
  <c r="BV7" i="26" s="1"/>
  <c r="BW7" i="26" s="1"/>
  <c r="G22" i="27"/>
  <c r="BV4" i="27" s="1"/>
  <c r="BB37" i="16"/>
  <c r="BI6" i="23"/>
  <c r="BI15" i="24"/>
  <c r="BI5" i="23"/>
  <c r="AH22" i="26"/>
  <c r="BT13" i="26" s="1"/>
  <c r="BI15" i="32"/>
  <c r="BI4" i="29"/>
  <c r="BI14" i="29"/>
  <c r="BI11" i="23"/>
  <c r="BI7" i="32"/>
  <c r="BI11" i="24"/>
  <c r="AH22" i="27"/>
  <c r="AH40" i="27" s="1"/>
  <c r="AE22" i="26"/>
  <c r="BV12" i="26" s="1"/>
  <c r="BI8" i="29"/>
  <c r="BI15" i="23"/>
  <c r="BI5" i="24"/>
  <c r="S22" i="26"/>
  <c r="BV8" i="26" s="1"/>
  <c r="BW8" i="26" s="1"/>
  <c r="M22" i="27"/>
  <c r="BT6" i="27" s="1"/>
  <c r="BI13" i="23"/>
  <c r="AH22" i="34"/>
  <c r="BV13" i="34" s="1"/>
  <c r="G22" i="26"/>
  <c r="BV4" i="26" s="1"/>
  <c r="AK22" i="27"/>
  <c r="AK40" i="27" s="1"/>
  <c r="BI6" i="32"/>
  <c r="BI14" i="24"/>
  <c r="BI10" i="32"/>
  <c r="BI12" i="32"/>
  <c r="BI13" i="32"/>
  <c r="J22" i="27"/>
  <c r="BT5" i="27" s="1"/>
  <c r="BI4" i="32"/>
  <c r="BI8" i="24"/>
  <c r="AN22" i="26"/>
  <c r="BT15" i="26" s="1"/>
  <c r="BI6" i="29"/>
  <c r="Y22" i="28"/>
  <c r="BT10" i="28" s="1"/>
  <c r="AE22" i="34"/>
  <c r="AE40" i="34" s="1"/>
  <c r="BI12" i="36"/>
  <c r="AH22" i="28"/>
  <c r="AH40" i="28" s="1"/>
  <c r="BI12" i="29"/>
  <c r="BI13" i="29"/>
  <c r="BI5" i="29"/>
  <c r="BI7" i="23"/>
  <c r="S22" i="27"/>
  <c r="BT8" i="27" s="1"/>
  <c r="BI4" i="23"/>
  <c r="BI10" i="29"/>
  <c r="M22" i="26"/>
  <c r="BV6" i="26" s="1"/>
  <c r="BW6" i="26" s="1"/>
  <c r="BI14" i="32"/>
  <c r="BI7" i="24"/>
  <c r="P22" i="27"/>
  <c r="BT7" i="27" s="1"/>
  <c r="BI9" i="29"/>
  <c r="AK22" i="26"/>
  <c r="BV14" i="26" s="1"/>
  <c r="BI12" i="24"/>
  <c r="BI8" i="32"/>
  <c r="V22" i="26"/>
  <c r="BT9" i="26" s="1"/>
  <c r="BI12" i="28"/>
  <c r="BI13" i="27"/>
  <c r="BI6" i="21"/>
  <c r="BI5" i="27"/>
  <c r="BI8" i="23"/>
  <c r="BI8" i="36"/>
  <c r="BI7" i="29"/>
  <c r="V22" i="27"/>
  <c r="BT9" i="27" s="1"/>
  <c r="BI10" i="23"/>
  <c r="BI9" i="24"/>
  <c r="AB22" i="27"/>
  <c r="BV11" i="27" s="1"/>
  <c r="BI8" i="27"/>
  <c r="BI14" i="27"/>
  <c r="BI10" i="36"/>
  <c r="BI6" i="27"/>
  <c r="BI9" i="36"/>
  <c r="BI7" i="36"/>
  <c r="BI14" i="36"/>
  <c r="BI12" i="27"/>
  <c r="BI4" i="24"/>
  <c r="BI15" i="27"/>
  <c r="BI7" i="27"/>
  <c r="BI12" i="23"/>
  <c r="BI13" i="24"/>
  <c r="BI15" i="28"/>
  <c r="BI11" i="25"/>
  <c r="BI7" i="25"/>
  <c r="BI6" i="25"/>
  <c r="BI8" i="25"/>
  <c r="AK22" i="21"/>
  <c r="BV7" i="21" s="1"/>
  <c r="J22" i="21"/>
  <c r="BV5" i="21" s="1"/>
  <c r="BI7" i="28"/>
  <c r="BI13" i="25"/>
  <c r="P22" i="21"/>
  <c r="BT11" i="21" s="1"/>
  <c r="M22" i="21"/>
  <c r="M40" i="21" s="1"/>
  <c r="BI15" i="25"/>
  <c r="AE22" i="21"/>
  <c r="BV15" i="21" s="1"/>
  <c r="BI5" i="28"/>
  <c r="Y22" i="21"/>
  <c r="Y40" i="21" s="1"/>
  <c r="BI9" i="25"/>
  <c r="BI4" i="25"/>
  <c r="S22" i="21"/>
  <c r="BT12" i="21" s="1"/>
  <c r="AB22" i="21"/>
  <c r="BT14" i="21" s="1"/>
  <c r="BI14" i="28"/>
  <c r="BI5" i="36"/>
  <c r="BI5" i="25"/>
  <c r="BI8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15" i="28" s="1"/>
  <c r="V22" i="34"/>
  <c r="BT9" i="34" s="1"/>
  <c r="AE22" i="28"/>
  <c r="BT12" i="28" s="1"/>
  <c r="G22" i="34"/>
  <c r="G40" i="34" s="1"/>
  <c r="BI4" i="28"/>
  <c r="BB34" i="16"/>
  <c r="AK22" i="28"/>
  <c r="AK40" i="28" s="1"/>
  <c r="G22" i="28"/>
  <c r="BV4" i="28" s="1"/>
  <c r="M22" i="28"/>
  <c r="M40" i="28" s="1"/>
  <c r="P22" i="28"/>
  <c r="BV7" i="28" s="1"/>
  <c r="BW7" i="28" s="1"/>
  <c r="S22" i="28"/>
  <c r="BT8" i="28" s="1"/>
  <c r="J22" i="28"/>
  <c r="BV5" i="28" s="1"/>
  <c r="AB22" i="28"/>
  <c r="BV11" i="28" s="1"/>
  <c r="BI10" i="28"/>
  <c r="CN5" i="16"/>
  <c r="BR13" i="35"/>
  <c r="BS13" i="35" s="1"/>
  <c r="BR13" i="20"/>
  <c r="BS13" i="20" s="1"/>
  <c r="AF24" i="16"/>
  <c r="BR13" i="27"/>
  <c r="BS13" i="27" s="1"/>
  <c r="AF25" i="16"/>
  <c r="BR13" i="29"/>
  <c r="BS13" i="29" s="1"/>
  <c r="AF23" i="16"/>
  <c r="AW37" i="16" s="1"/>
  <c r="AX37" i="16" s="1"/>
  <c r="BR13" i="26"/>
  <c r="BS13" i="26" s="1"/>
  <c r="BR8" i="25"/>
  <c r="BS8" i="25" s="1"/>
  <c r="BR8" i="24"/>
  <c r="BS8" i="24" s="1"/>
  <c r="BR13" i="32"/>
  <c r="BS13" i="32" s="1"/>
  <c r="BR13" i="31"/>
  <c r="BS13" i="31" s="1"/>
  <c r="BR8" i="21"/>
  <c r="BS8" i="21" s="1"/>
  <c r="BR13" i="30"/>
  <c r="BS13" i="30" s="1"/>
  <c r="BR14" i="23"/>
  <c r="BS14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4" i="25"/>
  <c r="BS4" i="25" s="1"/>
  <c r="BR10" i="28"/>
  <c r="BS10" i="28" s="1"/>
  <c r="BR10" i="32"/>
  <c r="BS10" i="32" s="1"/>
  <c r="BR6" i="21"/>
  <c r="BS6" i="21" s="1"/>
  <c r="W23" i="16"/>
  <c r="AW33" i="16" s="1"/>
  <c r="AX33" i="16" s="1"/>
  <c r="BR10" i="34"/>
  <c r="BS10" i="34" s="1"/>
  <c r="BR7" i="23"/>
  <c r="BS7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10" i="26"/>
  <c r="BS10" i="26" s="1"/>
  <c r="BR4" i="24"/>
  <c r="BS4" i="24" s="1"/>
  <c r="BR10" i="27"/>
  <c r="BS10" i="27" s="1"/>
  <c r="BR10" i="36"/>
  <c r="BS10" i="36" s="1"/>
  <c r="W24" i="16"/>
  <c r="CB5" i="16"/>
  <c r="BR10" i="20"/>
  <c r="BS10" i="20" s="1"/>
  <c r="BR9" i="27"/>
  <c r="BS9" i="27" s="1"/>
  <c r="BR9" i="36"/>
  <c r="BS9" i="36" s="1"/>
  <c r="BR13" i="25"/>
  <c r="BS13" i="25" s="1"/>
  <c r="T23" i="16"/>
  <c r="AW42" i="16" s="1"/>
  <c r="AX42" i="16" s="1"/>
  <c r="T27" i="16"/>
  <c r="BR9" i="28"/>
  <c r="BS9" i="28" s="1"/>
  <c r="BR9" i="35"/>
  <c r="BS9" i="35" s="1"/>
  <c r="BR9" i="34"/>
  <c r="BS9" i="34" s="1"/>
  <c r="BR9" i="33"/>
  <c r="BS9" i="33" s="1"/>
  <c r="T25" i="16"/>
  <c r="BR13" i="24"/>
  <c r="BS13" i="24" s="1"/>
  <c r="BR12" i="23"/>
  <c r="BS12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9" i="26"/>
  <c r="BS9" i="26" s="1"/>
  <c r="BR13" i="21"/>
  <c r="BS13" i="21" s="1"/>
  <c r="CT5" i="16"/>
  <c r="BR15" i="27"/>
  <c r="BS15" i="27" s="1"/>
  <c r="AL23" i="16"/>
  <c r="AW36" i="16" s="1"/>
  <c r="AX36" i="16" s="1"/>
  <c r="BR7" i="25"/>
  <c r="BS7" i="25" s="1"/>
  <c r="AL24" i="16"/>
  <c r="AL22" i="16"/>
  <c r="CR42" i="16" s="1"/>
  <c r="BR4" i="23"/>
  <c r="BS4" i="23" s="1"/>
  <c r="AL27" i="16"/>
  <c r="BR15" i="26"/>
  <c r="BS15" i="26" s="1"/>
  <c r="BR15" i="35"/>
  <c r="BS15" i="35" s="1"/>
  <c r="BR7" i="24"/>
  <c r="BS7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8" i="26"/>
  <c r="BS8" i="26" s="1"/>
  <c r="Q23" i="16"/>
  <c r="AW41" i="16" s="1"/>
  <c r="AX41" i="16" s="1"/>
  <c r="BR8" i="29"/>
  <c r="BS8" i="29" s="1"/>
  <c r="BR8" i="31"/>
  <c r="BS8" i="31" s="1"/>
  <c r="BR12" i="21"/>
  <c r="BS12" i="21" s="1"/>
  <c r="BR8" i="27"/>
  <c r="BS8" i="27" s="1"/>
  <c r="BR12" i="24"/>
  <c r="BS12" i="24" s="1"/>
  <c r="BR8" i="30"/>
  <c r="BS8" i="30" s="1"/>
  <c r="BR8" i="32"/>
  <c r="BS8" i="32" s="1"/>
  <c r="BR12" i="25"/>
  <c r="BS12" i="25" s="1"/>
  <c r="BR8" i="28"/>
  <c r="BS8" i="28" s="1"/>
  <c r="BR11" i="23"/>
  <c r="BS11" i="23" s="1"/>
  <c r="Q27" i="16"/>
  <c r="Q22" i="16"/>
  <c r="BW42" i="16" s="1"/>
  <c r="CQ5" i="16"/>
  <c r="BR7" i="21"/>
  <c r="BS7" i="21" s="1"/>
  <c r="BR15" i="23"/>
  <c r="BS15" i="23" s="1"/>
  <c r="BR14" i="29"/>
  <c r="BS14" i="29" s="1"/>
  <c r="BR14" i="20"/>
  <c r="BS14" i="20" s="1"/>
  <c r="BR14" i="31"/>
  <c r="BS14" i="31" s="1"/>
  <c r="BR15" i="24"/>
  <c r="BS15" i="24" s="1"/>
  <c r="BR14" i="36"/>
  <c r="BS14" i="36" s="1"/>
  <c r="BR14" i="26"/>
  <c r="BS14" i="26" s="1"/>
  <c r="BR14" i="27"/>
  <c r="BS14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5" i="25"/>
  <c r="BS15" i="25" s="1"/>
  <c r="BS5" i="16"/>
  <c r="K27" i="16"/>
  <c r="BR6" i="30"/>
  <c r="BS6" i="30" s="1"/>
  <c r="BR6" i="26"/>
  <c r="BS6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6" i="27"/>
  <c r="BS6" i="27" s="1"/>
  <c r="BR6" i="29"/>
  <c r="BS6" i="29" s="1"/>
  <c r="K23" i="16"/>
  <c r="AW39" i="16" s="1"/>
  <c r="AX39" i="16" s="1"/>
  <c r="BR10" i="21"/>
  <c r="BS10" i="21" s="1"/>
  <c r="BR6" i="36"/>
  <c r="BS6" i="36" s="1"/>
  <c r="K25" i="16"/>
  <c r="BR10" i="24"/>
  <c r="BS10" i="24" s="1"/>
  <c r="BR6" i="31"/>
  <c r="BS6" i="31" s="1"/>
  <c r="BR10" i="25"/>
  <c r="BS10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1" i="25"/>
  <c r="BS11" i="25" s="1"/>
  <c r="BR7" i="27"/>
  <c r="BS7" i="27" s="1"/>
  <c r="BR7" i="28"/>
  <c r="BS7" i="28" s="1"/>
  <c r="N23" i="16"/>
  <c r="AW40" i="16" s="1"/>
  <c r="AX40" i="16" s="1"/>
  <c r="BR7" i="32"/>
  <c r="BS7" i="32" s="1"/>
  <c r="N27" i="16"/>
  <c r="BR7" i="31"/>
  <c r="BS7" i="31" s="1"/>
  <c r="BR11" i="24"/>
  <c r="BS11" i="24" s="1"/>
  <c r="BR7" i="30"/>
  <c r="BS7" i="30" s="1"/>
  <c r="BR7" i="26"/>
  <c r="BS7" i="26" s="1"/>
  <c r="BR7" i="33"/>
  <c r="BS7" i="33" s="1"/>
  <c r="BR11" i="21"/>
  <c r="BS11" i="21" s="1"/>
  <c r="N25" i="16"/>
  <c r="CH5" i="16"/>
  <c r="BR14" i="25"/>
  <c r="BS14" i="25" s="1"/>
  <c r="BR14" i="24"/>
  <c r="BS14" i="24" s="1"/>
  <c r="BR11" i="33"/>
  <c r="BS11" i="33" s="1"/>
  <c r="BR11" i="35"/>
  <c r="BS11" i="35" s="1"/>
  <c r="BR11" i="36"/>
  <c r="BS11" i="36" s="1"/>
  <c r="BR13" i="23"/>
  <c r="BS13" i="23" s="1"/>
  <c r="BR11" i="32"/>
  <c r="BS11" i="32" s="1"/>
  <c r="Z27" i="16"/>
  <c r="BR11" i="27"/>
  <c r="BS11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3" i="16" s="1"/>
  <c r="AX43" i="16" s="1"/>
  <c r="BR11" i="29"/>
  <c r="BS11" i="29" s="1"/>
  <c r="Z24" i="16"/>
  <c r="BR14" i="21"/>
  <c r="BS14" i="21" s="1"/>
  <c r="Z25" i="16"/>
  <c r="BR11" i="26"/>
  <c r="BS11" i="26" s="1"/>
  <c r="G58" i="20"/>
  <c r="AE58" i="20"/>
  <c r="BT11" i="27"/>
  <c r="BV9" i="26"/>
  <c r="BW9" i="26" s="1"/>
  <c r="BB44" i="16"/>
  <c r="BB36" i="16"/>
  <c r="BV6" i="1"/>
  <c r="BB35" i="16"/>
  <c r="BT6" i="1"/>
  <c r="BB33" i="16"/>
  <c r="BB38" i="16"/>
  <c r="BB43" i="16"/>
  <c r="AZ43" i="16"/>
  <c r="AZ44" i="16"/>
  <c r="BV11" i="20"/>
  <c r="BT11" i="20"/>
  <c r="Y40" i="20"/>
  <c r="AB40" i="1"/>
  <c r="BT13" i="1"/>
  <c r="BV13" i="1"/>
  <c r="AE40" i="1"/>
  <c r="BV14" i="1"/>
  <c r="BT14" i="1"/>
  <c r="AZ42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6" i="16"/>
  <c r="AZ39" i="16"/>
  <c r="AZ35" i="16"/>
  <c r="AZ37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41" i="16"/>
  <c r="BT4" i="1"/>
  <c r="BV4" i="1"/>
  <c r="BW4" i="1" s="1"/>
  <c r="J40" i="1"/>
  <c r="AZ33" i="16"/>
  <c r="AK40" i="20"/>
  <c r="BV14" i="20"/>
  <c r="BT14" i="20"/>
  <c r="BT12" i="20"/>
  <c r="BV12" i="20"/>
  <c r="AB40" i="20"/>
  <c r="BT8" i="1"/>
  <c r="BV8" i="1"/>
  <c r="BW8" i="1" s="1"/>
  <c r="M40" i="1"/>
  <c r="AZ34" i="16"/>
  <c r="BV12" i="1"/>
  <c r="Y40" i="1"/>
  <c r="BT12" i="1"/>
  <c r="AZ38" i="16"/>
  <c r="AZ40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T9" i="31"/>
  <c r="V40" i="31" l="1"/>
  <c r="BV14" i="23"/>
  <c r="AH40" i="23"/>
  <c r="BV9" i="35"/>
  <c r="BW9" i="35" s="1"/>
  <c r="BT9" i="35"/>
  <c r="BU9" i="35" s="1"/>
  <c r="BT14" i="33"/>
  <c r="BV14" i="33"/>
  <c r="BV12" i="30"/>
  <c r="V40" i="30"/>
  <c r="Y40" i="35"/>
  <c r="BV8" i="30"/>
  <c r="BW8" i="30" s="1"/>
  <c r="BV14" i="35"/>
  <c r="BV14" i="30"/>
  <c r="S40" i="35"/>
  <c r="S40" i="30"/>
  <c r="BT14" i="35"/>
  <c r="BT12" i="30"/>
  <c r="BT8" i="35"/>
  <c r="BU8" i="35" s="1"/>
  <c r="BP8" i="35" s="1"/>
  <c r="BV9" i="30"/>
  <c r="BW9" i="30" s="1"/>
  <c r="BV10" i="35"/>
  <c r="BW10" i="35" s="1"/>
  <c r="BV12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P6" i="35" s="1"/>
  <c r="BV15" i="35"/>
  <c r="Y40" i="30"/>
  <c r="BT10" i="30"/>
  <c r="BU10" i="30" s="1"/>
  <c r="AN40" i="35"/>
  <c r="AB40" i="35"/>
  <c r="BV13" i="35"/>
  <c r="BT11" i="30"/>
  <c r="BU11" i="30" s="1"/>
  <c r="BT12" i="35"/>
  <c r="BT5" i="31"/>
  <c r="BU5" i="31" s="1"/>
  <c r="BT5" i="35"/>
  <c r="BT15" i="30"/>
  <c r="BV5" i="30"/>
  <c r="BW5" i="30" s="1"/>
  <c r="BV6" i="30"/>
  <c r="BW6" i="30" s="1"/>
  <c r="AH40" i="30"/>
  <c r="BV15" i="30"/>
  <c r="BT4" i="30"/>
  <c r="BU4" i="30" s="1"/>
  <c r="BT13" i="30"/>
  <c r="BV9" i="21"/>
  <c r="BT6" i="30"/>
  <c r="BU6" i="30" s="1"/>
  <c r="J40" i="35"/>
  <c r="BV12" i="31"/>
  <c r="G40" i="30"/>
  <c r="Y40" i="32"/>
  <c r="BT8" i="25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15" i="27"/>
  <c r="BT4" i="29"/>
  <c r="BU4" i="29" s="1"/>
  <c r="BT12" i="27"/>
  <c r="BV14" i="32"/>
  <c r="BT11" i="25"/>
  <c r="BU11" i="25" s="1"/>
  <c r="BT10" i="31"/>
  <c r="BU10" i="31" s="1"/>
  <c r="BV4" i="36"/>
  <c r="BW4" i="36" s="1"/>
  <c r="BT13" i="31"/>
  <c r="BT10" i="33"/>
  <c r="BU10" i="33" s="1"/>
  <c r="BV8" i="29"/>
  <c r="BW8" i="29" s="1"/>
  <c r="BV13" i="31"/>
  <c r="BT7" i="24"/>
  <c r="BV11" i="33"/>
  <c r="BW11" i="33" s="1"/>
  <c r="BT7" i="32"/>
  <c r="BU7" i="32" s="1"/>
  <c r="BT15" i="32"/>
  <c r="J40" i="33"/>
  <c r="BT15" i="33"/>
  <c r="BT4" i="31"/>
  <c r="BU4" i="31" s="1"/>
  <c r="M40" i="31"/>
  <c r="AH40" i="33"/>
  <c r="AB40" i="33"/>
  <c r="V40" i="23"/>
  <c r="BT5" i="33"/>
  <c r="BU5" i="33" s="1"/>
  <c r="BV5" i="27"/>
  <c r="BW5" i="27" s="1"/>
  <c r="AN40" i="24"/>
  <c r="BT13" i="28"/>
  <c r="AH40" i="34"/>
  <c r="BV13" i="27"/>
  <c r="BT9" i="21"/>
  <c r="BU9" i="21" s="1"/>
  <c r="AN40" i="32"/>
  <c r="BV4" i="31"/>
  <c r="BW4" i="31" s="1"/>
  <c r="BT15" i="34"/>
  <c r="S40" i="29"/>
  <c r="Y40" i="33"/>
  <c r="BT12" i="31"/>
  <c r="BT6" i="31"/>
  <c r="BU6" i="31" s="1"/>
  <c r="BP6" i="31" s="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V8" i="23"/>
  <c r="V40" i="27"/>
  <c r="BT6" i="26"/>
  <c r="BU6" i="26" s="1"/>
  <c r="BP6" i="26" s="1"/>
  <c r="BT6" i="23"/>
  <c r="BU6" i="23" s="1"/>
  <c r="BV12" i="29"/>
  <c r="BV10" i="31"/>
  <c r="BW10" i="31" s="1"/>
  <c r="BT13" i="32"/>
  <c r="AH40" i="29"/>
  <c r="BV11" i="32"/>
  <c r="BW11" i="32" s="1"/>
  <c r="BV15" i="31"/>
  <c r="AB40" i="25"/>
  <c r="V40" i="32"/>
  <c r="AN40" i="31"/>
  <c r="S40" i="33"/>
  <c r="BT4" i="28"/>
  <c r="BV9" i="28"/>
  <c r="BW9" i="28" s="1"/>
  <c r="BT4" i="32"/>
  <c r="BU4" i="32" s="1"/>
  <c r="P40" i="31"/>
  <c r="BT14" i="32"/>
  <c r="BT12" i="26"/>
  <c r="BT10" i="26"/>
  <c r="BU10" i="26" s="1"/>
  <c r="BT9" i="32"/>
  <c r="BU9" i="32" s="1"/>
  <c r="BP9" i="32" s="1"/>
  <c r="BV4" i="32"/>
  <c r="BW4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9" i="29"/>
  <c r="BU9" i="29" s="1"/>
  <c r="AE40" i="32"/>
  <c r="BT10" i="36"/>
  <c r="BU10" i="36" s="1"/>
  <c r="BV12" i="33"/>
  <c r="AE40" i="33"/>
  <c r="BV11" i="25"/>
  <c r="BW11" i="25" s="1"/>
  <c r="BT6" i="33"/>
  <c r="V40" i="33"/>
  <c r="BV15" i="25"/>
  <c r="BT14" i="31"/>
  <c r="BV8" i="32"/>
  <c r="BW8" i="32" s="1"/>
  <c r="BV9" i="29"/>
  <c r="BW9" i="29" s="1"/>
  <c r="BV9" i="23"/>
  <c r="BW9" i="23" s="1"/>
  <c r="BV6" i="25"/>
  <c r="BW6" i="25" s="1"/>
  <c r="BV14" i="31"/>
  <c r="BT6" i="25"/>
  <c r="BT7" i="31"/>
  <c r="BU7" i="31" s="1"/>
  <c r="BP7" i="31" s="1"/>
  <c r="BT13" i="25"/>
  <c r="BU13" i="25" s="1"/>
  <c r="BP13" i="25" s="1"/>
  <c r="BV6" i="33"/>
  <c r="BW6" i="33" s="1"/>
  <c r="BV8" i="25"/>
  <c r="BT14" i="27"/>
  <c r="BT7" i="28"/>
  <c r="BU7" i="28" s="1"/>
  <c r="BP7" i="28" s="1"/>
  <c r="S40" i="31"/>
  <c r="BV9" i="36"/>
  <c r="BW9" i="36" s="1"/>
  <c r="BV9" i="24"/>
  <c r="BT10" i="32"/>
  <c r="BU10" i="32" s="1"/>
  <c r="BT9" i="23"/>
  <c r="BU9" i="23" s="1"/>
  <c r="BT12" i="32"/>
  <c r="BT4" i="21"/>
  <c r="BU4" i="21" s="1"/>
  <c r="BT11" i="28"/>
  <c r="BU11" i="28" s="1"/>
  <c r="G40" i="29"/>
  <c r="S40" i="32"/>
  <c r="BT13" i="24"/>
  <c r="BU13" i="24" s="1"/>
  <c r="BP13" i="24" s="1"/>
  <c r="BT9" i="33"/>
  <c r="BU9" i="33" s="1"/>
  <c r="BP9" i="33" s="1"/>
  <c r="AH40" i="36"/>
  <c r="J40" i="29"/>
  <c r="BT15" i="29"/>
  <c r="BV5" i="32"/>
  <c r="BW5" i="32" s="1"/>
  <c r="P40" i="36"/>
  <c r="Y40" i="27"/>
  <c r="P40" i="29"/>
  <c r="M40" i="29"/>
  <c r="BV12" i="25"/>
  <c r="BW12" i="25" s="1"/>
  <c r="BV10" i="25"/>
  <c r="BW10" i="25" s="1"/>
  <c r="BV13" i="32"/>
  <c r="V40" i="25"/>
  <c r="BV13" i="29"/>
  <c r="BT11" i="29"/>
  <c r="BU11" i="29" s="1"/>
  <c r="BV6" i="24"/>
  <c r="BW6" i="24" s="1"/>
  <c r="BV12" i="34"/>
  <c r="S40" i="21"/>
  <c r="AB40" i="34"/>
  <c r="BT8" i="21"/>
  <c r="BU8" i="21" s="1"/>
  <c r="BV6" i="27"/>
  <c r="BW6" i="27" s="1"/>
  <c r="AK40" i="25"/>
  <c r="AK40" i="21"/>
  <c r="BV10" i="27"/>
  <c r="BW10" i="27" s="1"/>
  <c r="BV11" i="29"/>
  <c r="BW11" i="29" s="1"/>
  <c r="Y40" i="25"/>
  <c r="BV14" i="27"/>
  <c r="BT12" i="34"/>
  <c r="G40" i="21"/>
  <c r="BV8" i="21"/>
  <c r="BV6" i="29"/>
  <c r="BW6" i="29" s="1"/>
  <c r="AN40" i="27"/>
  <c r="BV9" i="34"/>
  <c r="BW9" i="34" s="1"/>
  <c r="P40" i="28"/>
  <c r="BV6" i="36"/>
  <c r="BW6" i="36" s="1"/>
  <c r="BT13" i="36"/>
  <c r="BV5" i="26"/>
  <c r="BW5" i="26" s="1"/>
  <c r="BV5" i="29"/>
  <c r="BW5" i="29" s="1"/>
  <c r="BT5" i="32"/>
  <c r="BU5" i="32" s="1"/>
  <c r="M40" i="27"/>
  <c r="BV14" i="34"/>
  <c r="BT7" i="21"/>
  <c r="BV4" i="25"/>
  <c r="BW4" i="25" s="1"/>
  <c r="BV7" i="29"/>
  <c r="BW7" i="29" s="1"/>
  <c r="BV12" i="21"/>
  <c r="BW12" i="21" s="1"/>
  <c r="BV11" i="34"/>
  <c r="BW11" i="34" s="1"/>
  <c r="BT12" i="25"/>
  <c r="BU12" i="25" s="1"/>
  <c r="M40" i="25"/>
  <c r="V40" i="34"/>
  <c r="V40" i="24"/>
  <c r="M40" i="36"/>
  <c r="J40" i="26"/>
  <c r="AN40" i="29"/>
  <c r="AK40" i="34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V4" i="33"/>
  <c r="BW4" i="33" s="1"/>
  <c r="BT13" i="23"/>
  <c r="BU13" i="23" s="1"/>
  <c r="BT14" i="24"/>
  <c r="BU14" i="24" s="1"/>
  <c r="AB40" i="26"/>
  <c r="AN40" i="36"/>
  <c r="BT15" i="36"/>
  <c r="P40" i="33"/>
  <c r="Y40" i="36"/>
  <c r="BT8" i="26"/>
  <c r="BU8" i="26" s="1"/>
  <c r="BP8" i="26" s="1"/>
  <c r="BV6" i="34"/>
  <c r="BW6" i="34" s="1"/>
  <c r="BV13" i="26"/>
  <c r="AK40" i="23"/>
  <c r="BV11" i="23"/>
  <c r="BW11" i="23" s="1"/>
  <c r="BT14" i="26"/>
  <c r="BV5" i="23"/>
  <c r="BW5" i="23" s="1"/>
  <c r="BT11" i="23"/>
  <c r="BU11" i="23" s="1"/>
  <c r="BT7" i="36"/>
  <c r="BU7" i="36" s="1"/>
  <c r="BP7" i="36" s="1"/>
  <c r="BT5" i="23"/>
  <c r="BV15" i="28"/>
  <c r="AN40" i="25"/>
  <c r="BV15" i="23"/>
  <c r="BT6" i="28"/>
  <c r="BU6" i="28" s="1"/>
  <c r="AU37" i="16"/>
  <c r="BT9" i="25"/>
  <c r="AB40" i="28"/>
  <c r="Y40" i="23"/>
  <c r="BV12" i="24"/>
  <c r="BW12" i="24" s="1"/>
  <c r="BT6" i="32"/>
  <c r="BU6" i="32" s="1"/>
  <c r="BP6" i="32" s="1"/>
  <c r="BV14" i="25"/>
  <c r="BW14" i="25" s="1"/>
  <c r="BV8" i="28"/>
  <c r="BW8" i="28" s="1"/>
  <c r="BT7" i="26"/>
  <c r="BU7" i="26" s="1"/>
  <c r="BP7" i="26" s="1"/>
  <c r="BV14" i="36"/>
  <c r="BV8" i="33"/>
  <c r="BW8" i="33" s="1"/>
  <c r="BV5" i="36"/>
  <c r="BW5" i="36" s="1"/>
  <c r="BT4" i="24"/>
  <c r="BU4" i="24" s="1"/>
  <c r="G40" i="24"/>
  <c r="BV10" i="26"/>
  <c r="BW10" i="26" s="1"/>
  <c r="BV4" i="23"/>
  <c r="S40" i="36"/>
  <c r="BV14" i="24"/>
  <c r="BW14" i="24" s="1"/>
  <c r="BV11" i="26"/>
  <c r="BV5" i="34"/>
  <c r="BW5" i="34" s="1"/>
  <c r="BT10" i="21"/>
  <c r="BU10" i="21" s="1"/>
  <c r="P40" i="34"/>
  <c r="BT4" i="23"/>
  <c r="BV7" i="27"/>
  <c r="BW7" i="27" s="1"/>
  <c r="AK40" i="36"/>
  <c r="BV8" i="24"/>
  <c r="AB40" i="27"/>
  <c r="BT9" i="24"/>
  <c r="AH40" i="26"/>
  <c r="BV8" i="27"/>
  <c r="BW8" i="27" s="1"/>
  <c r="BT6" i="24"/>
  <c r="BU6" i="24" s="1"/>
  <c r="BV7" i="25"/>
  <c r="BV7" i="23"/>
  <c r="BW7" i="23" s="1"/>
  <c r="AE40" i="25"/>
  <c r="S40" i="26"/>
  <c r="BT4" i="26"/>
  <c r="BU4" i="26" s="1"/>
  <c r="BV10" i="28"/>
  <c r="BW10" i="28" s="1"/>
  <c r="G40" i="27"/>
  <c r="BV14" i="29"/>
  <c r="BT12" i="24"/>
  <c r="BU12" i="24" s="1"/>
  <c r="BT5" i="21"/>
  <c r="BU5" i="21" s="1"/>
  <c r="BT13" i="27"/>
  <c r="M40" i="26"/>
  <c r="BT4" i="34"/>
  <c r="J40" i="27"/>
  <c r="BT4" i="27"/>
  <c r="BU4" i="27" s="1"/>
  <c r="G40" i="25"/>
  <c r="BV6" i="23"/>
  <c r="BW6" i="23" s="1"/>
  <c r="P40" i="23"/>
  <c r="AE40" i="36"/>
  <c r="BT5" i="36"/>
  <c r="BT8" i="24"/>
  <c r="BT12" i="23"/>
  <c r="BU12" i="23" s="1"/>
  <c r="BP12" i="23" s="1"/>
  <c r="BT10" i="29"/>
  <c r="BU10" i="29" s="1"/>
  <c r="BT13" i="34"/>
  <c r="BT8" i="23"/>
  <c r="BV9" i="27"/>
  <c r="BW9" i="27" s="1"/>
  <c r="BT11" i="24"/>
  <c r="BU11" i="24" s="1"/>
  <c r="BP11" i="24" s="1"/>
  <c r="BT5" i="25"/>
  <c r="BV13" i="28"/>
  <c r="BV10" i="29"/>
  <c r="BW4" i="29" s="1"/>
  <c r="P40" i="24"/>
  <c r="P40" i="26"/>
  <c r="AB40" i="21"/>
  <c r="BV15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4" i="28"/>
  <c r="BV12" i="28"/>
  <c r="BT5" i="34"/>
  <c r="BU5" i="34" s="1"/>
  <c r="BV6" i="21"/>
  <c r="BW6" i="21" s="1"/>
  <c r="S40" i="28"/>
  <c r="BT7" i="34"/>
  <c r="BU7" i="34" s="1"/>
  <c r="BP7" i="34" s="1"/>
  <c r="M40" i="34"/>
  <c r="BV6" i="28"/>
  <c r="BW6" i="28" s="1"/>
  <c r="AE40" i="21"/>
  <c r="BT15" i="21"/>
  <c r="AU35" i="16"/>
  <c r="BV4" i="34"/>
  <c r="G40" i="28"/>
  <c r="AU42" i="16"/>
  <c r="BT5" i="28"/>
  <c r="BU5" i="28" s="1"/>
  <c r="Y40" i="34"/>
  <c r="BV15" i="34"/>
  <c r="BT9" i="28"/>
  <c r="BU9" i="28" s="1"/>
  <c r="S40" i="34"/>
  <c r="BT10" i="34"/>
  <c r="BU10" i="34" s="1"/>
  <c r="BT8" i="34"/>
  <c r="BU8" i="34" s="1"/>
  <c r="BP8" i="34" s="1"/>
  <c r="BW4" i="30"/>
  <c r="BT14" i="28"/>
  <c r="AE40" i="28"/>
  <c r="BW4" i="27"/>
  <c r="BW4" i="35"/>
  <c r="BW4" i="21"/>
  <c r="BW5" i="25"/>
  <c r="AU41" i="16"/>
  <c r="AU39" i="16"/>
  <c r="AU40" i="16"/>
  <c r="G49" i="20"/>
  <c r="B1" i="20" s="1"/>
  <c r="CK5" i="16"/>
  <c r="AC27" i="16"/>
  <c r="BR12" i="36"/>
  <c r="BS12" i="36" s="1"/>
  <c r="BR12" i="27"/>
  <c r="BS12" i="27" s="1"/>
  <c r="BR15" i="21"/>
  <c r="BS15" i="21" s="1"/>
  <c r="AC22" i="16"/>
  <c r="CI42" i="16" s="1"/>
  <c r="BR12" i="35"/>
  <c r="BS12" i="35" s="1"/>
  <c r="BR9" i="24"/>
  <c r="BS9" i="24" s="1"/>
  <c r="BR12" i="31"/>
  <c r="BS12" i="31" s="1"/>
  <c r="BR9" i="25"/>
  <c r="BS9" i="25" s="1"/>
  <c r="AC23" i="16"/>
  <c r="AW38" i="16" s="1"/>
  <c r="AX38" i="16" s="1"/>
  <c r="AU38" i="16" s="1"/>
  <c r="BR12" i="26"/>
  <c r="BS12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8" i="23"/>
  <c r="BS8" i="23" s="1"/>
  <c r="BM5" i="16"/>
  <c r="E22" i="16"/>
  <c r="BK42" i="16" s="1"/>
  <c r="BR4" i="30"/>
  <c r="BS4" i="30" s="1"/>
  <c r="BR5" i="23"/>
  <c r="BS5" i="23" s="1"/>
  <c r="BR4" i="35"/>
  <c r="BS4" i="35" s="1"/>
  <c r="BR4" i="34"/>
  <c r="BS4" i="34" s="1"/>
  <c r="BR4" i="29"/>
  <c r="BS4" i="29" s="1"/>
  <c r="E25" i="16"/>
  <c r="E27" i="16"/>
  <c r="BR4" i="27"/>
  <c r="BS4" i="27" s="1"/>
  <c r="BR5" i="24"/>
  <c r="BS5" i="24" s="1"/>
  <c r="BR4" i="36"/>
  <c r="BS4" i="36" s="1"/>
  <c r="BR4" i="33"/>
  <c r="BS4" i="33" s="1"/>
  <c r="E24" i="16"/>
  <c r="BR4" i="20"/>
  <c r="BS4" i="20" s="1"/>
  <c r="BR4" i="26"/>
  <c r="BS4" i="26" s="1"/>
  <c r="BR4" i="32"/>
  <c r="BS4" i="32" s="1"/>
  <c r="BR4" i="28"/>
  <c r="BS4" i="28" s="1"/>
  <c r="BR4" i="21"/>
  <c r="BS4" i="21" s="1"/>
  <c r="E23" i="16"/>
  <c r="AW34" i="16" s="1"/>
  <c r="AX34" i="16" s="1"/>
  <c r="AU34" i="16" s="1"/>
  <c r="BR4" i="31"/>
  <c r="BS4" i="31" s="1"/>
  <c r="BR5" i="25"/>
  <c r="BS5" i="25" s="1"/>
  <c r="BU9" i="26"/>
  <c r="BP9" i="26" s="1"/>
  <c r="BU6" i="34"/>
  <c r="AU44" i="16"/>
  <c r="AU36" i="16"/>
  <c r="BW7" i="21"/>
  <c r="BW6" i="1"/>
  <c r="BW14" i="20"/>
  <c r="BW15" i="20"/>
  <c r="BW5" i="1"/>
  <c r="BW5" i="35"/>
  <c r="BW5" i="28"/>
  <c r="BW5" i="33"/>
  <c r="BW5" i="21"/>
  <c r="BW5" i="20"/>
  <c r="BU10" i="27"/>
  <c r="BU4" i="25"/>
  <c r="AU33" i="16"/>
  <c r="BW12" i="1"/>
  <c r="BW4" i="24"/>
  <c r="BW10" i="36"/>
  <c r="BW10" i="33"/>
  <c r="BW10" i="30"/>
  <c r="BW10" i="34"/>
  <c r="BW10" i="32"/>
  <c r="BW11" i="20"/>
  <c r="BW14" i="1"/>
  <c r="BU11" i="36"/>
  <c r="BP11" i="36" s="1"/>
  <c r="AU43" i="16"/>
  <c r="BW6" i="20"/>
  <c r="BW12" i="20"/>
  <c r="BW11" i="28"/>
  <c r="BW13" i="1"/>
  <c r="BW11" i="30"/>
  <c r="BW11" i="27"/>
  <c r="BU10" i="28"/>
  <c r="BU8" i="1"/>
  <c r="BP8" i="1" s="1"/>
  <c r="BU8" i="20"/>
  <c r="BP8" i="20" s="1"/>
  <c r="BU12" i="20"/>
  <c r="BU11" i="1"/>
  <c r="BP11" i="1" s="1"/>
  <c r="BU8" i="28"/>
  <c r="BU11" i="35"/>
  <c r="BU5" i="30"/>
  <c r="BU7" i="1"/>
  <c r="BP7" i="1" s="1"/>
  <c r="BU4" i="20"/>
  <c r="BU11" i="26"/>
  <c r="BU6" i="36"/>
  <c r="BU5" i="29"/>
  <c r="BU11" i="20"/>
  <c r="BU4" i="33"/>
  <c r="BU5" i="1"/>
  <c r="BU6" i="29"/>
  <c r="BU9" i="1"/>
  <c r="BP9" i="1" s="1"/>
  <c r="BU14" i="1"/>
  <c r="BU8" i="27"/>
  <c r="BU11" i="33"/>
  <c r="BU14" i="25"/>
  <c r="BU12" i="1"/>
  <c r="BU10" i="35"/>
  <c r="BU12" i="21"/>
  <c r="BU8" i="30"/>
  <c r="BU6" i="20"/>
  <c r="BU11" i="34"/>
  <c r="BU8" i="29"/>
  <c r="BU10" i="25"/>
  <c r="BU9" i="34"/>
  <c r="AR40" i="1"/>
  <c r="AR41" i="1"/>
  <c r="BU14" i="21"/>
  <c r="BU5" i="20"/>
  <c r="BU5" i="26"/>
  <c r="BU6" i="27"/>
  <c r="BU9" i="36"/>
  <c r="BU7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7" i="29"/>
  <c r="BU9" i="27"/>
  <c r="BU14" i="20"/>
  <c r="BU7" i="20"/>
  <c r="BP7" i="20" s="1"/>
  <c r="BU8" i="33"/>
  <c r="BU5" i="27"/>
  <c r="BU11" i="27"/>
  <c r="BU9" i="31"/>
  <c r="BP9" i="31" s="1"/>
  <c r="BU11" i="21"/>
  <c r="BU11" i="32"/>
  <c r="BU9" i="30"/>
  <c r="BU9" i="20"/>
  <c r="BP9" i="20" s="1"/>
  <c r="AR41" i="20"/>
  <c r="AR40" i="20"/>
  <c r="BU13" i="1"/>
  <c r="BU8" i="24" l="1"/>
  <c r="BU13" i="29"/>
  <c r="BW14" i="28"/>
  <c r="BP9" i="35"/>
  <c r="BU12" i="33"/>
  <c r="BU12" i="31"/>
  <c r="BU12" i="27"/>
  <c r="BU12" i="30"/>
  <c r="BU12" i="35"/>
  <c r="BU12" i="32"/>
  <c r="BU15" i="36"/>
  <c r="BU15" i="27"/>
  <c r="BW12" i="35"/>
  <c r="BU15" i="26"/>
  <c r="BU7" i="25"/>
  <c r="BU4" i="23"/>
  <c r="BU15" i="34"/>
  <c r="BU7" i="24"/>
  <c r="BU15" i="30"/>
  <c r="BU15" i="33"/>
  <c r="BW12" i="30"/>
  <c r="BU15" i="29"/>
  <c r="BU15" i="32"/>
  <c r="BU15" i="28"/>
  <c r="BU15" i="31"/>
  <c r="BU15" i="35"/>
  <c r="BU8" i="25"/>
  <c r="BW14" i="35"/>
  <c r="BU14" i="23"/>
  <c r="BW14" i="29"/>
  <c r="BW15" i="23"/>
  <c r="BW14" i="34"/>
  <c r="BU13" i="32"/>
  <c r="BU13" i="31"/>
  <c r="BW14" i="32"/>
  <c r="BU13" i="34"/>
  <c r="BU13" i="26"/>
  <c r="BU13" i="27"/>
  <c r="BW14" i="36"/>
  <c r="BU13" i="36"/>
  <c r="BW15" i="25"/>
  <c r="BW15" i="24"/>
  <c r="BU13" i="33"/>
  <c r="BU13" i="35"/>
  <c r="BW14" i="26"/>
  <c r="BW14" i="33"/>
  <c r="BW14" i="27"/>
  <c r="BU13" i="28"/>
  <c r="BU13" i="30"/>
  <c r="BW14" i="30"/>
  <c r="BP8" i="30"/>
  <c r="BP7" i="35"/>
  <c r="BP9" i="30"/>
  <c r="BW15" i="35"/>
  <c r="BU14" i="35"/>
  <c r="BU5" i="35"/>
  <c r="BP5" i="35" s="1"/>
  <c r="BW13" i="35"/>
  <c r="AR40" i="35"/>
  <c r="AR41" i="35"/>
  <c r="AE2" i="35" s="1"/>
  <c r="BP7" i="30"/>
  <c r="BP6" i="30"/>
  <c r="AR41" i="30"/>
  <c r="BU14" i="30"/>
  <c r="BW13" i="30"/>
  <c r="AR40" i="30"/>
  <c r="M2" i="30" s="1"/>
  <c r="BW15" i="30"/>
  <c r="BP7" i="32"/>
  <c r="BP8" i="29"/>
  <c r="BP8" i="27"/>
  <c r="BP11" i="25"/>
  <c r="BP12" i="21"/>
  <c r="BP9" i="28"/>
  <c r="BU14" i="27"/>
  <c r="BW13" i="31"/>
  <c r="BP13" i="31" s="1"/>
  <c r="BP9" i="23"/>
  <c r="BW12" i="31"/>
  <c r="BP11" i="21"/>
  <c r="BP7" i="29"/>
  <c r="BU14" i="31"/>
  <c r="BW15" i="31"/>
  <c r="BP6" i="27"/>
  <c r="BP9" i="34"/>
  <c r="BW12" i="32"/>
  <c r="BP8" i="32"/>
  <c r="BW15" i="26"/>
  <c r="BP11" i="29"/>
  <c r="AR40" i="32"/>
  <c r="AR40" i="31"/>
  <c r="BW12" i="26"/>
  <c r="BU14" i="34"/>
  <c r="AR40" i="24"/>
  <c r="BW9" i="21"/>
  <c r="BP9" i="21" s="1"/>
  <c r="AR40" i="29"/>
  <c r="BU14" i="33"/>
  <c r="BP14" i="33" s="1"/>
  <c r="BU14" i="32"/>
  <c r="BP14" i="32" s="1"/>
  <c r="BW15" i="34"/>
  <c r="BW9" i="24"/>
  <c r="BW15" i="21"/>
  <c r="BW15" i="32"/>
  <c r="BW14" i="31"/>
  <c r="BU6" i="33"/>
  <c r="BP6" i="33" s="1"/>
  <c r="BW13" i="32"/>
  <c r="BW12" i="34"/>
  <c r="BW15" i="36"/>
  <c r="BW7" i="24"/>
  <c r="BW12" i="28"/>
  <c r="AR41" i="33"/>
  <c r="BP12" i="25"/>
  <c r="AR41" i="29"/>
  <c r="AE2" i="29" s="1"/>
  <c r="BU15" i="25"/>
  <c r="BW15" i="33"/>
  <c r="AR40" i="33"/>
  <c r="BU15" i="23"/>
  <c r="BW12" i="33"/>
  <c r="BW7" i="25"/>
  <c r="BU14" i="26"/>
  <c r="BU7" i="21"/>
  <c r="BP7" i="21" s="1"/>
  <c r="AR41" i="32"/>
  <c r="BU14" i="36"/>
  <c r="BP14" i="36" s="1"/>
  <c r="BW12" i="27"/>
  <c r="BW4" i="23"/>
  <c r="BU14" i="29"/>
  <c r="BP14" i="29" s="1"/>
  <c r="BP6" i="36"/>
  <c r="BW12" i="29"/>
  <c r="BW12" i="36"/>
  <c r="BW8" i="23"/>
  <c r="BW15" i="27"/>
  <c r="BW15" i="28"/>
  <c r="BW15" i="29"/>
  <c r="BU15" i="24"/>
  <c r="BP15" i="24" s="1"/>
  <c r="BP9" i="36"/>
  <c r="BP10" i="25"/>
  <c r="BP9" i="29"/>
  <c r="BP6" i="29"/>
  <c r="BU6" i="25"/>
  <c r="BP6" i="25" s="1"/>
  <c r="BW9" i="25"/>
  <c r="BU14" i="28"/>
  <c r="BU4" i="34"/>
  <c r="BU4" i="28"/>
  <c r="AR41" i="31"/>
  <c r="AN2" i="31" s="1"/>
  <c r="BU9" i="25"/>
  <c r="BU5" i="23"/>
  <c r="BP5" i="23" s="1"/>
  <c r="BU4" i="36"/>
  <c r="BP4" i="36" s="1"/>
  <c r="BU12" i="36"/>
  <c r="AR40" i="25"/>
  <c r="BW13" i="33"/>
  <c r="BP6" i="34"/>
  <c r="AR41" i="24"/>
  <c r="AR40" i="23"/>
  <c r="BU5" i="25"/>
  <c r="BP5" i="25" s="1"/>
  <c r="BU5" i="36"/>
  <c r="BP5" i="36" s="1"/>
  <c r="BP11" i="23"/>
  <c r="BP8" i="33"/>
  <c r="BU12" i="26"/>
  <c r="BP12" i="24"/>
  <c r="AR41" i="23"/>
  <c r="BW8" i="24"/>
  <c r="BP8" i="24" s="1"/>
  <c r="AR41" i="27"/>
  <c r="AR41" i="25"/>
  <c r="BW13" i="34"/>
  <c r="BP13" i="34" s="1"/>
  <c r="AR40" i="36"/>
  <c r="G2" i="36" s="1"/>
  <c r="BW14" i="23"/>
  <c r="BW13" i="26"/>
  <c r="BW13" i="36"/>
  <c r="BP13" i="36" s="1"/>
  <c r="AR41" i="26"/>
  <c r="AR41" i="28"/>
  <c r="BW8" i="25"/>
  <c r="BP7" i="27"/>
  <c r="BP8" i="28"/>
  <c r="BU12" i="29"/>
  <c r="AR40" i="34"/>
  <c r="BU8" i="23"/>
  <c r="BP6" i="28"/>
  <c r="BP10" i="21"/>
  <c r="BU9" i="24"/>
  <c r="BW11" i="26"/>
  <c r="BP11" i="26" s="1"/>
  <c r="BU15" i="21"/>
  <c r="BW13" i="27"/>
  <c r="BP13" i="27" s="1"/>
  <c r="BW13" i="29"/>
  <c r="BP13" i="29" s="1"/>
  <c r="AR41" i="36"/>
  <c r="BW4" i="34"/>
  <c r="BW13" i="28"/>
  <c r="AR40" i="27"/>
  <c r="AR40" i="28"/>
  <c r="BW8" i="21"/>
  <c r="BP8" i="21" s="1"/>
  <c r="BW4" i="26"/>
  <c r="BP4" i="26" s="1"/>
  <c r="AR40" i="21"/>
  <c r="AK2" i="21" s="1"/>
  <c r="BP9" i="27"/>
  <c r="BW10" i="29"/>
  <c r="BP10" i="29" s="1"/>
  <c r="AR40" i="26"/>
  <c r="AR41" i="21"/>
  <c r="AH2" i="21" s="1"/>
  <c r="AR41" i="34"/>
  <c r="G2" i="34" s="1"/>
  <c r="BU12" i="34"/>
  <c r="BW4" i="28"/>
  <c r="BT5" i="16"/>
  <c r="N26" i="16" s="1"/>
  <c r="BU12" i="28"/>
  <c r="G2" i="23"/>
  <c r="BP4" i="20"/>
  <c r="BP4" i="27"/>
  <c r="BP5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5" i="26"/>
  <c r="BP10" i="28"/>
  <c r="BP5" i="32"/>
  <c r="BP5" i="21"/>
  <c r="BP10" i="30"/>
  <c r="BP14" i="1"/>
  <c r="BP5" i="29"/>
  <c r="BP6" i="23"/>
  <c r="BP7" i="23"/>
  <c r="BP5" i="33"/>
  <c r="BP5" i="30"/>
  <c r="BP5" i="34"/>
  <c r="BP5" i="31"/>
  <c r="BP11" i="20"/>
  <c r="BP13" i="23"/>
  <c r="BP10" i="32"/>
  <c r="BP6" i="20"/>
  <c r="BP5" i="28"/>
  <c r="Y2" i="23"/>
  <c r="BP14" i="25"/>
  <c r="BP6" i="24"/>
  <c r="J2" i="23"/>
  <c r="BP11" i="32"/>
  <c r="BP5" i="27"/>
  <c r="BP5" i="20"/>
  <c r="BP11" i="27"/>
  <c r="BP14" i="21"/>
  <c r="BP10" i="27"/>
  <c r="BP4" i="25"/>
  <c r="BP10" i="34"/>
  <c r="BP11" i="31"/>
  <c r="BP11" i="34"/>
  <c r="BP12" i="20"/>
  <c r="BP4" i="24"/>
  <c r="BP10" i="35"/>
  <c r="BP12" i="1"/>
  <c r="BP10" i="26"/>
  <c r="BP13" i="1"/>
  <c r="BP10" i="36"/>
  <c r="AB2" i="23"/>
  <c r="BP10" i="31"/>
  <c r="BP10" i="33"/>
  <c r="BP14" i="24"/>
  <c r="BP11" i="28"/>
  <c r="BP11" i="30"/>
  <c r="BP11" i="33"/>
  <c r="BP11" i="35"/>
  <c r="AB2" i="30"/>
  <c r="Y2" i="30"/>
  <c r="J2" i="30"/>
  <c r="S2" i="28"/>
  <c r="J2" i="28"/>
  <c r="AB2" i="28"/>
  <c r="G2" i="28"/>
  <c r="Y2" i="28"/>
  <c r="P2" i="28"/>
  <c r="M2" i="28"/>
  <c r="V2" i="28"/>
  <c r="P2" i="27"/>
  <c r="AB2" i="27"/>
  <c r="Y2" i="27"/>
  <c r="V2" i="27"/>
  <c r="G2" i="27"/>
  <c r="J2" i="27"/>
  <c r="S2" i="27"/>
  <c r="M2" i="27"/>
  <c r="S2" i="32"/>
  <c r="P2" i="32"/>
  <c r="G2" i="32"/>
  <c r="V2" i="32"/>
  <c r="Y2" i="32"/>
  <c r="M2" i="32"/>
  <c r="AB2" i="32"/>
  <c r="J2" i="32"/>
  <c r="V2" i="33"/>
  <c r="AB2" i="33"/>
  <c r="J2" i="33"/>
  <c r="M2" i="33"/>
  <c r="G2" i="33"/>
  <c r="P2" i="33"/>
  <c r="S2" i="33"/>
  <c r="Y2" i="33"/>
  <c r="AB2" i="34"/>
  <c r="V2" i="34"/>
  <c r="Y2" i="34"/>
  <c r="S2" i="34"/>
  <c r="M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Y2" i="36"/>
  <c r="S2" i="36"/>
  <c r="J2" i="36"/>
  <c r="M2" i="36"/>
  <c r="P2" i="36"/>
  <c r="V2" i="26"/>
  <c r="Y2" i="26"/>
  <c r="AB2" i="26"/>
  <c r="S2" i="26"/>
  <c r="P2" i="26"/>
  <c r="M2" i="26"/>
  <c r="J2" i="26"/>
  <c r="Y2" i="35"/>
  <c r="P2" i="35"/>
  <c r="V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M2" i="29"/>
  <c r="AB2" i="29"/>
  <c r="V2" i="29"/>
  <c r="S2" i="29"/>
  <c r="Y2" i="29"/>
  <c r="J2" i="29"/>
  <c r="P2" i="29"/>
  <c r="G2" i="25"/>
  <c r="P2" i="25"/>
  <c r="M2" i="25"/>
  <c r="S2" i="25"/>
  <c r="AB2" i="25"/>
  <c r="J2" i="25"/>
  <c r="Y2" i="25"/>
  <c r="V2" i="25"/>
  <c r="S2" i="31"/>
  <c r="Y2" i="31"/>
  <c r="P2" i="31"/>
  <c r="J2" i="31"/>
  <c r="V2" i="31"/>
  <c r="G2" i="31"/>
  <c r="M2" i="31"/>
  <c r="AB2" i="31"/>
  <c r="I2" i="16"/>
  <c r="F2" i="16"/>
  <c r="R2" i="16"/>
  <c r="O2" i="16"/>
  <c r="L2" i="16"/>
  <c r="U2" i="16"/>
  <c r="X2" i="16"/>
  <c r="AA2" i="16"/>
  <c r="BP8" i="25" l="1"/>
  <c r="BP14" i="28"/>
  <c r="BP15" i="32"/>
  <c r="BP7" i="25"/>
  <c r="BP12" i="27"/>
  <c r="BP12" i="33"/>
  <c r="BP12" i="31"/>
  <c r="BP12" i="32"/>
  <c r="BP12" i="30"/>
  <c r="BP12" i="35"/>
  <c r="BP15" i="36"/>
  <c r="BP15" i="27"/>
  <c r="BP14" i="23"/>
  <c r="BP15" i="34"/>
  <c r="AN2" i="30"/>
  <c r="BP15" i="26"/>
  <c r="AN2" i="24"/>
  <c r="BP15" i="28"/>
  <c r="BP15" i="33"/>
  <c r="AN2" i="28"/>
  <c r="AN2" i="27"/>
  <c r="AN2" i="32"/>
  <c r="BP15" i="30"/>
  <c r="BP4" i="23"/>
  <c r="BP15" i="23"/>
  <c r="BP15" i="29"/>
  <c r="BP7" i="24"/>
  <c r="AE2" i="32"/>
  <c r="AE2" i="30"/>
  <c r="AN2" i="23"/>
  <c r="BP15" i="31"/>
  <c r="BP15" i="35"/>
  <c r="AN2" i="33"/>
  <c r="AN2" i="35"/>
  <c r="BP14" i="35"/>
  <c r="AH2" i="26"/>
  <c r="AK2" i="33"/>
  <c r="BP13" i="28"/>
  <c r="BP13" i="33"/>
  <c r="BP14" i="34"/>
  <c r="AK2" i="35"/>
  <c r="AK2" i="23"/>
  <c r="AK2" i="25"/>
  <c r="BP14" i="27"/>
  <c r="BP13" i="35"/>
  <c r="AK2" i="29"/>
  <c r="AK2" i="28"/>
  <c r="AH2" i="36"/>
  <c r="BP14" i="26"/>
  <c r="AK2" i="31"/>
  <c r="BP13" i="30"/>
  <c r="AK2" i="34"/>
  <c r="BP13" i="26"/>
  <c r="AH2" i="25"/>
  <c r="AK2" i="24"/>
  <c r="AK2" i="32"/>
  <c r="BP14" i="30"/>
  <c r="AK2" i="26"/>
  <c r="BP15" i="25"/>
  <c r="BP13" i="32"/>
  <c r="BN5" i="32" s="1"/>
  <c r="BP15" i="21"/>
  <c r="BN8" i="21" s="1"/>
  <c r="AH2" i="35"/>
  <c r="AH2" i="30"/>
  <c r="AK2" i="30"/>
  <c r="BP12" i="26"/>
  <c r="AH2" i="31"/>
  <c r="AN2" i="29"/>
  <c r="AH2" i="32"/>
  <c r="BP14" i="31"/>
  <c r="AN2" i="36"/>
  <c r="AE2" i="36"/>
  <c r="BP12" i="28"/>
  <c r="AH2" i="28"/>
  <c r="AH2" i="24"/>
  <c r="AE2" i="27"/>
  <c r="BP12" i="34"/>
  <c r="BP8" i="23"/>
  <c r="AH2" i="33"/>
  <c r="AE2" i="33"/>
  <c r="AK2" i="36"/>
  <c r="AH2" i="27"/>
  <c r="BP9" i="24"/>
  <c r="BP12" i="36"/>
  <c r="BN12" i="36" s="1"/>
  <c r="AH2" i="29"/>
  <c r="AN2" i="26"/>
  <c r="AK2" i="27"/>
  <c r="AE2" i="28"/>
  <c r="AE2" i="26"/>
  <c r="AE2" i="31"/>
  <c r="AE2" i="24"/>
  <c r="AH2" i="23"/>
  <c r="BP12" i="29"/>
  <c r="AN2" i="34"/>
  <c r="AE2" i="34"/>
  <c r="AE2" i="23"/>
  <c r="BP9" i="25"/>
  <c r="AN2" i="21"/>
  <c r="BP4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M2" i="16"/>
  <c r="AD2" i="16"/>
  <c r="AJ2" i="16"/>
  <c r="AG2" i="16"/>
  <c r="BN12" i="27" l="1"/>
  <c r="BN12" i="33"/>
  <c r="BN13" i="27"/>
  <c r="BN5" i="23"/>
  <c r="BN15" i="27"/>
  <c r="BN11" i="27"/>
  <c r="BN5" i="27"/>
  <c r="BN6" i="26"/>
  <c r="BN14" i="27"/>
  <c r="BN8" i="27"/>
  <c r="BN7" i="27"/>
  <c r="BN10" i="33"/>
  <c r="BN8" i="33"/>
  <c r="BN10" i="27"/>
  <c r="BN6" i="27"/>
  <c r="BN4" i="27"/>
  <c r="BN9" i="27"/>
  <c r="BN14" i="32"/>
  <c r="BN8" i="32"/>
  <c r="BN13" i="32"/>
  <c r="BN15" i="32"/>
  <c r="BN11" i="29"/>
  <c r="BN15" i="33"/>
  <c r="BN9" i="33"/>
  <c r="BN15" i="24"/>
  <c r="BN5" i="31"/>
  <c r="BN14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3" i="30"/>
  <c r="BN14" i="33"/>
  <c r="BN4" i="33"/>
  <c r="BN11" i="33"/>
  <c r="BN7" i="33"/>
  <c r="BN6" i="33"/>
  <c r="BN13" i="33"/>
  <c r="BN5" i="30"/>
  <c r="BN10" i="25"/>
  <c r="BN14" i="35"/>
  <c r="BN15" i="35"/>
  <c r="BN12" i="35"/>
  <c r="BN11" i="35"/>
  <c r="BN10" i="30"/>
  <c r="BN7" i="35"/>
  <c r="BN6" i="35"/>
  <c r="BN7" i="30"/>
  <c r="BN9" i="30"/>
  <c r="BN11" i="30"/>
  <c r="BN4" i="30"/>
  <c r="BN15" i="30"/>
  <c r="BN6" i="30"/>
  <c r="BN8" i="30"/>
  <c r="BN12" i="30"/>
  <c r="BN7" i="21"/>
  <c r="BN10" i="21"/>
  <c r="BN5" i="21"/>
  <c r="BN11" i="21"/>
  <c r="BN4" i="21"/>
  <c r="BN12" i="21"/>
  <c r="BN14" i="21"/>
  <c r="BN13" i="21"/>
  <c r="BN15" i="21"/>
  <c r="BN6" i="21"/>
  <c r="BN9" i="21"/>
  <c r="BN7" i="26"/>
  <c r="BN9" i="26"/>
  <c r="BN8" i="26"/>
  <c r="BN14" i="26"/>
  <c r="BN10" i="26"/>
  <c r="BN4" i="26"/>
  <c r="BN13" i="26"/>
  <c r="BN12" i="26"/>
  <c r="BN15" i="26"/>
  <c r="BN11" i="26"/>
  <c r="BN5" i="26"/>
  <c r="BN10" i="24"/>
  <c r="BN12" i="24"/>
  <c r="BN4" i="24"/>
  <c r="BN6" i="24"/>
  <c r="BN11" i="31"/>
  <c r="BN15" i="31"/>
  <c r="BN13" i="31"/>
  <c r="BN8" i="34"/>
  <c r="BN7" i="31"/>
  <c r="BN10" i="31"/>
  <c r="BN4" i="31"/>
  <c r="BN8" i="31"/>
  <c r="BN14" i="34"/>
  <c r="BN13" i="28"/>
  <c r="BN14" i="31"/>
  <c r="BN9" i="31"/>
  <c r="BN6" i="31"/>
  <c r="BN11" i="36"/>
  <c r="BN12" i="31"/>
  <c r="BN13" i="24"/>
  <c r="BN8" i="24"/>
  <c r="BN14" i="24"/>
  <c r="BN7" i="24"/>
  <c r="BN5" i="24"/>
  <c r="BN11" i="23"/>
  <c r="BN15" i="34"/>
  <c r="BN11" i="28"/>
  <c r="BN5" i="28"/>
  <c r="BN6" i="28"/>
  <c r="BN7" i="34"/>
  <c r="BN11" i="34"/>
  <c r="BN11" i="24"/>
  <c r="BN12" i="34"/>
  <c r="BN9" i="23"/>
  <c r="BN7" i="23"/>
  <c r="BN6" i="23"/>
  <c r="BN8" i="23"/>
  <c r="BN13" i="23"/>
  <c r="BN9" i="24"/>
  <c r="BN13" i="34"/>
  <c r="BN6" i="29"/>
  <c r="BN14" i="23"/>
  <c r="BN10" i="23"/>
  <c r="BN12" i="23"/>
  <c r="BN4" i="23"/>
  <c r="BN15" i="23"/>
  <c r="BN4" i="36"/>
  <c r="BN12" i="28"/>
  <c r="BN9" i="28"/>
  <c r="BN10" i="34"/>
  <c r="BN4" i="34"/>
  <c r="BN6" i="34"/>
  <c r="BN4" i="28"/>
  <c r="BN8" i="28"/>
  <c r="BN6" i="36"/>
  <c r="BN14" i="36"/>
  <c r="BN15" i="28"/>
  <c r="BN7" i="28"/>
  <c r="BN10" i="28"/>
  <c r="BN9" i="34"/>
  <c r="BN5" i="34"/>
  <c r="BN14" i="28"/>
  <c r="BN8" i="36"/>
  <c r="BN9" i="36"/>
  <c r="BN5" i="36"/>
  <c r="BN15" i="36"/>
  <c r="BN13" i="36"/>
  <c r="BN7" i="36"/>
  <c r="BN10" i="36"/>
  <c r="BN5" i="25"/>
  <c r="BN13" i="29"/>
  <c r="BN4" i="25"/>
  <c r="BN11" i="25"/>
  <c r="BN9" i="29"/>
  <c r="BN15" i="29"/>
  <c r="BN15" i="25"/>
  <c r="BN8" i="29"/>
  <c r="BN14" i="25"/>
  <c r="BN9" i="25"/>
  <c r="BN5" i="29"/>
  <c r="BN8" i="25"/>
  <c r="BN13" i="25"/>
  <c r="BN6" i="25"/>
  <c r="BN14" i="29"/>
  <c r="BN4" i="29"/>
  <c r="BN12" i="29"/>
  <c r="BN7" i="25"/>
  <c r="BN7" i="29"/>
  <c r="BN12" i="25"/>
  <c r="BN10" i="29"/>
</calcChain>
</file>

<file path=xl/sharedStrings.xml><?xml version="1.0" encoding="utf-8"?>
<sst xmlns="http://schemas.openxmlformats.org/spreadsheetml/2006/main" count="4548" uniqueCount="749">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</sst>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1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2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3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4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5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1" t="s">
        <v>45</v>
      </c>
      <c r="G9" s="372">
        <v>4</v>
      </c>
      <c r="H9" s="373" t="str">
        <f t="shared" si="23"/>
        <v/>
      </c>
      <c r="I9" s="374" t="s">
        <v>45</v>
      </c>
      <c r="J9" s="372">
        <v>9</v>
      </c>
      <c r="K9" s="373" t="str">
        <f t="shared" si="0"/>
        <v/>
      </c>
      <c r="L9" s="374" t="s">
        <v>45</v>
      </c>
      <c r="M9" s="372">
        <v>5</v>
      </c>
      <c r="N9" s="373" t="str">
        <f t="shared" si="1"/>
        <v/>
      </c>
      <c r="O9" s="374" t="s">
        <v>45</v>
      </c>
      <c r="P9" s="372">
        <v>8</v>
      </c>
      <c r="Q9" s="373" t="str">
        <f t="shared" si="2"/>
        <v/>
      </c>
      <c r="R9" s="374" t="s">
        <v>45</v>
      </c>
      <c r="S9" s="372">
        <v>16</v>
      </c>
      <c r="T9" s="373" t="str">
        <f t="shared" si="3"/>
        <v/>
      </c>
      <c r="U9" s="374" t="s">
        <v>45</v>
      </c>
      <c r="V9" s="372">
        <v>13</v>
      </c>
      <c r="W9" s="373" t="str">
        <f t="shared" si="4"/>
        <v/>
      </c>
      <c r="X9" s="374" t="s">
        <v>45</v>
      </c>
      <c r="Y9" s="372">
        <v>9</v>
      </c>
      <c r="Z9" s="373" t="str">
        <f t="shared" si="5"/>
        <v/>
      </c>
      <c r="AA9" s="374" t="s">
        <v>45</v>
      </c>
      <c r="AB9" s="372">
        <v>9</v>
      </c>
      <c r="AC9" s="373" t="str">
        <f t="shared" si="6"/>
        <v/>
      </c>
      <c r="AD9" s="374" t="s">
        <v>44</v>
      </c>
      <c r="AE9" s="372">
        <v>4</v>
      </c>
      <c r="AF9" s="373">
        <f t="shared" si="7"/>
        <v>-4</v>
      </c>
      <c r="AG9" s="374" t="s">
        <v>45</v>
      </c>
      <c r="AH9" s="372">
        <v>9</v>
      </c>
      <c r="AI9" s="373" t="str">
        <f t="shared" si="8"/>
        <v/>
      </c>
      <c r="AJ9" s="374" t="s">
        <v>44</v>
      </c>
      <c r="AK9" s="372">
        <v>16</v>
      </c>
      <c r="AL9" s="373">
        <f t="shared" si="9"/>
        <v>-16</v>
      </c>
      <c r="AM9" s="374" t="s">
        <v>45</v>
      </c>
      <c r="AN9" s="372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6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133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202"/>
      <c r="F5" s="238" t="s">
        <v>44</v>
      </c>
      <c r="G5" s="209">
        <v>13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 t="str">
        <f>IF(M5&gt;0,IF(ISTEXT($E5),IF($E5&lt;&gt;L5,M5-2*M5,""),""),"")</f>
        <v/>
      </c>
      <c r="O5" s="241" t="s">
        <v>44</v>
      </c>
      <c r="P5" s="209">
        <v>14</v>
      </c>
      <c r="Q5" s="205" t="str">
        <f>IF(P5&gt;0,IF(ISTEXT($E5),IF($E5&lt;&gt;O5,P5-2*P5,""),""),"")</f>
        <v/>
      </c>
      <c r="R5" s="241" t="s">
        <v>44</v>
      </c>
      <c r="S5" s="209">
        <v>15</v>
      </c>
      <c r="T5" s="205" t="str">
        <f>IF(S5&gt;0,IF(ISTEXT($E5),IF($E5&lt;&gt;R5,S5-2*S5,""),""),"")</f>
        <v/>
      </c>
      <c r="U5" s="241" t="s">
        <v>44</v>
      </c>
      <c r="V5" s="209">
        <v>9</v>
      </c>
      <c r="W5" s="205" t="str">
        <f>IF(V5&gt;0,IF(ISTEXT($E5),IF($E5&lt;&gt;U5,V5-2*V5,""),""),"")</f>
        <v/>
      </c>
      <c r="X5" s="241" t="s">
        <v>44</v>
      </c>
      <c r="Y5" s="209">
        <v>16</v>
      </c>
      <c r="Z5" s="205" t="str">
        <f>IF(Y5&gt;0,IF(ISTEXT($E5),IF($E5&lt;&gt;X5,Y5-2*Y5,""),""),"")</f>
        <v/>
      </c>
      <c r="AA5" s="241" t="s">
        <v>44</v>
      </c>
      <c r="AB5" s="209">
        <v>15</v>
      </c>
      <c r="AC5" s="205" t="str">
        <f>IF(AB5&gt;0,IF(ISTEXT($E5),IF($E5&lt;&gt;AA5,AB5-2*AB5,""),""),"")</f>
        <v/>
      </c>
      <c r="AD5" s="241" t="s">
        <v>44</v>
      </c>
      <c r="AE5" s="209">
        <v>14</v>
      </c>
      <c r="AF5" s="205" t="str">
        <f>IF(AE5&gt;0,IF(ISTEXT($E5),IF($E5&lt;&gt;AD5,AE5-2*AE5,""),""),"")</f>
        <v/>
      </c>
      <c r="AG5" s="241" t="s">
        <v>44</v>
      </c>
      <c r="AH5" s="209">
        <v>15</v>
      </c>
      <c r="AI5" s="205" t="str">
        <f>IF(AH5&gt;0,IF(ISTEXT($E5),IF($E5&lt;&gt;AG5,AH5-2*AH5,""),""),"")</f>
        <v/>
      </c>
      <c r="AJ5" s="241" t="s">
        <v>44</v>
      </c>
      <c r="AK5" s="209">
        <v>16</v>
      </c>
      <c r="AL5" s="205" t="str">
        <f>IF(AK5&gt;0,IF(ISTEXT($E5),IF($E5&lt;&gt;AJ5,AK5-2*AK5,""),""),"")</f>
        <v/>
      </c>
      <c r="AM5" s="241" t="s">
        <v>44</v>
      </c>
      <c r="AN5" s="209">
        <v>15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$M$21</f>
        <v>1</v>
      </c>
      <c r="BF5" s="100" t="str">
        <f>$L$2</f>
        <v>CP</v>
      </c>
      <c r="BG5" s="101">
        <f ca="1">$N$21</f>
        <v>133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202"/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3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 t="str">
        <f t="shared" si="5"/>
        <v/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$P$21</f>
        <v>1</v>
      </c>
      <c r="BF6" s="100" t="str">
        <f>$O$2</f>
        <v>DC</v>
      </c>
      <c r="BG6" s="101">
        <f ca="1">$Q$21</f>
        <v>133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202"/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$S$21</f>
        <v>1</v>
      </c>
      <c r="BF7" s="100" t="str">
        <f>$R$2</f>
        <v>DH</v>
      </c>
      <c r="BG7" s="101">
        <f ca="1">$T$21</f>
        <v>133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202"/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$V$21</f>
        <v>1</v>
      </c>
      <c r="BF8" s="100" t="str">
        <f>$U$2</f>
        <v>JG</v>
      </c>
      <c r="BG8" s="101">
        <f ca="1">$W$21</f>
        <v>133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202"/>
      <c r="F9" s="238" t="s">
        <v>44</v>
      </c>
      <c r="G9" s="209">
        <v>12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11</v>
      </c>
      <c r="Q9" s="205" t="str">
        <f t="shared" si="2"/>
        <v/>
      </c>
      <c r="R9" s="241" t="s">
        <v>44</v>
      </c>
      <c r="S9" s="209">
        <v>12</v>
      </c>
      <c r="T9" s="205" t="str">
        <f t="shared" si="3"/>
        <v/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 t="str">
        <f t="shared" si="5"/>
        <v/>
      </c>
      <c r="AA9" s="241" t="s">
        <v>44</v>
      </c>
      <c r="AB9" s="209">
        <v>9</v>
      </c>
      <c r="AC9" s="205" t="str">
        <f t="shared" si="6"/>
        <v/>
      </c>
      <c r="AD9" s="241" t="s">
        <v>44</v>
      </c>
      <c r="AE9" s="209">
        <v>11</v>
      </c>
      <c r="AF9" s="205" t="str">
        <f t="shared" si="7"/>
        <v/>
      </c>
      <c r="AG9" s="241" t="s">
        <v>44</v>
      </c>
      <c r="AH9" s="209">
        <v>11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12</v>
      </c>
      <c r="AV9" s="207" t="str">
        <f t="shared" ca="1" si="13"/>
        <v/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$Y$21</f>
        <v>1</v>
      </c>
      <c r="BF9" s="100" t="str">
        <f>$X$2</f>
        <v>JH</v>
      </c>
      <c r="BG9" s="101">
        <f ca="1">$Z$21</f>
        <v>133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202"/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 t="str">
        <f t="shared" si="1"/>
        <v/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$AB$21</f>
        <v>1</v>
      </c>
      <c r="BF10" s="100" t="str">
        <f>$AA$2</f>
        <v>JL</v>
      </c>
      <c r="BG10" s="101">
        <f ca="1">$AC$21</f>
        <v>133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202"/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$AE$21</f>
        <v>1</v>
      </c>
      <c r="BF11" s="100" t="str">
        <f>$AD$2</f>
        <v>KC</v>
      </c>
      <c r="BG11" s="101">
        <f ca="1">$AF$21</f>
        <v>133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202"/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 t="str">
        <f t="shared" si="6"/>
        <v/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$AH$21</f>
        <v>1</v>
      </c>
      <c r="BF12" s="100" t="str">
        <f>$AG$2</f>
        <v>KK</v>
      </c>
      <c r="BG12" s="101">
        <f ca="1">$AI$21</f>
        <v>133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202"/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$AK$21</f>
        <v>1</v>
      </c>
      <c r="BF13" s="100" t="str">
        <f>$AJ$2</f>
        <v>MB</v>
      </c>
      <c r="BG13" s="101">
        <f ca="1">$AL$21</f>
        <v>133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202"/>
      <c r="F14" s="238" t="s">
        <v>45</v>
      </c>
      <c r="G14" s="209">
        <v>8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 t="str">
        <f t="shared" si="1"/>
        <v/>
      </c>
      <c r="O14" s="241" t="s">
        <v>45</v>
      </c>
      <c r="P14" s="209">
        <v>4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45</v>
      </c>
      <c r="V14" s="209">
        <v>8</v>
      </c>
      <c r="W14" s="205" t="str">
        <f t="shared" si="4"/>
        <v/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 t="str">
        <f t="shared" si="6"/>
        <v/>
      </c>
      <c r="AD14" s="241" t="s">
        <v>45</v>
      </c>
      <c r="AE14" s="209">
        <v>4</v>
      </c>
      <c r="AF14" s="205" t="str">
        <f t="shared" si="7"/>
        <v/>
      </c>
      <c r="AG14" s="241" t="s">
        <v>45</v>
      </c>
      <c r="AH14" s="209">
        <v>3</v>
      </c>
      <c r="AI14" s="205" t="str">
        <f t="shared" si="8"/>
        <v/>
      </c>
      <c r="AJ14" s="241" t="s">
        <v>45</v>
      </c>
      <c r="AK14" s="209">
        <v>6</v>
      </c>
      <c r="AL14" s="205" t="str">
        <f t="shared" si="9"/>
        <v/>
      </c>
      <c r="AM14" s="241" t="s">
        <v>45</v>
      </c>
      <c r="AN14" s="209">
        <v>4</v>
      </c>
      <c r="AO14" s="207" t="str">
        <f t="shared" si="10"/>
        <v/>
      </c>
      <c r="AT14" s="208" t="str">
        <f t="shared" si="11"/>
        <v>V</v>
      </c>
      <c r="AU14" s="209">
        <f t="shared" ca="1" si="12"/>
        <v>6</v>
      </c>
      <c r="AV14" s="207" t="str">
        <f t="shared" ca="1" si="13"/>
        <v/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$AN$21</f>
        <v>1</v>
      </c>
      <c r="BF14" s="100" t="str">
        <f>$AM$2</f>
        <v>RR</v>
      </c>
      <c r="BG14" s="101">
        <f ca="1">$AO$21</f>
        <v>133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202"/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38" t="s">
        <v>45</v>
      </c>
      <c r="G16" s="209">
        <v>9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 t="str">
        <f t="shared" si="1"/>
        <v/>
      </c>
      <c r="O16" s="241" t="s">
        <v>45</v>
      </c>
      <c r="P16" s="209">
        <v>8</v>
      </c>
      <c r="Q16" s="205" t="str">
        <f t="shared" si="2"/>
        <v/>
      </c>
      <c r="R16" s="241" t="s">
        <v>45</v>
      </c>
      <c r="S16" s="209">
        <v>13</v>
      </c>
      <c r="T16" s="205" t="str">
        <f t="shared" si="3"/>
        <v/>
      </c>
      <c r="U16" s="241" t="s">
        <v>45</v>
      </c>
      <c r="V16" s="209">
        <v>14</v>
      </c>
      <c r="W16" s="205" t="str">
        <f t="shared" si="4"/>
        <v/>
      </c>
      <c r="X16" s="241" t="s">
        <v>45</v>
      </c>
      <c r="Y16" s="209">
        <v>9</v>
      </c>
      <c r="Z16" s="205" t="str">
        <f t="shared" si="5"/>
        <v/>
      </c>
      <c r="AA16" s="241" t="s">
        <v>45</v>
      </c>
      <c r="AB16" s="209">
        <v>12</v>
      </c>
      <c r="AC16" s="205" t="str">
        <f t="shared" si="6"/>
        <v/>
      </c>
      <c r="AD16" s="241" t="s">
        <v>45</v>
      </c>
      <c r="AE16" s="209">
        <v>6</v>
      </c>
      <c r="AF16" s="205" t="str">
        <f t="shared" si="7"/>
        <v/>
      </c>
      <c r="AG16" s="241" t="s">
        <v>45</v>
      </c>
      <c r="AH16" s="209">
        <v>9</v>
      </c>
      <c r="AI16" s="205" t="str">
        <f t="shared" si="8"/>
        <v/>
      </c>
      <c r="AJ16" s="241" t="s">
        <v>45</v>
      </c>
      <c r="AK16" s="209">
        <v>10</v>
      </c>
      <c r="AL16" s="205" t="str">
        <f t="shared" si="9"/>
        <v/>
      </c>
      <c r="AM16" s="241" t="s">
        <v>45</v>
      </c>
      <c r="AN16" s="209">
        <v>11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11</v>
      </c>
      <c r="AV16" s="207" t="str">
        <f t="shared" ca="1" si="13"/>
        <v/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38" t="s">
        <v>44</v>
      </c>
      <c r="G19" s="209">
        <v>5</v>
      </c>
      <c r="H19" s="205" t="str">
        <f t="shared" si="23"/>
        <v/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 t="str">
        <f t="shared" si="2"/>
        <v/>
      </c>
      <c r="R19" s="241" t="s">
        <v>44</v>
      </c>
      <c r="S19" s="209">
        <v>4</v>
      </c>
      <c r="T19" s="205" t="str">
        <f t="shared" si="3"/>
        <v/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133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1</v>
      </c>
      <c r="N21" s="218">
        <f ca="1">IF(SUM(M4:M19)&gt;0,SUM(N4:N19)+$F$31,0)</f>
        <v>133</v>
      </c>
      <c r="O21" s="219"/>
      <c r="P21" s="217">
        <f ca="1">RANK(Q21,$H34:$AO34,0)+P52</f>
        <v>1</v>
      </c>
      <c r="Q21" s="218">
        <f ca="1">IF(SUM(P4:P19)&gt;0,SUM(Q4:Q19)+$F$31,0)</f>
        <v>133</v>
      </c>
      <c r="R21" s="219"/>
      <c r="S21" s="217">
        <f ca="1">RANK(T21,$H34:$AO34,0)+S52</f>
        <v>1</v>
      </c>
      <c r="T21" s="218">
        <f ca="1">IF(SUM(S4:S19)&gt;0,SUM(T4:T19)+$F$31,0)</f>
        <v>133</v>
      </c>
      <c r="U21" s="219"/>
      <c r="V21" s="217">
        <f ca="1">RANK(W21,$H34:$AO34,0)+V52</f>
        <v>1</v>
      </c>
      <c r="W21" s="218">
        <f ca="1">IF(SUM(V4:V19)&gt;0,SUM(W4:W19)+$F$31,0)</f>
        <v>133</v>
      </c>
      <c r="X21" s="219"/>
      <c r="Y21" s="217">
        <f ca="1">RANK(Z21,$H34:$AO34,0)+Y52</f>
        <v>1</v>
      </c>
      <c r="Z21" s="218">
        <f ca="1">IF(SUM(Y4:Y19)&gt;0,SUM(Z4:Z19)+$F$31,0)</f>
        <v>133</v>
      </c>
      <c r="AA21" s="219"/>
      <c r="AB21" s="217">
        <f ca="1">RANK(AC21,$H34:$AO34,0)+AB52</f>
        <v>1</v>
      </c>
      <c r="AC21" s="218">
        <f ca="1">IF(SUM(AB4:AB19)&gt;0,SUM(AC4:AC19)+$F$31,0)</f>
        <v>133</v>
      </c>
      <c r="AD21" s="219"/>
      <c r="AE21" s="217">
        <f ca="1">RANK(AF21,$H34:$AO34,0)+AE52</f>
        <v>1</v>
      </c>
      <c r="AF21" s="218">
        <f ca="1">IF(SUM(AE4:AE19)&gt;0,SUM(AF4:AF19)+$F$31,0)</f>
        <v>133</v>
      </c>
      <c r="AG21" s="219"/>
      <c r="AH21" s="217">
        <f ca="1">RANK(AI21,$H34:$AO34,0)+AH52</f>
        <v>1</v>
      </c>
      <c r="AI21" s="218">
        <f ca="1">IF(SUM(AH4:AH19)&gt;0,SUM(AI4:AI19)+$F$31,0)</f>
        <v>133</v>
      </c>
      <c r="AJ21" s="219"/>
      <c r="AK21" s="217">
        <f ca="1">RANK(AL21,$H34:$AO34,0)+AK52</f>
        <v>1</v>
      </c>
      <c r="AL21" s="218">
        <f ca="1">IF(SUM(AK4:AK19)&gt;0,SUM(AL4:AL19)+$F$31,0)</f>
        <v>133</v>
      </c>
      <c r="AM21" s="219"/>
      <c r="AN21" s="217">
        <f ca="1">RANK(AO21,$H34:$AO34,0)+AN52</f>
        <v>1</v>
      </c>
      <c r="AO21" s="220">
        <f ca="1">IF(SUM(AN4:AN19)&gt;0,SUM(AO4:AO19)+$F$31,0)</f>
        <v>133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133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133</v>
      </c>
      <c r="Q34" s="26">
        <f t="shared" ref="Q34:Q39" ca="1" si="27">Q21</f>
        <v>133</v>
      </c>
      <c r="T34" s="26">
        <f t="shared" ref="T34:T39" ca="1" si="28">T21</f>
        <v>133</v>
      </c>
      <c r="W34" s="26">
        <f t="shared" ref="W34:W39" ca="1" si="29">W21</f>
        <v>133</v>
      </c>
      <c r="Z34" s="26">
        <f t="shared" ref="Z34:Z39" ca="1" si="30">Z21</f>
        <v>133</v>
      </c>
      <c r="AC34" s="26">
        <f t="shared" ref="AC34:AC39" ca="1" si="31">AC21</f>
        <v>133</v>
      </c>
      <c r="AF34" s="26">
        <f t="shared" ref="AF34:AF39" ca="1" si="32">AF21</f>
        <v>133</v>
      </c>
      <c r="AI34" s="26">
        <f t="shared" ref="AI34:AI39" ca="1" si="33">AI21</f>
        <v>133</v>
      </c>
      <c r="AL34" s="26">
        <f t="shared" ref="AL34:AL39" ca="1" si="34">AL21</f>
        <v>133</v>
      </c>
      <c r="AO34" s="26">
        <f t="shared" ref="AO34:AO39" ca="1" si="35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7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8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9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ca="1">IF(BV12="✓",$AH$27/COUNTIF(BV$4:BV$15,"✓"),"")</f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10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11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12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3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13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ca="1">IF(BV12="✓",$AH$27/COUNTIF(BV$4:BV$15,"✓"),"")</f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14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15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16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17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100.75</v>
      </c>
      <c r="BL4" s="93">
        <f ca="1">$H$23</f>
        <v>403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16</v>
      </c>
      <c r="BQ4" s="72">
        <f ca="1">-$AR$3*'Season Summary'!$AO$3</f>
        <v>-15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11</v>
      </c>
      <c r="BJ5" s="85" t="str">
        <f>$I$2</f>
        <v>CK</v>
      </c>
      <c r="BK5" s="94">
        <f ca="1">$K$22</f>
        <v>91.75</v>
      </c>
      <c r="BL5" s="95">
        <f ca="1">$K$23</f>
        <v>367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16</v>
      </c>
      <c r="BQ5" s="74">
        <f ca="1">-$AR$3*'Season Summary'!$AO$3</f>
        <v>-15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-15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98.5</v>
      </c>
      <c r="BL7" s="95">
        <f ca="1">$Q$23</f>
        <v>394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-15</v>
      </c>
      <c r="BQ7" s="74">
        <f ca="1">-$AR$3*'Season Summary'!$AO$3</f>
        <v>-15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92.25</v>
      </c>
      <c r="BL8" s="95">
        <f ca="1">$T$23</f>
        <v>369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-15</v>
      </c>
      <c r="BQ8" s="74">
        <f ca="1">-$AR$3*'Season Summary'!$AO$3</f>
        <v>-15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12</v>
      </c>
      <c r="BJ9" s="85" t="str">
        <f>$U$2</f>
        <v>JG</v>
      </c>
      <c r="BK9" s="94">
        <f ca="1">$W$22</f>
        <v>89</v>
      </c>
      <c r="BL9" s="95">
        <f ca="1">$W$23</f>
        <v>356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-15</v>
      </c>
      <c r="BQ9" s="74">
        <f ca="1">-$AR$3*'Season Summary'!$AO$3</f>
        <v>-15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5</v>
      </c>
      <c r="BJ10" s="85" t="str">
        <f>$X$2</f>
        <v>JH</v>
      </c>
      <c r="BK10" s="94">
        <f ca="1">$Z$22</f>
        <v>101.75</v>
      </c>
      <c r="BL10" s="95">
        <f ca="1">$Z$23</f>
        <v>407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47</v>
      </c>
      <c r="BQ10" s="74">
        <f ca="1">-$AR$3*'Season Summary'!$AO$3</f>
        <v>-15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98.75</v>
      </c>
      <c r="BL11" s="95">
        <f ca="1">$AC$23</f>
        <v>395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-15</v>
      </c>
      <c r="BQ11" s="74">
        <f ca="1">-$AR$3*'Season Summary'!$AO$3</f>
        <v>-15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103.75</v>
      </c>
      <c r="BL12" s="95">
        <f ca="1">$AF$23</f>
        <v>415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-5</v>
      </c>
      <c r="BQ12" s="74">
        <f ca="1">-$AR$3*'Season Summary'!$AO$3</f>
        <v>-15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1</v>
      </c>
      <c r="BJ13" s="85" t="str">
        <f>$AG$2</f>
        <v>KK</v>
      </c>
      <c r="BK13" s="94">
        <f ca="1">$AI$22</f>
        <v>104.5</v>
      </c>
      <c r="BL13" s="95">
        <f ca="1">$AI$23</f>
        <v>418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0</v>
      </c>
      <c r="BQ13" s="74">
        <f ca="1">-$AR$3*'Season Summary'!$AO$3</f>
        <v>-15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>✓</v>
      </c>
      <c r="BU13" s="81">
        <f t="shared" ca="1" si="20"/>
        <v>15</v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97.5</v>
      </c>
      <c r="BL14" s="95">
        <f ca="1">$AL$23</f>
        <v>390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-15</v>
      </c>
      <c r="BQ14" s="74">
        <f ca="1">-$AR$3*'Season Summary'!$AO$3</f>
        <v>-15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4</v>
      </c>
      <c r="BJ15" s="86" t="str">
        <f>$AM$2</f>
        <v>RR</v>
      </c>
      <c r="BK15" s="96">
        <f ca="1">$AO$22</f>
        <v>102.5</v>
      </c>
      <c r="BL15" s="97">
        <f ca="1">$AO$23</f>
        <v>410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16</v>
      </c>
      <c r="BQ15" s="76">
        <f ca="1">-$AR$3*'Season Summary'!$AO$3</f>
        <v>-15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2" t="str">
        <f ca="1">$AR$12</f>
        <v>Week 5 Final</v>
      </c>
      <c r="C2" s="393" t="str">
        <f ca="1">$AR$12</f>
        <v>Week 5 Final</v>
      </c>
      <c r="D2" s="394"/>
      <c r="E2" s="122" t="s">
        <v>673</v>
      </c>
      <c r="F2" s="123">
        <f ca="1">INDIRECT("'"&amp;INDEX(worksheet_names,_xlfn.SHEET()-1)&amp;"'!G2")</f>
        <v>16</v>
      </c>
      <c r="G2" s="124"/>
      <c r="H2" s="122" t="s">
        <v>674</v>
      </c>
      <c r="I2" s="123">
        <f ca="1">INDIRECT("'"&amp;INDEX(worksheet_names,_xlfn.SHEET()-1)&amp;"'!J2")</f>
        <v>16</v>
      </c>
      <c r="J2" s="124"/>
      <c r="K2" s="122" t="s">
        <v>675</v>
      </c>
      <c r="L2" s="123">
        <f ca="1">INDIRECT("'"&amp;INDEX(worksheet_names,_xlfn.SHEET()-1)&amp;"'!M2")</f>
        <v>-15</v>
      </c>
      <c r="M2" s="124"/>
      <c r="N2" s="122" t="s">
        <v>676</v>
      </c>
      <c r="O2" s="123">
        <f ca="1">INDIRECT("'"&amp;INDEX(worksheet_names,_xlfn.SHEET()-1)&amp;"'!P2")</f>
        <v>-15</v>
      </c>
      <c r="P2" s="124"/>
      <c r="Q2" s="122" t="s">
        <v>677</v>
      </c>
      <c r="R2" s="123">
        <f ca="1">INDIRECT("'"&amp;INDEX(worksheet_names,_xlfn.SHEET()-1)&amp;"'!S2")</f>
        <v>-15</v>
      </c>
      <c r="S2" s="124"/>
      <c r="T2" s="122" t="s">
        <v>678</v>
      </c>
      <c r="U2" s="123">
        <f ca="1">INDIRECT("'"&amp;INDEX(worksheet_names,_xlfn.SHEET()-1)&amp;"'!V2")</f>
        <v>-15</v>
      </c>
      <c r="V2" s="124"/>
      <c r="W2" s="122" t="s">
        <v>679</v>
      </c>
      <c r="X2" s="123">
        <f ca="1">INDIRECT("'"&amp;INDEX(worksheet_names,_xlfn.SHEET()-1)&amp;"'!Y2")</f>
        <v>47</v>
      </c>
      <c r="Y2" s="124"/>
      <c r="Z2" s="122" t="s">
        <v>680</v>
      </c>
      <c r="AA2" s="123">
        <f ca="1">INDIRECT("'"&amp;INDEX(worksheet_names,_xlfn.SHEET()-1)&amp;"'!AB2")</f>
        <v>-15</v>
      </c>
      <c r="AB2" s="124"/>
      <c r="AC2" s="122" t="s">
        <v>681</v>
      </c>
      <c r="AD2" s="123">
        <f ca="1">INDIRECT("'"&amp;INDEX(worksheet_names,_xlfn.SHEET()-1)&amp;"'!AE2")</f>
        <v>-5</v>
      </c>
      <c r="AE2" s="124"/>
      <c r="AF2" s="122" t="s">
        <v>682</v>
      </c>
      <c r="AG2" s="123">
        <f ca="1">INDIRECT("'"&amp;INDEX(worksheet_names,_xlfn.SHEET()-1)&amp;"'!AH2")</f>
        <v>0</v>
      </c>
      <c r="AH2" s="124"/>
      <c r="AI2" s="122" t="s">
        <v>683</v>
      </c>
      <c r="AJ2" s="123">
        <f ca="1">INDIRECT("'"&amp;INDEX(worksheet_names,_xlfn.SHEET()-1)&amp;"'!AK2")</f>
        <v>-15</v>
      </c>
      <c r="AK2" s="124"/>
      <c r="AL2" s="122" t="s">
        <v>684</v>
      </c>
      <c r="AM2" s="123">
        <f ca="1">INDIRECT("'"&amp;INDEX(worksheet_names,_xlfn.SHEET()-1)&amp;"'!AN2")</f>
        <v>16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5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6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14</v>
      </c>
      <c r="D8" s="237">
        <f>IF('Week 5'!$E$4="","",C8)</f>
        <v>14</v>
      </c>
      <c r="E8" s="238">
        <f ca="1">IF('Week 5'!$AR$2=0,IF('Week 5'!F$4="","",'Week 5'!G$21),"")</f>
        <v>7</v>
      </c>
      <c r="F8" s="239">
        <f>IF('Week 5'!$AR$2=0,IF('Week 5'!F$4="",0,'Week 5'!H$25),"")</f>
        <v>9</v>
      </c>
      <c r="G8" s="240">
        <f ca="1">IF('Week 5'!$AR$2=0,IF('Week 5'!F$4="",0,'Week 5'!H$21),"")</f>
        <v>87</v>
      </c>
      <c r="H8" s="241">
        <f ca="1">IF('Week 5'!$AR$2=0,IF('Week 5'!I$4="","",'Week 5'!J$21),"")</f>
        <v>4</v>
      </c>
      <c r="I8" s="239">
        <f>IF('Week 5'!$AR$2=0,IF('Week 5'!I$4="",0,'Week 5'!K$25),"")</f>
        <v>9</v>
      </c>
      <c r="J8" s="240">
        <f ca="1">IF('Week 5'!$AR$2=0,IF('Week 5'!I$4="",0,'Week 5'!K$21),"")</f>
        <v>97</v>
      </c>
      <c r="K8" s="241">
        <f ca="1">IF('Week 5'!$AR$2=0,IF('Week 5'!L$4="","",'Week 5'!M$21),"")</f>
        <v>5</v>
      </c>
      <c r="L8" s="239">
        <f>IF('Week 5'!$AR$2=0,IF('Week 5'!L$4="",0,'Week 5'!N$25),"")</f>
        <v>9</v>
      </c>
      <c r="M8" s="240">
        <f ca="1">IF('Week 5'!$AR$2=0,IF('Week 5'!L$4="",0,'Week 5'!N$21),"")</f>
        <v>96</v>
      </c>
      <c r="N8" s="241">
        <f ca="1">IF('Week 5'!$AR$2=0,IF('Week 5'!O$4="","",'Week 5'!P$21),"")</f>
        <v>7</v>
      </c>
      <c r="O8" s="239">
        <f>IF('Week 5'!$AR$2=0,IF('Week 5'!O$4="",0,'Week 5'!Q$25),"")</f>
        <v>9</v>
      </c>
      <c r="P8" s="240">
        <f ca="1">IF('Week 5'!$AR$2=0,IF('Week 5'!O$4="",0,'Week 5'!Q$21),"")</f>
        <v>87</v>
      </c>
      <c r="Q8" s="241">
        <f ca="1">IF('Week 5'!$AR$2=0,IF('Week 5'!R$4="","",'Week 5'!S$21),"")</f>
        <v>9</v>
      </c>
      <c r="R8" s="239">
        <f>IF('Week 5'!$AR$2=0,IF('Week 5'!R$4="",0,'Week 5'!T$25),"")</f>
        <v>8</v>
      </c>
      <c r="S8" s="240">
        <f ca="1">IF('Week 5'!$AR$2=0,IF('Week 5'!R$4="",0,'Week 5'!T$21),"")</f>
        <v>86</v>
      </c>
      <c r="T8" s="241">
        <f ca="1">IF('Week 5'!$AR$2=0,IF('Week 5'!U$4="","",'Week 5'!V$21),"")</f>
        <v>10</v>
      </c>
      <c r="U8" s="239">
        <f>IF('Week 5'!$AR$2=0,IF('Week 5'!U$4="",0,'Week 5'!W$25),"")</f>
        <v>7</v>
      </c>
      <c r="V8" s="240">
        <f ca="1">IF('Week 5'!$AR$2=0,IF('Week 5'!U$4="",0,'Week 5'!W$21),"")</f>
        <v>82</v>
      </c>
      <c r="W8" s="241">
        <f ca="1">IF('Week 5'!$AR$2=0,IF('Week 5'!X$4="","",'Week 5'!Y$21),"")</f>
        <v>1</v>
      </c>
      <c r="X8" s="239">
        <f>IF('Week 5'!$AR$2=0,IF('Week 5'!X$4="",0,'Week 5'!Z$25),"")</f>
        <v>11</v>
      </c>
      <c r="Y8" s="240">
        <f ca="1">IF('Week 5'!$AR$2=0,IF('Week 5'!X$4="",0,'Week 5'!Z$21),"")</f>
        <v>107</v>
      </c>
      <c r="Z8" s="241">
        <f ca="1">IF('Week 5'!$AR$2=0,IF('Week 5'!AA$4="","",'Week 5'!AB$21),"")</f>
        <v>2</v>
      </c>
      <c r="AA8" s="239">
        <f>IF('Week 5'!$AR$2=0,IF('Week 5'!AA$4="",0,'Week 5'!AC$25),"")</f>
        <v>10</v>
      </c>
      <c r="AB8" s="240">
        <f ca="1">IF('Week 5'!$AR$2=0,IF('Week 5'!AA$4="",0,'Week 5'!AC$21),"")</f>
        <v>102</v>
      </c>
      <c r="AC8" s="241">
        <f ca="1">IF('Week 5'!$AR$2=0,IF('Week 5'!AD$4="","",'Week 5'!AE$21),"")</f>
        <v>6</v>
      </c>
      <c r="AD8" s="239">
        <f>IF('Week 5'!$AR$2=0,IF('Week 5'!AD$4="",0,'Week 5'!AF$25),"")</f>
        <v>9</v>
      </c>
      <c r="AE8" s="240">
        <f ca="1">IF('Week 5'!$AR$2=0,IF('Week 5'!AD$4="",0,'Week 5'!AF$21),"")</f>
        <v>95</v>
      </c>
      <c r="AF8" s="241">
        <f ca="1">IF('Week 5'!$AR$2=0,IF('Week 5'!AG$4="","",'Week 5'!AH$21),"")</f>
        <v>3</v>
      </c>
      <c r="AG8" s="239">
        <f>IF('Week 5'!$AR$2=0,IF('Week 5'!AG$4="",0,'Week 5'!AI$25),"")</f>
        <v>10</v>
      </c>
      <c r="AH8" s="240">
        <f ca="1">IF('Week 5'!$AR$2=0,IF('Week 5'!AG$4="",0,'Week 5'!AI$21),"")</f>
        <v>100</v>
      </c>
      <c r="AI8" s="241">
        <f ca="1">IF('Week 5'!$AR$2=0,IF('Week 5'!AJ$4="","",'Week 5'!AK$21),"")</f>
        <v>12</v>
      </c>
      <c r="AJ8" s="239">
        <f>IF('Week 5'!$AR$2=0,IF('Week 5'!AJ$4="",0,'Week 5'!AL$25),"")</f>
        <v>8</v>
      </c>
      <c r="AK8" s="240">
        <f ca="1">IF('Week 5'!$AR$2=0,IF('Week 5'!AJ$4="",0,'Week 5'!AL$21),"")</f>
        <v>69</v>
      </c>
      <c r="AL8" s="241">
        <f ca="1">IF('Week 5'!$AR$2=0,IF('Week 5'!AM$4="","",'Week 5'!AN$21),"")</f>
        <v>11</v>
      </c>
      <c r="AM8" s="239">
        <f>IF('Week 5'!$AR$2=0,IF('Week 5'!AM$4="",0,'Week 5'!AO$25),"")</f>
        <v>8</v>
      </c>
      <c r="AN8" s="242">
        <f ca="1">IF('Week 5'!$AR$2=0,IF('Week 5'!AM$4="",0,'Week 5'!AO$21),"")</f>
        <v>79</v>
      </c>
      <c r="AO8" s="224">
        <v>2020</v>
      </c>
      <c r="AP8" s="225" t="s">
        <v>620</v>
      </c>
      <c r="AQ8" s="46"/>
      <c r="AS8" s="4">
        <f t="shared" si="12"/>
        <v>14</v>
      </c>
      <c r="BJ8" s="4"/>
      <c r="BK8" s="4" t="str">
        <f t="shared" ca="1" si="0"/>
        <v/>
      </c>
      <c r="BL8" s="4"/>
      <c r="BM8" s="4">
        <f t="shared" ca="1" si="13"/>
        <v>87</v>
      </c>
      <c r="BN8" s="4" t="str">
        <f t="shared" ca="1" si="1"/>
        <v/>
      </c>
      <c r="BO8" s="4"/>
      <c r="BP8" s="4">
        <f t="shared" ca="1" si="14"/>
        <v>97</v>
      </c>
      <c r="BQ8" s="4" t="str">
        <f t="shared" ca="1" si="2"/>
        <v/>
      </c>
      <c r="BR8" s="4"/>
      <c r="BS8" s="4">
        <f t="shared" ca="1" si="15"/>
        <v>96</v>
      </c>
      <c r="BT8" s="4" t="str">
        <f t="shared" ca="1" si="3"/>
        <v/>
      </c>
      <c r="BU8" s="4"/>
      <c r="BV8" s="4">
        <f t="shared" ca="1" si="16"/>
        <v>87</v>
      </c>
      <c r="BW8" s="4" t="str">
        <f t="shared" ca="1" si="4"/>
        <v/>
      </c>
      <c r="BX8" s="4"/>
      <c r="BY8" s="4">
        <f t="shared" ca="1" si="17"/>
        <v>86</v>
      </c>
      <c r="BZ8" s="4" t="str">
        <f t="shared" ca="1" si="5"/>
        <v/>
      </c>
      <c r="CA8" s="4"/>
      <c r="CB8" s="4">
        <f t="shared" ca="1" si="18"/>
        <v>82</v>
      </c>
      <c r="CC8" s="4" t="str">
        <f t="shared" ca="1" si="6"/>
        <v/>
      </c>
      <c r="CD8" s="4"/>
      <c r="CE8" s="4">
        <f t="shared" ca="1" si="19"/>
        <v>107</v>
      </c>
      <c r="CF8" s="4" t="str">
        <f t="shared" ca="1" si="7"/>
        <v/>
      </c>
      <c r="CG8" s="4"/>
      <c r="CH8" s="4">
        <f t="shared" ca="1" si="20"/>
        <v>102</v>
      </c>
      <c r="CI8" s="4" t="str">
        <f t="shared" ca="1" si="8"/>
        <v/>
      </c>
      <c r="CJ8" s="4"/>
      <c r="CK8" s="4">
        <f t="shared" ca="1" si="21"/>
        <v>95</v>
      </c>
      <c r="CL8" s="4" t="str">
        <f t="shared" ca="1" si="9"/>
        <v/>
      </c>
      <c r="CM8" s="4"/>
      <c r="CN8" s="4">
        <f t="shared" ca="1" si="22"/>
        <v>100</v>
      </c>
      <c r="CO8" s="4">
        <f t="shared" ca="1" si="10"/>
        <v>1</v>
      </c>
      <c r="CP8" s="4"/>
      <c r="CQ8" s="4">
        <f t="shared" ca="1" si="23"/>
        <v>69</v>
      </c>
      <c r="CR8" s="4" t="str">
        <f t="shared" ca="1" si="11"/>
        <v/>
      </c>
      <c r="CS8" s="4"/>
      <c r="CT8" s="4">
        <f t="shared" ca="1" si="24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5'!$B$2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5'!$C$2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5'!$D$2</v>
      </c>
      <c r="AS11" s="4">
        <f t="shared" si="12"/>
        <v>14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5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14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14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77</v>
      </c>
      <c r="E21" s="256">
        <f ca="1">IF($AQ$2=0,"",RANK(G21,$BM21:$CT21,0))</f>
        <v>6</v>
      </c>
      <c r="F21" s="257">
        <f>IF($AQ$2=0,"",SUM(F4:F20))</f>
        <v>50</v>
      </c>
      <c r="G21" s="258">
        <f ca="1">IF($AQ$2=0,"",IF($AQ$2=1,SUM(G4:G20),SUM(G4:G20)-MIN(G4:G20)))</f>
        <v>403</v>
      </c>
      <c r="H21" s="259">
        <f ca="1">IF($AQ$2=0,"",RANK(J21,$BM21:$CT21,0))</f>
        <v>11</v>
      </c>
      <c r="I21" s="257">
        <f>IF($AQ$2=0,"",SUM(I4:I20))</f>
        <v>36</v>
      </c>
      <c r="J21" s="258">
        <f ca="1">IF($AQ$2=0,"",IF($AQ$2=1,SUM(J4:J20),SUM(J4:J20)-MIN(J4:J20)))</f>
        <v>367</v>
      </c>
      <c r="K21" s="259">
        <f ca="1">IF($AQ$2=0,"",RANK(M21,$BM21:$CT21,0))</f>
        <v>3</v>
      </c>
      <c r="L21" s="257">
        <f>IF($AQ$2=0,"",SUM(L4:L20))</f>
        <v>52</v>
      </c>
      <c r="M21" s="258">
        <f ca="1">IF($AQ$2=0,"",IF($AQ$2=1,SUM(M4:M20),SUM(M4:M20)-MIN(M4:M20)))</f>
        <v>413</v>
      </c>
      <c r="N21" s="259">
        <f ca="1">IF($AQ$2=0,"",RANK(P21,$BM21:$CT21,0))</f>
        <v>8</v>
      </c>
      <c r="O21" s="257">
        <f>IF($AQ$2=0,"",SUM(O4:O20))</f>
        <v>47</v>
      </c>
      <c r="P21" s="258">
        <f ca="1">IF($AQ$2=0,"",IF($AQ$2=1,SUM(P4:P20),SUM(P4:P20)-MIN(P4:P20)))</f>
        <v>394</v>
      </c>
      <c r="Q21" s="259">
        <f ca="1">IF($AQ$2=0,"",RANK(S21,$BM21:$CT21,0))</f>
        <v>10</v>
      </c>
      <c r="R21" s="257">
        <f>IF($AQ$2=0,"",SUM(R4:R20))</f>
        <v>47</v>
      </c>
      <c r="S21" s="258">
        <f ca="1">IF($AQ$2=0,"",IF($AQ$2=1,SUM(S4:S20),SUM(S4:S20)-MIN(S4:S20)))</f>
        <v>369</v>
      </c>
      <c r="T21" s="259">
        <f ca="1">IF($AQ$2=0,"",RANK(V21,$BM21:$CT21,0))</f>
        <v>12</v>
      </c>
      <c r="U21" s="257">
        <f>IF($AQ$2=0,"",SUM(U4:U20))</f>
        <v>37</v>
      </c>
      <c r="V21" s="258">
        <f ca="1">IF($AQ$2=0,"",IF($AQ$2=1,SUM(V4:V20),SUM(V4:V20)-MIN(V4:V20)))</f>
        <v>356</v>
      </c>
      <c r="W21" s="259">
        <f ca="1">IF($AQ$2=0,"",RANK(Y21,$BM21:$CT21,0))</f>
        <v>5</v>
      </c>
      <c r="X21" s="257">
        <f>IF($AQ$2=0,"",SUM(X4:X20))</f>
        <v>54</v>
      </c>
      <c r="Y21" s="258">
        <f ca="1">IF($AQ$2=0,"",IF($AQ$2=1,SUM(Y4:Y20),SUM(Y4:Y20)-MIN(Y4:Y20)))</f>
        <v>407</v>
      </c>
      <c r="Z21" s="259">
        <f ca="1">IF($AQ$2=0,"",RANK(AB21,$BM21:$CT21,0))</f>
        <v>7</v>
      </c>
      <c r="AA21" s="257">
        <f>IF($AQ$2=0,"",SUM(AA4:AA20))</f>
        <v>50</v>
      </c>
      <c r="AB21" s="258">
        <f ca="1">IF($AQ$2=0,"",IF($AQ$2=1,SUM(AB4:AB20),SUM(AB4:AB20)-MIN(AB4:AB20)))</f>
        <v>395</v>
      </c>
      <c r="AC21" s="259">
        <f ca="1">IF($AQ$2=0,"",RANK(AE21,$BM21:$CT21,0))</f>
        <v>2</v>
      </c>
      <c r="AD21" s="257">
        <f>IF($AQ$2=0,"",SUM(AD4:AD20))</f>
        <v>52</v>
      </c>
      <c r="AE21" s="258">
        <f ca="1">IF($AQ$2=0,"",IF($AQ$2=1,SUM(AE4:AE20),SUM(AE4:AE20)-MIN(AE4:AE20)))</f>
        <v>415</v>
      </c>
      <c r="AF21" s="259">
        <f ca="1">IF($AQ$2=0,"",RANK(AH21,$BM21:$CT21,0))</f>
        <v>1</v>
      </c>
      <c r="AG21" s="257">
        <f>IF($AQ$2=0,"",SUM(AG4:AG20))</f>
        <v>56</v>
      </c>
      <c r="AH21" s="258">
        <f ca="1">IF($AQ$2=0,"",IF($AQ$2=1,SUM(AH4:AH20),SUM(AH4:AH20)-MIN(AH4:AH20)))</f>
        <v>418</v>
      </c>
      <c r="AI21" s="259">
        <f ca="1">IF($AQ$2=0,"",RANK(AK21,$BM21:$CT21,0))</f>
        <v>9</v>
      </c>
      <c r="AJ21" s="257">
        <f>IF($AQ$2=0,"",SUM(AJ4:AJ20))</f>
        <v>50</v>
      </c>
      <c r="AK21" s="258">
        <f ca="1">IF($AQ$2=0,"",IF($AQ$2=1,SUM(AK4:AK20),SUM(AK4:AK20)-MIN(AK4:AK20)))</f>
        <v>390</v>
      </c>
      <c r="AL21" s="259">
        <f ca="1">IF($AQ$2=0,"",RANK(AN21,$BM21:$CT21,0))</f>
        <v>4</v>
      </c>
      <c r="AM21" s="257">
        <f>IF($AQ$2=0,"",SUM(AM4:AM20))</f>
        <v>49</v>
      </c>
      <c r="AN21" s="260">
        <f ca="1">IF($AQ$2=0,"",IF($AQ$2=1,SUM(AN4:AN20),SUM(AN4:AN20)-MIN(AN4:AN20)))</f>
        <v>410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403</v>
      </c>
      <c r="BN21" s="4"/>
      <c r="BO21" s="4"/>
      <c r="BP21" s="4">
        <f ca="1">J21</f>
        <v>367</v>
      </c>
      <c r="BQ21" s="4"/>
      <c r="BR21" s="4"/>
      <c r="BS21" s="4">
        <f ca="1">M21</f>
        <v>413</v>
      </c>
      <c r="BT21" s="4"/>
      <c r="BU21" s="4"/>
      <c r="BV21" s="4">
        <f ca="1">P21</f>
        <v>394</v>
      </c>
      <c r="BW21" s="4"/>
      <c r="BX21" s="4"/>
      <c r="BY21" s="4">
        <f ca="1">S21</f>
        <v>369</v>
      </c>
      <c r="BZ21" s="4"/>
      <c r="CA21" s="4"/>
      <c r="CB21" s="4">
        <f ca="1">V21</f>
        <v>356</v>
      </c>
      <c r="CC21" s="4"/>
      <c r="CD21" s="4"/>
      <c r="CE21" s="4">
        <f ca="1">Y21</f>
        <v>407</v>
      </c>
      <c r="CF21" s="4"/>
      <c r="CG21" s="4"/>
      <c r="CH21" s="4">
        <f ca="1">AB21</f>
        <v>395</v>
      </c>
      <c r="CI21" s="4"/>
      <c r="CJ21" s="4"/>
      <c r="CK21" s="4">
        <f ca="1">AE21</f>
        <v>415</v>
      </c>
      <c r="CL21" s="4"/>
      <c r="CM21" s="4"/>
      <c r="CN21" s="4">
        <f ca="1">AH21</f>
        <v>418</v>
      </c>
      <c r="CO21" s="4"/>
      <c r="CP21" s="4"/>
      <c r="CQ21" s="4">
        <f ca="1">AK21</f>
        <v>390</v>
      </c>
      <c r="CR21" s="4"/>
      <c r="CS21" s="4"/>
      <c r="CT21" s="4">
        <f ca="1">AN21</f>
        <v>410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5.4</v>
      </c>
      <c r="F22" s="265">
        <f ca="1">IF($AQ$2=0,"",F21/(COUNTIF($D$4:OFFSET($D$4,$AQ$2-1,0),"&lt;&gt;""")))</f>
        <v>10</v>
      </c>
      <c r="G22" s="266">
        <f ca="1">IF($AQ$2=0,"",IF($AQ$2=1,G21/((COUNTIF($D$4:OFFSET($D$4,$AQ$2-1,0),"&lt;&gt;"""))),G21/((COUNTIF($D$4:OFFSET($D$4,$AQ$2-1,0),"&lt;&gt;"""))-1)))</f>
        <v>100.75</v>
      </c>
      <c r="H22" s="267">
        <f ca="1">IF(COUNTIF(H4:H20,"&gt;0")&gt;0,SUM(H4:H20)/COUNTIF(H4:H20,"&gt;0"),"")</f>
        <v>5</v>
      </c>
      <c r="I22" s="265">
        <f ca="1">IF($AQ$2=0,"",I21/(COUNTIF($D$4:OFFSET($D$4,$AQ$2-1,0),"&lt;&gt;""")))</f>
        <v>7.2</v>
      </c>
      <c r="J22" s="266">
        <f ca="1">IF($AQ$2=0,"",IF($AQ$2=1,J21/((COUNTIF($D$4:OFFSET($D$4,$AQ$2-1,0),"&lt;&gt;"""))),J21/((COUNTIF($D$4:OFFSET($D$4,$AQ$2-1,0),"&lt;&gt;"""))-1)))</f>
        <v>91.75</v>
      </c>
      <c r="K22" s="267">
        <f ca="1">IF(COUNTIF(K4:K20,"&gt;0")&gt;0,SUM(K4:K20)/COUNTIF(K4:K20,"&gt;0"),"")</f>
        <v>4.5999999999999996</v>
      </c>
      <c r="L22" s="265">
        <f ca="1">IF($AQ$2=0,"",L21/(COUNTIF($D$4:OFFSET($D$4,$AQ$2-1,0),"&lt;&gt;""")))</f>
        <v>10.4</v>
      </c>
      <c r="M22" s="266">
        <f ca="1">IF($AQ$2=0,"",IF($AQ$2=1,M21/((COUNTIF($D$4:OFFSET($D$4,$AQ$2-1,0),"&lt;&gt;"""))),M21/((COUNTIF($D$4:OFFSET($D$4,$AQ$2-1,0),"&lt;&gt;"""))-1)))</f>
        <v>103.25</v>
      </c>
      <c r="N22" s="267">
        <f ca="1">IF(COUNTIF(N4:N20,"&gt;0")&gt;0,SUM(N4:N20)/COUNTIF(N4:N20,"&gt;0"),"")</f>
        <v>5.6</v>
      </c>
      <c r="O22" s="265">
        <f ca="1">IF($AQ$2=0,"",O21/(COUNTIF($D$4:OFFSET($D$4,$AQ$2-1,0),"&lt;&gt;""")))</f>
        <v>9.4</v>
      </c>
      <c r="P22" s="266">
        <f ca="1">IF($AQ$2=0,"",IF($AQ$2=1,P21/((COUNTIF($D$4:OFFSET($D$4,$AQ$2-1,0),"&lt;&gt;"""))),P21/((COUNTIF($D$4:OFFSET($D$4,$AQ$2-1,0),"&lt;&gt;"""))-1)))</f>
        <v>98.5</v>
      </c>
      <c r="Q22" s="267">
        <f ca="1">IF(COUNTIF(Q4:Q20,"&gt;0")&gt;0,SUM(Q4:Q20)/COUNTIF(Q4:Q20,"&gt;0"),"")</f>
        <v>9.6</v>
      </c>
      <c r="R22" s="265">
        <f ca="1">IF($AQ$2=0,"",R21/(COUNTIF($D$4:OFFSET($D$4,$AQ$2-1,0),"&lt;&gt;""")))</f>
        <v>9.4</v>
      </c>
      <c r="S22" s="266">
        <f ca="1">IF($AQ$2=0,"",IF($AQ$2=1,S21/((COUNTIF($D$4:OFFSET($D$4,$AQ$2-1,0),"&lt;&gt;"""))),S21/((COUNTIF($D$4:OFFSET($D$4,$AQ$2-1,0),"&lt;&gt;"""))-1)))</f>
        <v>92.25</v>
      </c>
      <c r="T22" s="267">
        <f ca="1">IF(COUNTIF(T4:T20,"&gt;0")&gt;0,SUM(T4:T20)/COUNTIF(T4:T20,"&gt;0"),"")</f>
        <v>7.75</v>
      </c>
      <c r="U22" s="265">
        <f ca="1">IF($AQ$2=0,"",U21/(COUNTIF($D$4:OFFSET($D$4,$AQ$2-1,0),"&lt;&gt;""")))</f>
        <v>7.4</v>
      </c>
      <c r="V22" s="266">
        <f ca="1">IF($AQ$2=0,"",IF($AQ$2=1,V21/((COUNTIF($D$4:OFFSET($D$4,$AQ$2-1,0),"&lt;&gt;"""))),V21/((COUNTIF($D$4:OFFSET($D$4,$AQ$2-1,0),"&lt;&gt;"""))-1)))</f>
        <v>89</v>
      </c>
      <c r="W22" s="267">
        <f ca="1">IF(COUNTIF(W4:W20,"&gt;0")&gt;0,SUM(W4:W20)/COUNTIF(W4:W20,"&gt;0"),"")</f>
        <v>5.2</v>
      </c>
      <c r="X22" s="265">
        <f ca="1">IF($AQ$2=0,"",X21/(COUNTIF($D$4:OFFSET($D$4,$AQ$2-1,0),"&lt;&gt;""")))</f>
        <v>10.8</v>
      </c>
      <c r="Y22" s="266">
        <f ca="1">IF($AQ$2=0,"",IF($AQ$2=1,Y21/((COUNTIF($D$4:OFFSET($D$4,$AQ$2-1,0),"&lt;&gt;"""))),Y21/((COUNTIF($D$4:OFFSET($D$4,$AQ$2-1,0),"&lt;&gt;"""))-1)))</f>
        <v>101.75</v>
      </c>
      <c r="Z22" s="267">
        <f ca="1">IF(COUNTIF(Z4:Z20,"&gt;0")&gt;0,SUM(Z4:Z20)/COUNTIF(Z4:Z20,"&gt;0"),"")</f>
        <v>7.4</v>
      </c>
      <c r="AA22" s="265">
        <f ca="1">IF($AQ$2=0,"",AA21/(COUNTIF($D$4:OFFSET($D$4,$AQ$2-1,0),"&lt;&gt;""")))</f>
        <v>10</v>
      </c>
      <c r="AB22" s="266">
        <f ca="1">IF($AQ$2=0,"",IF($AQ$2=1,AB21/((COUNTIF($D$4:OFFSET($D$4,$AQ$2-1,0),"&lt;&gt;"""))),AB21/((COUNTIF($D$4:OFFSET($D$4,$AQ$2-1,0),"&lt;&gt;"""))-1)))</f>
        <v>98.75</v>
      </c>
      <c r="AC22" s="267">
        <f ca="1">IF(COUNTIF(AC4:AC20,"&gt;0")&gt;0,SUM(AC4:AC20)/COUNTIF(AC4:AC20,"&gt;0"),"")</f>
        <v>4</v>
      </c>
      <c r="AD22" s="265">
        <f ca="1">IF($AQ$2=0,"",AD21/(COUNTIF($D$4:OFFSET($D$4,$AQ$2-1,0),"&lt;&gt;""")))</f>
        <v>10.4</v>
      </c>
      <c r="AE22" s="266">
        <f ca="1">IF($AQ$2=0,"",IF($AQ$2=1,AE21/((COUNTIF($D$4:OFFSET($D$4,$AQ$2-1,0),"&lt;&gt;"""))),AE21/((COUNTIF($D$4:OFFSET($D$4,$AQ$2-1,0),"&lt;&gt;"""))-1)))</f>
        <v>103.75</v>
      </c>
      <c r="AF22" s="267">
        <f ca="1">IF(COUNTIF(AF4:AF20,"&gt;0")&gt;0,SUM(AF4:AF20)/COUNTIF(AF4:AF20,"&gt;0"),"")</f>
        <v>5.2</v>
      </c>
      <c r="AG22" s="265">
        <f ca="1">IF($AQ$2=0,"",AG21/(COUNTIF($D$4:OFFSET($D$4,$AQ$2-1,0),"&lt;&gt;""")))</f>
        <v>11.2</v>
      </c>
      <c r="AH22" s="266">
        <f ca="1">IF($AQ$2=0,"",IF($AQ$2=1,AH21/((COUNTIF($D$4:OFFSET($D$4,$AQ$2-1,0),"&lt;&gt;"""))),AH21/((COUNTIF($D$4:OFFSET($D$4,$AQ$2-1,0),"&lt;&gt;"""))-1)))</f>
        <v>104.5</v>
      </c>
      <c r="AI22" s="267">
        <f ca="1">IF(COUNTIF(AI4:AI20,"&gt;0")&gt;0,SUM(AI4:AI20)/COUNTIF(AI4:AI20,"&gt;0"),"")</f>
        <v>7.4</v>
      </c>
      <c r="AJ22" s="265">
        <f ca="1">IF($AQ$2=0,"",AJ21/(COUNTIF($D$4:OFFSET($D$4,$AQ$2-1,0),"&lt;&gt;""")))</f>
        <v>10</v>
      </c>
      <c r="AK22" s="266">
        <f ca="1">IF($AQ$2=0,"",IF($AQ$2=1,AK21/((COUNTIF($D$4:OFFSET($D$4,$AQ$2-1,0),"&lt;&gt;"""))),AK21/((COUNTIF($D$4:OFFSET($D$4,$AQ$2-1,0),"&lt;&gt;"""))-1)))</f>
        <v>97.5</v>
      </c>
      <c r="AL22" s="267">
        <f ca="1">IF(COUNTIF(AL4:AL20,"&gt;0")&gt;0,SUM(AL4:AL20)/COUNTIF(AL4:AL20,"&gt;0"),"")</f>
        <v>6.6</v>
      </c>
      <c r="AM22" s="265">
        <f ca="1">IF($AQ$2=0,"",AM21/(COUNTIF($D$4:OFFSET($D$4,$AQ$2-1,0),"&lt;&gt;""")))</f>
        <v>9.8000000000000007</v>
      </c>
      <c r="AN22" s="268">
        <f ca="1">IF($AQ$2=0,"",IF($AQ$2=1,AN21/((COUNTIF($D$4:OFFSET($D$4,$AQ$2-1,0),"&lt;&gt;"""))),AN21/((COUNTIF($D$4:OFFSET($D$4,$AQ$2-1,0),"&lt;&gt;"""))-1)))</f>
        <v>102.5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 t="str">
        <f ca="1">IF(COUNTIF(Q4:Q20,"=1")&gt;0,COUNTIF(Q4:Q20,"=1"),"")</f>
        <v/>
      </c>
      <c r="R23" s="275"/>
      <c r="S23" s="276"/>
      <c r="T23" s="277" t="str">
        <f ca="1">IF(COUNTIF(T4:T20,"=1")&gt;0,COUNTIF(T4:T20,"=1"),"")</f>
        <v/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 t="str">
        <f ca="1">IF(COUNTIF(AC4:AC20,"=1")&gt;0,COUNTIF(AC4:AC20,"=1"),"")</f>
        <v/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1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 t="str">
        <f ca="1">IF(COUNTIF(K4:K20,"=2")&gt;0,COUNTIF(K4:K20,"=2"),"")</f>
        <v/>
      </c>
      <c r="L24" s="282"/>
      <c r="M24" s="283"/>
      <c r="N24" s="284">
        <f ca="1">IF(COUNTIF(N4:N20,"=2")&gt;0,COUNTIF(N4:N20,"=2"),"")</f>
        <v>1</v>
      </c>
      <c r="O24" s="282"/>
      <c r="P24" s="283"/>
      <c r="Q24" s="284" t="str">
        <f ca="1">IF(COUNTIF(Q4:Q20,"=2")&gt;0,COUNTIF(Q4:Q20,"=2"),"")</f>
        <v/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>
        <f ca="1">IF(COUNTIF(Z4:Z20,"=2")&gt;0,COUNTIF(Z4:Z20,"=2"),"")</f>
        <v>1</v>
      </c>
      <c r="AA24" s="282"/>
      <c r="AB24" s="283"/>
      <c r="AC24" s="284">
        <f ca="1">IF(COUNTIF(AC4:AC20,"=2")&gt;0,COUNTIF(AC4:AC20,"=2"),"")</f>
        <v>1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 t="str">
        <f ca="1">IF(COUNTIF(E4:E20,"=3")&gt;0,COUNTIF(E4:E20,"=3"),"")</f>
        <v/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2</v>
      </c>
      <c r="L25" s="282"/>
      <c r="M25" s="283"/>
      <c r="N25" s="284" t="str">
        <f ca="1">IF(COUNTIF(N4:N20,"=3")&gt;0,COUNTIF(N4:N20,"=3"),"")</f>
        <v/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 t="str">
        <f ca="1">IF(COUNTIF(W4:W20,"=3")&gt;0,COUNTIF(W4:W20,"=3"),"")</f>
        <v/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>
        <f ca="1">IF(COUNTIF(AF4:AF20,"=3")&gt;0,COUNTIF(AF4:AF20,"=3"),"")</f>
        <v>1</v>
      </c>
      <c r="AG25" s="282"/>
      <c r="AH25" s="283"/>
      <c r="AI25" s="284" t="str">
        <f ca="1">IF(COUNTIF(AI4:AI20,"=3")&gt;0,COUNTIF(AI4:AI20,"=3"),"")</f>
        <v/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 t="str">
        <f ca="1">IF(SUM(BN4:BN20)=0,"",SUM(BN4:BN20))</f>
        <v/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1</v>
      </c>
      <c r="R26" s="282"/>
      <c r="S26" s="283"/>
      <c r="T26" s="284" t="str">
        <f ca="1">IF(SUM(BZ4:BZ20)=0,"",SUM(BZ4:BZ20))</f>
        <v/>
      </c>
      <c r="U26" s="282"/>
      <c r="V26" s="283"/>
      <c r="W26" s="284">
        <f ca="1">IF(SUM(CC4:CC20)=0,"",SUM(CC4:CC20))</f>
        <v>1</v>
      </c>
      <c r="X26" s="282"/>
      <c r="Y26" s="283"/>
      <c r="Z26" s="284" t="str">
        <f ca="1">IF(SUM(CF4:CF20)=0,"",SUM(CF4:CF20))</f>
        <v/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1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1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 t="str">
        <f ca="1">IF($AQ$2=0,"",IF(COUNTIF(AF4:OFFSET(AF4,$AQ$2-1,0),"")&gt;0,COUNTIF(AF4:OFFSET(AF4,$AQ$2-1,0),""),""))</f>
        <v/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si="25">F8</f>
        <v>9</v>
      </c>
      <c r="BM28" s="4"/>
      <c r="BN28" s="4"/>
      <c r="BO28" s="4">
        <f t="shared" ref="BO28:BO41" si="26">I8</f>
        <v>9</v>
      </c>
      <c r="BP28" s="4"/>
      <c r="BQ28" s="4"/>
      <c r="BR28" s="4">
        <f t="shared" ref="BR28:BR41" si="27">L8</f>
        <v>9</v>
      </c>
      <c r="BS28" s="4"/>
      <c r="BT28" s="4"/>
      <c r="BU28" s="4">
        <f t="shared" ref="BU28:BU41" si="28">O8</f>
        <v>9</v>
      </c>
      <c r="BV28" s="4"/>
      <c r="BW28" s="4"/>
      <c r="BX28" s="4">
        <f t="shared" ref="BX28:BX41" si="29">R8</f>
        <v>8</v>
      </c>
      <c r="BY28" s="4"/>
      <c r="BZ28" s="4"/>
      <c r="CA28" s="4">
        <f t="shared" ref="CA28:CA41" si="30">U8</f>
        <v>7</v>
      </c>
      <c r="CB28" s="4"/>
      <c r="CC28" s="4"/>
      <c r="CD28" s="4">
        <f t="shared" ref="CD28:CD41" si="31">X8</f>
        <v>11</v>
      </c>
      <c r="CE28" s="4"/>
      <c r="CF28" s="4"/>
      <c r="CG28" s="4">
        <f t="shared" ref="CG28:CG41" si="32">AA8</f>
        <v>10</v>
      </c>
      <c r="CH28" s="4"/>
      <c r="CI28" s="4"/>
      <c r="CJ28" s="4">
        <f t="shared" ref="CJ28:CJ41" si="33">AD8</f>
        <v>9</v>
      </c>
      <c r="CK28" s="4"/>
      <c r="CL28" s="4"/>
      <c r="CM28" s="4">
        <f t="shared" ref="CM28:CM41" si="34">AG8</f>
        <v>10</v>
      </c>
      <c r="CN28" s="4"/>
      <c r="CO28" s="4"/>
      <c r="CP28" s="4">
        <f t="shared" ref="CP28:CP41" si="35">AJ8</f>
        <v>8</v>
      </c>
      <c r="CQ28" s="4"/>
      <c r="CR28" s="4"/>
      <c r="CS28" s="4">
        <f t="shared" ref="CS28:CS41" si="36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8" t="str">
        <f>CONCATENATE($AR$13," Results")</f>
        <v>2020 Football Pool Results</v>
      </c>
      <c r="AU29" s="389"/>
      <c r="AV29" s="389"/>
      <c r="AW29" s="389"/>
      <c r="AX29" s="389"/>
      <c r="AY29" s="389"/>
      <c r="AZ29" s="389"/>
      <c r="BA29" s="389"/>
      <c r="BB29" s="389"/>
      <c r="BC29" s="389"/>
      <c r="BD29" s="389"/>
      <c r="BE29" s="389"/>
      <c r="BF29" s="389"/>
      <c r="BG29" s="389"/>
      <c r="BH29" s="389"/>
      <c r="BI29" s="390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5" t="s">
        <v>13</v>
      </c>
      <c r="AU30" s="398" t="s">
        <v>78</v>
      </c>
      <c r="AV30" s="401" t="s">
        <v>79</v>
      </c>
      <c r="AW30" s="402"/>
      <c r="AX30" s="402"/>
      <c r="AY30" s="402"/>
      <c r="AZ30" s="402"/>
      <c r="BA30" s="402"/>
      <c r="BB30" s="403"/>
      <c r="BC30" s="402" t="s">
        <v>80</v>
      </c>
      <c r="BD30" s="402"/>
      <c r="BE30" s="402"/>
      <c r="BF30" s="402"/>
      <c r="BG30" s="402"/>
      <c r="BH30" s="402"/>
      <c r="BI30" s="403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6"/>
      <c r="AU31" s="399"/>
      <c r="AV31" s="404" t="str">
        <f>CONCATENATE("Cost to Play ($",$AO$3," per week)")</f>
        <v>Cost to Play ($3 per week)</v>
      </c>
      <c r="AW31" s="406" t="s">
        <v>65</v>
      </c>
      <c r="AX31" s="406" t="s">
        <v>71</v>
      </c>
      <c r="AY31" s="406" t="s">
        <v>66</v>
      </c>
      <c r="AZ31" s="406"/>
      <c r="BA31" s="406" t="s">
        <v>67</v>
      </c>
      <c r="BB31" s="408"/>
      <c r="BC31" s="410" t="s">
        <v>68</v>
      </c>
      <c r="BD31" s="406" t="s">
        <v>65</v>
      </c>
      <c r="BE31" s="406"/>
      <c r="BF31" s="406" t="s">
        <v>69</v>
      </c>
      <c r="BG31" s="406"/>
      <c r="BH31" s="406" t="s">
        <v>70</v>
      </c>
      <c r="BI31" s="408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7"/>
      <c r="AU32" s="400"/>
      <c r="AV32" s="405"/>
      <c r="AW32" s="407"/>
      <c r="AX32" s="407"/>
      <c r="AY32" s="407"/>
      <c r="AZ32" s="407"/>
      <c r="BA32" s="407"/>
      <c r="BB32" s="409"/>
      <c r="BC32" s="411"/>
      <c r="BD32" s="407"/>
      <c r="BE32" s="407"/>
      <c r="BF32" s="407"/>
      <c r="BG32" s="407"/>
      <c r="BH32" s="407"/>
      <c r="BI32" s="409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$W$2</f>
        <v>JH</v>
      </c>
      <c r="AU33" s="293">
        <f t="shared" ref="AU33:AU44" ca="1" si="37">SUM(AV33,AX33,AZ33,BB33,BC33,BE33,BG33,BI33)</f>
        <v>47</v>
      </c>
      <c r="AV33" s="294">
        <f t="shared" ref="AV33:AV44" si="38">$AQ$2*-$AO$3</f>
        <v>-15</v>
      </c>
      <c r="AW33" s="295">
        <f ca="1">IF($W$23&gt;0,$W$23,"")</f>
        <v>2</v>
      </c>
      <c r="AX33" s="296">
        <f t="shared" ref="AX33:AX44" ca="1" si="39">IF(AW33="","",AW33*$AO$6)</f>
        <v>62</v>
      </c>
      <c r="AY33" s="297" t="str">
        <f ca="1">IF($W$21=1,"✓","")</f>
        <v/>
      </c>
      <c r="AZ33" s="296" t="str">
        <f t="shared" ref="AZ33:AZ44" ca="1" si="40">IF(AY33="✓",IF(COUNTIF($AY$33:$AY$44,"✓")&gt;1,(($AO$4+$AO$5)*$AQ$2/COUNTIF($AY$33:$AY$44,"✓")),$AO$4*$AQ$2),"")</f>
        <v/>
      </c>
      <c r="BA33" s="298" t="str">
        <f ca="1">IF($W$21=2,"✓","")</f>
        <v/>
      </c>
      <c r="BB33" s="299" t="str">
        <f t="shared" ref="BB33:BB44" ca="1" si="41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$E$2</f>
        <v>BM</v>
      </c>
      <c r="AU34" s="301">
        <f t="shared" ca="1" si="37"/>
        <v>16</v>
      </c>
      <c r="AV34" s="302">
        <f t="shared" si="38"/>
        <v>-15</v>
      </c>
      <c r="AW34" s="303">
        <f ca="1">IF($E$23&gt;0,$E$23,"")</f>
        <v>1</v>
      </c>
      <c r="AX34" s="304">
        <f t="shared" ca="1" si="39"/>
        <v>31</v>
      </c>
      <c r="AY34" s="305" t="str">
        <f ca="1">IF($E$21=1,"✓","")</f>
        <v/>
      </c>
      <c r="AZ34" s="304" t="str">
        <f t="shared" ca="1" si="40"/>
        <v/>
      </c>
      <c r="BA34" s="306" t="str">
        <f ca="1">IF($E$21=2,"✓","")</f>
        <v/>
      </c>
      <c r="BB34" s="307" t="str">
        <f t="shared" ca="1" si="41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$H$2</f>
        <v>CK</v>
      </c>
      <c r="AU35" s="301">
        <f t="shared" ca="1" si="37"/>
        <v>16</v>
      </c>
      <c r="AV35" s="302">
        <f t="shared" si="38"/>
        <v>-15</v>
      </c>
      <c r="AW35" s="303">
        <f ca="1">IF($H$23&gt;0,$H$23,"")</f>
        <v>1</v>
      </c>
      <c r="AX35" s="304">
        <f t="shared" ca="1" si="39"/>
        <v>31</v>
      </c>
      <c r="AY35" s="305" t="str">
        <f ca="1">IF($H$21=1,"✓","")</f>
        <v/>
      </c>
      <c r="AZ35" s="304" t="str">
        <f t="shared" ca="1" si="40"/>
        <v/>
      </c>
      <c r="BA35" s="306" t="str">
        <f ca="1">IF($H$21=2,"✓","")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$AL$2</f>
        <v>RR</v>
      </c>
      <c r="AU36" s="301">
        <f t="shared" ca="1" si="37"/>
        <v>16</v>
      </c>
      <c r="AV36" s="302">
        <f t="shared" si="38"/>
        <v>-15</v>
      </c>
      <c r="AW36" s="303">
        <f ca="1">IF($AL$23&gt;0,$AL$23,"")</f>
        <v>1</v>
      </c>
      <c r="AX36" s="304">
        <f t="shared" ca="1" si="39"/>
        <v>31</v>
      </c>
      <c r="AY36" s="305" t="str">
        <f ca="1">IF($AL$21=1,"✓","")</f>
        <v/>
      </c>
      <c r="AZ36" s="304" t="str">
        <f t="shared" ca="1" si="40"/>
        <v/>
      </c>
      <c r="BA36" s="306" t="str">
        <f ca="1">IF($AL$21=2,"✓","")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$AF$2</f>
        <v>KK</v>
      </c>
      <c r="AU37" s="301">
        <f t="shared" ca="1" si="37"/>
        <v>0</v>
      </c>
      <c r="AV37" s="302">
        <f t="shared" si="38"/>
        <v>-15</v>
      </c>
      <c r="AW37" s="303" t="str">
        <f ca="1">IF($AF$23&gt;0,$AF$23,"")</f>
        <v/>
      </c>
      <c r="AX37" s="304" t="str">
        <f t="shared" ca="1" si="39"/>
        <v/>
      </c>
      <c r="AY37" s="305" t="str">
        <f ca="1">IF($AF$21=1,"✓","")</f>
        <v>✓</v>
      </c>
      <c r="AZ37" s="304">
        <f t="shared" ca="1" si="40"/>
        <v>15</v>
      </c>
      <c r="BA37" s="306" t="str">
        <f ca="1">IF($AF$21=2,"✓","")</f>
        <v/>
      </c>
      <c r="BB37" s="307" t="str">
        <f t="shared" ca="1" si="41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$AC$2</f>
        <v>KC</v>
      </c>
      <c r="AU38" s="301">
        <f t="shared" ca="1" si="37"/>
        <v>-5</v>
      </c>
      <c r="AV38" s="302">
        <f t="shared" si="38"/>
        <v>-15</v>
      </c>
      <c r="AW38" s="303" t="str">
        <f ca="1">IF($AC$23&gt;0,$AC$23,"")</f>
        <v/>
      </c>
      <c r="AX38" s="304" t="str">
        <f t="shared" ca="1" si="39"/>
        <v/>
      </c>
      <c r="AY38" s="305" t="str">
        <f ca="1">IF($AC$21=1,"✓","")</f>
        <v/>
      </c>
      <c r="AZ38" s="304" t="str">
        <f t="shared" ca="1" si="40"/>
        <v/>
      </c>
      <c r="BA38" s="306" t="str">
        <f ca="1">IF($AC$21=2,"✓","")</f>
        <v>✓</v>
      </c>
      <c r="BB38" s="307">
        <f t="shared" ca="1" si="41"/>
        <v>10</v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$K$2</f>
        <v>CP</v>
      </c>
      <c r="AU39" s="301">
        <f t="shared" ca="1" si="37"/>
        <v>-15</v>
      </c>
      <c r="AV39" s="302">
        <f t="shared" si="38"/>
        <v>-15</v>
      </c>
      <c r="AW39" s="303" t="str">
        <f ca="1">IF($K$23&gt;0,$K$23,"")</f>
        <v/>
      </c>
      <c r="AX39" s="304" t="str">
        <f t="shared" ca="1" si="39"/>
        <v/>
      </c>
      <c r="AY39" s="305" t="str">
        <f ca="1">IF($K$21=1,"✓","")</f>
        <v/>
      </c>
      <c r="AZ39" s="304" t="str">
        <f t="shared" ca="1" si="40"/>
        <v/>
      </c>
      <c r="BA39" s="306" t="str">
        <f ca="1">IF($K$21=2,"✓","")</f>
        <v/>
      </c>
      <c r="BB39" s="307" t="str">
        <f t="shared" ca="1" si="41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$N$2</f>
        <v>DC</v>
      </c>
      <c r="AU40" s="301">
        <f t="shared" ca="1" si="37"/>
        <v>-15</v>
      </c>
      <c r="AV40" s="302">
        <f t="shared" si="38"/>
        <v>-15</v>
      </c>
      <c r="AW40" s="303" t="str">
        <f ca="1">IF($N$23&gt;0,$N$23,"")</f>
        <v/>
      </c>
      <c r="AX40" s="304" t="str">
        <f t="shared" ca="1" si="39"/>
        <v/>
      </c>
      <c r="AY40" s="305" t="str">
        <f ca="1">IF($N$21=1,"✓","")</f>
        <v/>
      </c>
      <c r="AZ40" s="304" t="str">
        <f t="shared" ca="1" si="40"/>
        <v/>
      </c>
      <c r="BA40" s="306" t="str">
        <f ca="1">IF($N$21=2,"✓","")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$Q$2</f>
        <v>DH</v>
      </c>
      <c r="AU41" s="301">
        <f t="shared" ca="1" si="37"/>
        <v>-15</v>
      </c>
      <c r="AV41" s="302">
        <f t="shared" si="38"/>
        <v>-15</v>
      </c>
      <c r="AW41" s="303" t="str">
        <f ca="1">IF($Q$23&gt;0,$Q$23,"")</f>
        <v/>
      </c>
      <c r="AX41" s="304" t="str">
        <f t="shared" ca="1" si="39"/>
        <v/>
      </c>
      <c r="AY41" s="305" t="str">
        <f ca="1">IF($Q$21=1,"✓","")</f>
        <v/>
      </c>
      <c r="AZ41" s="304" t="str">
        <f t="shared" ca="1" si="40"/>
        <v/>
      </c>
      <c r="BA41" s="306" t="str">
        <f ca="1">IF($Q$21=2,"✓","")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50</v>
      </c>
      <c r="BM41" s="4"/>
      <c r="BN41" s="4"/>
      <c r="BO41" s="4">
        <f t="shared" si="26"/>
        <v>36</v>
      </c>
      <c r="BP41" s="4"/>
      <c r="BQ41" s="4"/>
      <c r="BR41" s="4">
        <f t="shared" si="27"/>
        <v>52</v>
      </c>
      <c r="BS41" s="4"/>
      <c r="BT41" s="4"/>
      <c r="BU41" s="4">
        <f t="shared" si="28"/>
        <v>47</v>
      </c>
      <c r="BV41" s="4"/>
      <c r="BW41" s="4"/>
      <c r="BX41" s="4">
        <f t="shared" si="29"/>
        <v>47</v>
      </c>
      <c r="BY41" s="4"/>
      <c r="BZ41" s="4"/>
      <c r="CA41" s="4">
        <f t="shared" si="30"/>
        <v>37</v>
      </c>
      <c r="CB41" s="4"/>
      <c r="CC41" s="4"/>
      <c r="CD41" s="4">
        <f t="shared" si="31"/>
        <v>54</v>
      </c>
      <c r="CE41" s="4"/>
      <c r="CF41" s="4"/>
      <c r="CG41" s="4">
        <f t="shared" si="32"/>
        <v>50</v>
      </c>
      <c r="CH41" s="4"/>
      <c r="CI41" s="4"/>
      <c r="CJ41" s="4">
        <f t="shared" si="33"/>
        <v>52</v>
      </c>
      <c r="CK41" s="4"/>
      <c r="CL41" s="4"/>
      <c r="CM41" s="4">
        <f t="shared" si="34"/>
        <v>56</v>
      </c>
      <c r="CN41" s="4"/>
      <c r="CO41" s="4"/>
      <c r="CP41" s="4">
        <f t="shared" si="35"/>
        <v>50</v>
      </c>
      <c r="CQ41" s="4"/>
      <c r="CR41" s="4"/>
      <c r="CS41" s="4">
        <f t="shared" si="36"/>
        <v>49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$T$2</f>
        <v>JG</v>
      </c>
      <c r="AU42" s="301">
        <f t="shared" ca="1" si="37"/>
        <v>-15</v>
      </c>
      <c r="AV42" s="302">
        <f t="shared" si="38"/>
        <v>-15</v>
      </c>
      <c r="AW42" s="303" t="str">
        <f ca="1">IF($T$23&gt;0,$T$23,"")</f>
        <v/>
      </c>
      <c r="AX42" s="304" t="str">
        <f t="shared" ca="1" si="39"/>
        <v/>
      </c>
      <c r="AY42" s="305" t="str">
        <f ca="1">IF($T$21=1,"✓","")</f>
        <v/>
      </c>
      <c r="AZ42" s="304" t="str">
        <f t="shared" ca="1" si="40"/>
        <v/>
      </c>
      <c r="BA42" s="306" t="str">
        <f ca="1">IF($T$21=2,"✓","")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5.4</v>
      </c>
      <c r="BL42" s="51"/>
      <c r="BM42" s="51"/>
      <c r="BN42" s="51">
        <f ca="1">H22</f>
        <v>5</v>
      </c>
      <c r="BO42" s="51"/>
      <c r="BP42" s="51"/>
      <c r="BQ42" s="51">
        <f ca="1">K22</f>
        <v>4.5999999999999996</v>
      </c>
      <c r="BR42" s="51"/>
      <c r="BS42" s="51"/>
      <c r="BT42" s="51">
        <f ca="1">N22</f>
        <v>5.6</v>
      </c>
      <c r="BU42" s="51"/>
      <c r="BV42" s="51"/>
      <c r="BW42" s="51">
        <f ca="1">Q22</f>
        <v>9.6</v>
      </c>
      <c r="BX42" s="51"/>
      <c r="BY42" s="51"/>
      <c r="BZ42" s="51">
        <f ca="1">T22</f>
        <v>7.75</v>
      </c>
      <c r="CA42" s="51"/>
      <c r="CB42" s="51"/>
      <c r="CC42" s="51">
        <f ca="1">W22</f>
        <v>5.2</v>
      </c>
      <c r="CD42" s="51"/>
      <c r="CE42" s="51"/>
      <c r="CF42" s="51">
        <f ca="1">Z22</f>
        <v>7.4</v>
      </c>
      <c r="CG42" s="51"/>
      <c r="CH42" s="51"/>
      <c r="CI42" s="51">
        <f ca="1">AC22</f>
        <v>4</v>
      </c>
      <c r="CJ42" s="51"/>
      <c r="CK42" s="51"/>
      <c r="CL42" s="51">
        <f ca="1">AF22</f>
        <v>5.2</v>
      </c>
      <c r="CM42" s="51"/>
      <c r="CN42" s="51"/>
      <c r="CO42" s="51">
        <f ca="1">AI22</f>
        <v>7.4</v>
      </c>
      <c r="CP42" s="51"/>
      <c r="CQ42" s="51"/>
      <c r="CR42" s="51">
        <f ca="1">AL22</f>
        <v>6.6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$Z$2</f>
        <v>JL</v>
      </c>
      <c r="AU43" s="301">
        <f t="shared" ca="1" si="37"/>
        <v>-15</v>
      </c>
      <c r="AV43" s="302">
        <f t="shared" si="38"/>
        <v>-15</v>
      </c>
      <c r="AW43" s="303" t="str">
        <f ca="1">IF($Z$23&gt;0,$Z$23,"")</f>
        <v/>
      </c>
      <c r="AX43" s="304" t="str">
        <f t="shared" ca="1" si="39"/>
        <v/>
      </c>
      <c r="AY43" s="305" t="str">
        <f ca="1">IF($Z$21=1,"✓","")</f>
        <v/>
      </c>
      <c r="AZ43" s="304" t="str">
        <f t="shared" ca="1" si="40"/>
        <v/>
      </c>
      <c r="BA43" s="306" t="str">
        <f ca="1">IF($Z$21=2,"✓","")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69" t="str">
        <f>$AI$2</f>
        <v>MB</v>
      </c>
      <c r="AU44" s="309">
        <f t="shared" ca="1" si="37"/>
        <v>-15</v>
      </c>
      <c r="AV44" s="310">
        <f t="shared" si="38"/>
        <v>-15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[];</v>
      </c>
    </row>
    <row r="177" spans="100:100" x14ac:dyDescent="0.2">
      <c r="CV177" s="325" t="str">
        <f ca="1">'Week 7'!BY5</f>
        <v xml:space="preserve">   var w7_p2_picks         = [];</v>
      </c>
    </row>
    <row r="178" spans="100:100" x14ac:dyDescent="0.2">
      <c r="CV178" s="325" t="str">
        <f ca="1">'Week 7'!BY6</f>
        <v xml:space="preserve">   var w7_p3_picks         = [];</v>
      </c>
    </row>
    <row r="179" spans="100:100" x14ac:dyDescent="0.2">
      <c r="CV179" s="325" t="str">
        <f ca="1">'Week 7'!BY7</f>
        <v xml:space="preserve">   var w7_p4_picks         = [];</v>
      </c>
    </row>
    <row r="180" spans="100:100" x14ac:dyDescent="0.2">
      <c r="CV180" s="325" t="str">
        <f ca="1">'Week 7'!BY8</f>
        <v xml:space="preserve">   var w7_p5_picks         = [];</v>
      </c>
    </row>
    <row r="181" spans="100:100" x14ac:dyDescent="0.2">
      <c r="CV181" s="325" t="str">
        <f ca="1">'Week 7'!BY9</f>
        <v xml:space="preserve">   var w7_p6_picks         = [];</v>
      </c>
    </row>
    <row r="182" spans="100:100" x14ac:dyDescent="0.2">
      <c r="CV182" s="325" t="str">
        <f ca="1">'Week 7'!BY10</f>
        <v xml:space="preserve">   var w7_p7_picks         = [];</v>
      </c>
    </row>
    <row r="183" spans="100:100" x14ac:dyDescent="0.2">
      <c r="CV183" s="325" t="str">
        <f ca="1">'Week 7'!BY11</f>
        <v xml:space="preserve">   var w7_p8_picks         = [];</v>
      </c>
    </row>
    <row r="184" spans="100:100" x14ac:dyDescent="0.2">
      <c r="CV184" s="325" t="str">
        <f ca="1">'Week 7'!BY12</f>
        <v xml:space="preserve">   var w7_p9_picks         = [];</v>
      </c>
    </row>
    <row r="185" spans="100:100" x14ac:dyDescent="0.2">
      <c r="CV185" s="325" t="str">
        <f ca="1">'Week 7'!BY13</f>
        <v xml:space="preserve">   var w7_p10_picks        = [];</v>
      </c>
    </row>
    <row r="186" spans="100:100" x14ac:dyDescent="0.2">
      <c r="CV186" s="325" t="str">
        <f ca="1">'Week 7'!BY14</f>
        <v xml:space="preserve">   var w7_p11_picks        = [];</v>
      </c>
    </row>
    <row r="187" spans="100:100" x14ac:dyDescent="0.2">
      <c r="CV187" s="325" t="str">
        <f ca="1">'Week 7'!BY15</f>
        <v xml:space="preserve">   var w7_p12_picks        = [];</v>
      </c>
    </row>
    <row r="188" spans="100:100" x14ac:dyDescent="0.2">
      <c r="CV188" s="325" t="str">
        <f ca="1">'Week 7'!BY16</f>
        <v xml:space="preserve">   var w7_p1_weights       = [];</v>
      </c>
    </row>
    <row r="189" spans="100:100" x14ac:dyDescent="0.2">
      <c r="CV189" s="325" t="str">
        <f ca="1">'Week 7'!BY17</f>
        <v xml:space="preserve">   var w7_p2_weights       = [];</v>
      </c>
    </row>
    <row r="190" spans="100:100" x14ac:dyDescent="0.2">
      <c r="CV190" s="325" t="str">
        <f ca="1">'Week 7'!BY18</f>
        <v xml:space="preserve">   var w7_p3_weights       = [];</v>
      </c>
    </row>
    <row r="191" spans="100:100" x14ac:dyDescent="0.2">
      <c r="CV191" s="325" t="str">
        <f ca="1">'Week 7'!BY19</f>
        <v xml:space="preserve">   var w7_p4_weights       = [];</v>
      </c>
    </row>
    <row r="192" spans="100:100" x14ac:dyDescent="0.2">
      <c r="CV192" s="325" t="str">
        <f ca="1">'Week 7'!BY20</f>
        <v xml:space="preserve">   var w7_p5_weights       = [];</v>
      </c>
    </row>
    <row r="193" spans="100:100" x14ac:dyDescent="0.2">
      <c r="CV193" s="325" t="str">
        <f ca="1">'Week 7'!BY21</f>
        <v xml:space="preserve">   var w7_p6_weights       = [];</v>
      </c>
    </row>
    <row r="194" spans="100:100" x14ac:dyDescent="0.2">
      <c r="CV194" s="325" t="str">
        <f ca="1">'Week 7'!BY22</f>
        <v xml:space="preserve">   var w7_p7_weights       = [];</v>
      </c>
    </row>
    <row r="195" spans="100:100" x14ac:dyDescent="0.2">
      <c r="CV195" s="325" t="str">
        <f ca="1">'Week 7'!BY23</f>
        <v xml:space="preserve">   var w7_p8_weights       = [];</v>
      </c>
    </row>
    <row r="196" spans="100:100" x14ac:dyDescent="0.2">
      <c r="CV196" s="325" t="str">
        <f ca="1">'Week 7'!BY24</f>
        <v xml:space="preserve">   var w7_p9_weights       = [];</v>
      </c>
    </row>
    <row r="197" spans="100:100" x14ac:dyDescent="0.2">
      <c r="CV197" s="325" t="str">
        <f ca="1">'Week 7'!BY25</f>
        <v xml:space="preserve">   var w7_p10_weights      = [];</v>
      </c>
    </row>
    <row r="198" spans="100:100" x14ac:dyDescent="0.2">
      <c r="CV198" s="325" t="str">
        <f ca="1">'Week 7'!BY26</f>
        <v xml:space="preserve">   var w7_p11_weights      = [];</v>
      </c>
    </row>
    <row r="199" spans="100:100" x14ac:dyDescent="0.2">
      <c r="CV199" s="325" t="str">
        <f ca="1">'Week 7'!BY27</f>
        <v xml:space="preserve">   var w7_p12_weights      = [];</v>
      </c>
    </row>
    <row r="200" spans="100:100" x14ac:dyDescent="0.2">
      <c r="CV200" s="325" t="str">
        <f ca="1">'Week 7'!BY28</f>
        <v xml:space="preserve">   var w7_winners          = [];</v>
      </c>
    </row>
    <row r="201" spans="100:100" x14ac:dyDescent="0.2">
      <c r="CV201" s="325" t="str">
        <f ca="1">'Week 7'!BY29</f>
        <v xml:space="preserve">   var w7_mn_points        = ["","","","","","","","","","","",""];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[];</v>
      </c>
    </row>
    <row r="205" spans="100:100" x14ac:dyDescent="0.2">
      <c r="CV205" s="325" t="str">
        <f ca="1">'Week 8'!BY5</f>
        <v xml:space="preserve">   var w8_p2_picks         = [];</v>
      </c>
    </row>
    <row r="206" spans="100:100" x14ac:dyDescent="0.2">
      <c r="CV206" s="325" t="str">
        <f ca="1">'Week 8'!BY6</f>
        <v xml:space="preserve">   var w8_p3_picks         = [];</v>
      </c>
    </row>
    <row r="207" spans="100:100" x14ac:dyDescent="0.2">
      <c r="CV207" s="325" t="str">
        <f ca="1">'Week 8'!BY7</f>
        <v xml:space="preserve">   var w8_p4_picks         = [];</v>
      </c>
    </row>
    <row r="208" spans="100:100" x14ac:dyDescent="0.2">
      <c r="CV208" s="325" t="str">
        <f ca="1">'Week 8'!BY8</f>
        <v xml:space="preserve">   var w8_p5_picks         = [];</v>
      </c>
    </row>
    <row r="209" spans="100:100" x14ac:dyDescent="0.2">
      <c r="CV209" s="325" t="str">
        <f ca="1">'Week 8'!BY9</f>
        <v xml:space="preserve">   var w8_p6_picks         = [];</v>
      </c>
    </row>
    <row r="210" spans="100:100" x14ac:dyDescent="0.2">
      <c r="CV210" s="325" t="str">
        <f ca="1">'Week 8'!BY10</f>
        <v xml:space="preserve">   var w8_p7_picks         = [];</v>
      </c>
    </row>
    <row r="211" spans="100:100" x14ac:dyDescent="0.2">
      <c r="CV211" s="325" t="str">
        <f ca="1">'Week 8'!BY11</f>
        <v xml:space="preserve">   var w8_p8_picks         = [];</v>
      </c>
    </row>
    <row r="212" spans="100:100" x14ac:dyDescent="0.2">
      <c r="CV212" s="325" t="str">
        <f ca="1">'Week 8'!BY12</f>
        <v xml:space="preserve">   var w8_p9_picks         = [];</v>
      </c>
    </row>
    <row r="213" spans="100:100" x14ac:dyDescent="0.2">
      <c r="CV213" s="325" t="str">
        <f ca="1">'Week 8'!BY13</f>
        <v xml:space="preserve">   var w8_p10_picks        = [];</v>
      </c>
    </row>
    <row r="214" spans="100:100" x14ac:dyDescent="0.2">
      <c r="CV214" s="325" t="str">
        <f ca="1">'Week 8'!BY14</f>
        <v xml:space="preserve">   var w8_p11_picks        = [];</v>
      </c>
    </row>
    <row r="215" spans="100:100" x14ac:dyDescent="0.2">
      <c r="CV215" s="325" t="str">
        <f ca="1">'Week 8'!BY15</f>
        <v xml:space="preserve">   var w8_p12_picks        = [];</v>
      </c>
    </row>
    <row r="216" spans="100:100" x14ac:dyDescent="0.2">
      <c r="CV216" s="325" t="str">
        <f ca="1">'Week 8'!BY16</f>
        <v xml:space="preserve">   var w8_p1_weights       = [];</v>
      </c>
    </row>
    <row r="217" spans="100:100" x14ac:dyDescent="0.2">
      <c r="CV217" s="325" t="str">
        <f ca="1">'Week 8'!BY17</f>
        <v xml:space="preserve">   var w8_p2_weights       = [];</v>
      </c>
    </row>
    <row r="218" spans="100:100" x14ac:dyDescent="0.2">
      <c r="CV218" s="325" t="str">
        <f ca="1">'Week 8'!BY18</f>
        <v xml:space="preserve">   var w8_p3_weights       = [];</v>
      </c>
    </row>
    <row r="219" spans="100:100" x14ac:dyDescent="0.2">
      <c r="CV219" s="325" t="str">
        <f ca="1">'Week 8'!BY19</f>
        <v xml:space="preserve">   var w8_p4_weights       = [];</v>
      </c>
    </row>
    <row r="220" spans="100:100" x14ac:dyDescent="0.2">
      <c r="CV220" s="325" t="str">
        <f ca="1">'Week 8'!BY20</f>
        <v xml:space="preserve">   var w8_p5_weights       = [];</v>
      </c>
    </row>
    <row r="221" spans="100:100" x14ac:dyDescent="0.2">
      <c r="CV221" s="325" t="str">
        <f ca="1">'Week 8'!BY21</f>
        <v xml:space="preserve">   var w8_p6_weights       = [];</v>
      </c>
    </row>
    <row r="222" spans="100:100" x14ac:dyDescent="0.2">
      <c r="CV222" s="325" t="str">
        <f ca="1">'Week 8'!BY22</f>
        <v xml:space="preserve">   var w8_p7_weights       = [];</v>
      </c>
    </row>
    <row r="223" spans="100:100" x14ac:dyDescent="0.2">
      <c r="CV223" s="325" t="str">
        <f ca="1">'Week 8'!BY23</f>
        <v xml:space="preserve">   var w8_p8_weights       = [];</v>
      </c>
    </row>
    <row r="224" spans="100:100" x14ac:dyDescent="0.2">
      <c r="CV224" s="325" t="str">
        <f ca="1">'Week 8'!BY24</f>
        <v xml:space="preserve">   var w8_p9_weights       = [];</v>
      </c>
    </row>
    <row r="225" spans="100:100" x14ac:dyDescent="0.2">
      <c r="CV225" s="325" t="str">
        <f ca="1">'Week 8'!BY25</f>
        <v xml:space="preserve">   var w8_p10_weights      = [];</v>
      </c>
    </row>
    <row r="226" spans="100:100" x14ac:dyDescent="0.2">
      <c r="CV226" s="325" t="str">
        <f ca="1">'Week 8'!BY26</f>
        <v xml:space="preserve">   var w8_p11_weights      = [];</v>
      </c>
    </row>
    <row r="227" spans="100:100" x14ac:dyDescent="0.2">
      <c r="CV227" s="325" t="str">
        <f ca="1">'Week 8'!BY27</f>
        <v xml:space="preserve">   var w8_p12_weights      = [];</v>
      </c>
    </row>
    <row r="228" spans="100:100" x14ac:dyDescent="0.2">
      <c r="CV228" s="325" t="str">
        <f ca="1">'Week 8'!BY28</f>
        <v xml:space="preserve">   var w8_winners          = [];</v>
      </c>
    </row>
    <row r="229" spans="100:100" x14ac:dyDescent="0.2">
      <c r="CV229" s="325" t="str">
        <f ca="1">'Week 8'!BY29</f>
        <v xml:space="preserve">   var w8_mn_points        = ["","","","","","","","","","","",""];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[];</v>
      </c>
    </row>
    <row r="233" spans="100:100" x14ac:dyDescent="0.2">
      <c r="CV233" s="325" t="str">
        <f ca="1">'Week 9'!BY5</f>
        <v xml:space="preserve">   var w9_p2_picks         = [];</v>
      </c>
    </row>
    <row r="234" spans="100:100" x14ac:dyDescent="0.2">
      <c r="CV234" s="325" t="str">
        <f ca="1">'Week 9'!BY6</f>
        <v xml:space="preserve">   var w9_p3_picks         = [];</v>
      </c>
    </row>
    <row r="235" spans="100:100" x14ac:dyDescent="0.2">
      <c r="CV235" s="325" t="str">
        <f ca="1">'Week 9'!BY7</f>
        <v xml:space="preserve">   var w9_p4_picks         = [];</v>
      </c>
    </row>
    <row r="236" spans="100:100" x14ac:dyDescent="0.2">
      <c r="CV236" s="325" t="str">
        <f ca="1">'Week 9'!BY8</f>
        <v xml:space="preserve">   var w9_p5_picks         = [];</v>
      </c>
    </row>
    <row r="237" spans="100:100" x14ac:dyDescent="0.2">
      <c r="CV237" s="325" t="str">
        <f ca="1">'Week 9'!BY9</f>
        <v xml:space="preserve">   var w9_p6_picks         = [];</v>
      </c>
    </row>
    <row r="238" spans="100:100" x14ac:dyDescent="0.2">
      <c r="CV238" s="325" t="str">
        <f ca="1">'Week 9'!BY10</f>
        <v xml:space="preserve">   var w9_p7_picks         = [];</v>
      </c>
    </row>
    <row r="239" spans="100:100" x14ac:dyDescent="0.2">
      <c r="CV239" s="325" t="str">
        <f ca="1">'Week 9'!BY11</f>
        <v xml:space="preserve">   var w9_p8_picks         = [];</v>
      </c>
    </row>
    <row r="240" spans="100:100" x14ac:dyDescent="0.2">
      <c r="CV240" s="325" t="str">
        <f ca="1">'Week 9'!BY12</f>
        <v xml:space="preserve">   var w9_p9_picks         = [];</v>
      </c>
    </row>
    <row r="241" spans="100:100" x14ac:dyDescent="0.2">
      <c r="CV241" s="325" t="str">
        <f ca="1">'Week 9'!BY13</f>
        <v xml:space="preserve">   var w9_p10_picks        = [];</v>
      </c>
    </row>
    <row r="242" spans="100:100" x14ac:dyDescent="0.2">
      <c r="CV242" s="325" t="str">
        <f ca="1">'Week 9'!BY14</f>
        <v xml:space="preserve">   var w9_p11_picks        = [];</v>
      </c>
    </row>
    <row r="243" spans="100:100" x14ac:dyDescent="0.2">
      <c r="CV243" s="325" t="str">
        <f ca="1">'Week 9'!BY15</f>
        <v xml:space="preserve">   var w9_p12_picks        = [];</v>
      </c>
    </row>
    <row r="244" spans="100:100" x14ac:dyDescent="0.2">
      <c r="CV244" s="325" t="str">
        <f ca="1">'Week 9'!BY16</f>
        <v xml:space="preserve">   var w9_p1_weights       = [];</v>
      </c>
    </row>
    <row r="245" spans="100:100" x14ac:dyDescent="0.2">
      <c r="CV245" s="325" t="str">
        <f ca="1">'Week 9'!BY17</f>
        <v xml:space="preserve">   var w9_p2_weights       = [];</v>
      </c>
    </row>
    <row r="246" spans="100:100" x14ac:dyDescent="0.2">
      <c r="CV246" s="325" t="str">
        <f ca="1">'Week 9'!BY18</f>
        <v xml:space="preserve">   var w9_p3_weights       = [];</v>
      </c>
    </row>
    <row r="247" spans="100:100" x14ac:dyDescent="0.2">
      <c r="CV247" s="325" t="str">
        <f ca="1">'Week 9'!BY19</f>
        <v xml:space="preserve">   var w9_p4_weights       = [];</v>
      </c>
    </row>
    <row r="248" spans="100:100" x14ac:dyDescent="0.2">
      <c r="CV248" s="325" t="str">
        <f ca="1">'Week 9'!BY20</f>
        <v xml:space="preserve">   var w9_p5_weights       = [];</v>
      </c>
    </row>
    <row r="249" spans="100:100" x14ac:dyDescent="0.2">
      <c r="CV249" s="325" t="str">
        <f ca="1">'Week 9'!BY21</f>
        <v xml:space="preserve">   var w9_p6_weights       = [];</v>
      </c>
    </row>
    <row r="250" spans="100:100" x14ac:dyDescent="0.2">
      <c r="CV250" s="325" t="str">
        <f ca="1">'Week 9'!BY22</f>
        <v xml:space="preserve">   var w9_p7_weights       = [];</v>
      </c>
    </row>
    <row r="251" spans="100:100" x14ac:dyDescent="0.2">
      <c r="CV251" s="325" t="str">
        <f ca="1">'Week 9'!BY23</f>
        <v xml:space="preserve">   var w9_p8_weights       = [];</v>
      </c>
    </row>
    <row r="252" spans="100:100" x14ac:dyDescent="0.2">
      <c r="CV252" s="325" t="str">
        <f ca="1">'Week 9'!BY24</f>
        <v xml:space="preserve">   var w9_p9_weights       = [];</v>
      </c>
    </row>
    <row r="253" spans="100:100" x14ac:dyDescent="0.2">
      <c r="CV253" s="325" t="str">
        <f ca="1">'Week 9'!BY25</f>
        <v xml:space="preserve">   var w9_p10_weights      = [];</v>
      </c>
    </row>
    <row r="254" spans="100:100" x14ac:dyDescent="0.2">
      <c r="CV254" s="325" t="str">
        <f ca="1">'Week 9'!BY26</f>
        <v xml:space="preserve">   var w9_p11_weights      = [];</v>
      </c>
    </row>
    <row r="255" spans="100:100" x14ac:dyDescent="0.2">
      <c r="CV255" s="325" t="str">
        <f ca="1">'Week 9'!BY27</f>
        <v xml:space="preserve">   var w9_p12_weights      = [];</v>
      </c>
    </row>
    <row r="256" spans="100:100" x14ac:dyDescent="0.2">
      <c r="CV256" s="325" t="str">
        <f ca="1">'Week 9'!BY28</f>
        <v xml:space="preserve">   var w9_winners          = [];</v>
      </c>
    </row>
    <row r="257" spans="100:100" x14ac:dyDescent="0.2">
      <c r="CV257" s="325" t="str">
        <f ca="1">'Week 9'!BY29</f>
        <v xml:space="preserve">   var w9_mn_points        = ["","","","","","","","","","","",""];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[];</v>
      </c>
    </row>
    <row r="261" spans="100:100" x14ac:dyDescent="0.2">
      <c r="CV261" s="325" t="str">
        <f ca="1">'Week 10'!BY5</f>
        <v xml:space="preserve">   var w10_p2_picks         = [];</v>
      </c>
    </row>
    <row r="262" spans="100:100" x14ac:dyDescent="0.2">
      <c r="CV262" s="325" t="str">
        <f ca="1">'Week 10'!BY6</f>
        <v xml:space="preserve">   var w10_p3_picks         = [];</v>
      </c>
    </row>
    <row r="263" spans="100:100" x14ac:dyDescent="0.2">
      <c r="CV263" s="325" t="str">
        <f ca="1">'Week 10'!BY7</f>
        <v xml:space="preserve">   var w10_p4_picks         = [];</v>
      </c>
    </row>
    <row r="264" spans="100:100" x14ac:dyDescent="0.2">
      <c r="CV264" s="325" t="str">
        <f ca="1">'Week 10'!BY8</f>
        <v xml:space="preserve">   var w10_p5_picks         = [];</v>
      </c>
    </row>
    <row r="265" spans="100:100" x14ac:dyDescent="0.2">
      <c r="CV265" s="325" t="str">
        <f ca="1">'Week 10'!BY9</f>
        <v xml:space="preserve">   var w10_p6_picks         = [];</v>
      </c>
    </row>
    <row r="266" spans="100:100" x14ac:dyDescent="0.2">
      <c r="CV266" s="325" t="str">
        <f ca="1">'Week 10'!BY10</f>
        <v xml:space="preserve">   var w10_p7_picks         = [];</v>
      </c>
    </row>
    <row r="267" spans="100:100" x14ac:dyDescent="0.2">
      <c r="CV267" s="325" t="str">
        <f ca="1">'Week 10'!BY11</f>
        <v xml:space="preserve">   var w10_p8_picks         = [];</v>
      </c>
    </row>
    <row r="268" spans="100:100" x14ac:dyDescent="0.2">
      <c r="CV268" s="325" t="str">
        <f ca="1">'Week 10'!BY12</f>
        <v xml:space="preserve">   var w10_p9_picks         = [];</v>
      </c>
    </row>
    <row r="269" spans="100:100" x14ac:dyDescent="0.2">
      <c r="CV269" s="325" t="str">
        <f ca="1">'Week 10'!BY13</f>
        <v xml:space="preserve">   var w10_p10_picks        = [];</v>
      </c>
    </row>
    <row r="270" spans="100:100" x14ac:dyDescent="0.2">
      <c r="CV270" s="325" t="str">
        <f ca="1">'Week 10'!BY14</f>
        <v xml:space="preserve">   var w10_p11_picks        = [];</v>
      </c>
    </row>
    <row r="271" spans="100:100" x14ac:dyDescent="0.2">
      <c r="CV271" s="325" t="str">
        <f ca="1">'Week 10'!BY15</f>
        <v xml:space="preserve">   var w10_p12_picks        = [];</v>
      </c>
    </row>
    <row r="272" spans="100:100" x14ac:dyDescent="0.2">
      <c r="CV272" s="325" t="str">
        <f ca="1">'Week 10'!BY16</f>
        <v xml:space="preserve">   var w10_p1_weights       = [];</v>
      </c>
    </row>
    <row r="273" spans="100:100" x14ac:dyDescent="0.2">
      <c r="CV273" s="325" t="str">
        <f ca="1">'Week 10'!BY17</f>
        <v xml:space="preserve">   var w10_p2_weights       = [];</v>
      </c>
    </row>
    <row r="274" spans="100:100" x14ac:dyDescent="0.2">
      <c r="CV274" s="325" t="str">
        <f ca="1">'Week 10'!BY18</f>
        <v xml:space="preserve">   var w10_p3_weights       = [];</v>
      </c>
    </row>
    <row r="275" spans="100:100" x14ac:dyDescent="0.2">
      <c r="CV275" s="325" t="str">
        <f ca="1">'Week 10'!BY19</f>
        <v xml:space="preserve">   var w10_p4_weights       = [];</v>
      </c>
    </row>
    <row r="276" spans="100:100" x14ac:dyDescent="0.2">
      <c r="CV276" s="325" t="str">
        <f ca="1">'Week 10'!BY20</f>
        <v xml:space="preserve">   var w10_p5_weights       = [];</v>
      </c>
    </row>
    <row r="277" spans="100:100" x14ac:dyDescent="0.2">
      <c r="CV277" s="325" t="str">
        <f ca="1">'Week 10'!BY21</f>
        <v xml:space="preserve">   var w10_p6_weights       = [];</v>
      </c>
    </row>
    <row r="278" spans="100:100" x14ac:dyDescent="0.2">
      <c r="CV278" s="325" t="str">
        <f ca="1">'Week 10'!BY22</f>
        <v xml:space="preserve">   var w10_p7_weights       = [];</v>
      </c>
    </row>
    <row r="279" spans="100:100" x14ac:dyDescent="0.2">
      <c r="CV279" s="325" t="str">
        <f ca="1">'Week 10'!BY23</f>
        <v xml:space="preserve">   var w10_p8_weights       = [];</v>
      </c>
    </row>
    <row r="280" spans="100:100" x14ac:dyDescent="0.2">
      <c r="CV280" s="325" t="str">
        <f ca="1">'Week 10'!BY24</f>
        <v xml:space="preserve">   var w10_p9_weights       = [];</v>
      </c>
    </row>
    <row r="281" spans="100:100" x14ac:dyDescent="0.2">
      <c r="CV281" s="325" t="str">
        <f ca="1">'Week 10'!BY25</f>
        <v xml:space="preserve">   var w10_p10_weights      = [];</v>
      </c>
    </row>
    <row r="282" spans="100:100" x14ac:dyDescent="0.2">
      <c r="CV282" s="325" t="str">
        <f ca="1">'Week 10'!BY26</f>
        <v xml:space="preserve">   var w10_p11_weights      = [];</v>
      </c>
    </row>
    <row r="283" spans="100:100" x14ac:dyDescent="0.2">
      <c r="CV283" s="325" t="str">
        <f ca="1">'Week 10'!BY27</f>
        <v xml:space="preserve">   var w10_p12_weights      = [];</v>
      </c>
    </row>
    <row r="284" spans="100:100" x14ac:dyDescent="0.2">
      <c r="CV284" s="325" t="str">
        <f ca="1">'Week 10'!BY28</f>
        <v xml:space="preserve">   var w10_winners          = [];</v>
      </c>
    </row>
    <row r="285" spans="100:100" x14ac:dyDescent="0.2">
      <c r="CV285" s="325" t="str">
        <f ca="1">'Week 10'!BY29</f>
        <v xml:space="preserve">   var w10_mn_points        = ["","","","","","","","","","","",""];</v>
      </c>
    </row>
    <row r="286" spans="100:100" x14ac:dyDescent="0.2">
      <c r="CV286" s="325" t="str">
        <f ca="1">'Week 10'!BY30</f>
        <v xml:space="preserve">   var w10_actual_mn_points = 0;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[];</v>
      </c>
    </row>
    <row r="291" spans="100:100" x14ac:dyDescent="0.2">
      <c r="CV291" s="325" t="str">
        <f ca="1">'Week 11'!BY7</f>
        <v xml:space="preserve">   var w11_p4_picks         = [];</v>
      </c>
    </row>
    <row r="292" spans="100:100" x14ac:dyDescent="0.2">
      <c r="CV292" s="325" t="str">
        <f ca="1">'Week 11'!BY8</f>
        <v xml:space="preserve">   var w11_p5_picks         = [];</v>
      </c>
    </row>
    <row r="293" spans="100:100" x14ac:dyDescent="0.2">
      <c r="CV293" s="325" t="str">
        <f ca="1">'Week 11'!BY9</f>
        <v xml:space="preserve">   var w11_p6_picks         = [];</v>
      </c>
    </row>
    <row r="294" spans="100:100" x14ac:dyDescent="0.2">
      <c r="CV294" s="325" t="str">
        <f ca="1">'Week 11'!BY10</f>
        <v xml:space="preserve">   var w11_p7_picks         = [];</v>
      </c>
    </row>
    <row r="295" spans="100:100" x14ac:dyDescent="0.2">
      <c r="CV295" s="325" t="str">
        <f ca="1">'Week 11'!BY11</f>
        <v xml:space="preserve">   var w11_p8_picks         = [];</v>
      </c>
    </row>
    <row r="296" spans="100:100" x14ac:dyDescent="0.2">
      <c r="CV296" s="325" t="str">
        <f ca="1">'Week 11'!BY12</f>
        <v xml:space="preserve">   var w11_p9_picks         = [];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[];</v>
      </c>
    </row>
    <row r="299" spans="100:100" x14ac:dyDescent="0.2">
      <c r="CV299" s="325" t="str">
        <f ca="1">'Week 11'!BY15</f>
        <v xml:space="preserve">   var w11_p12_picks        = [];</v>
      </c>
    </row>
    <row r="300" spans="100:100" x14ac:dyDescent="0.2">
      <c r="CV300" s="325" t="str">
        <f ca="1">'Week 11'!BY16</f>
        <v xml:space="preserve">   var w11_p1_weights       = [];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[];</v>
      </c>
    </row>
    <row r="303" spans="100:100" x14ac:dyDescent="0.2">
      <c r="CV303" s="325" t="str">
        <f ca="1">'Week 11'!BY19</f>
        <v xml:space="preserve">   var w11_p4_weights       = [];</v>
      </c>
    </row>
    <row r="304" spans="100:100" x14ac:dyDescent="0.2">
      <c r="CV304" s="325" t="str">
        <f ca="1">'Week 11'!BY20</f>
        <v xml:space="preserve">   var w11_p5_weights       = [];</v>
      </c>
    </row>
    <row r="305" spans="100:100" x14ac:dyDescent="0.2">
      <c r="CV305" s="325" t="str">
        <f ca="1">'Week 11'!BY21</f>
        <v xml:space="preserve">   var w11_p6_weights       = [];</v>
      </c>
    </row>
    <row r="306" spans="100:100" x14ac:dyDescent="0.2">
      <c r="CV306" s="325" t="str">
        <f ca="1">'Week 11'!BY22</f>
        <v xml:space="preserve">   var w11_p7_weights       = [];</v>
      </c>
    </row>
    <row r="307" spans="100:100" x14ac:dyDescent="0.2">
      <c r="CV307" s="325" t="str">
        <f ca="1">'Week 11'!BY23</f>
        <v xml:space="preserve">   var w11_p8_weights       = [];</v>
      </c>
    </row>
    <row r="308" spans="100:100" x14ac:dyDescent="0.2">
      <c r="CV308" s="325" t="str">
        <f ca="1">'Week 11'!BY24</f>
        <v xml:space="preserve">   var w11_p9_weights       = [];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[];</v>
      </c>
    </row>
    <row r="311" spans="100:100" x14ac:dyDescent="0.2">
      <c r="CV311" s="325" t="str">
        <f ca="1">'Week 11'!BY27</f>
        <v xml:space="preserve">   var w11_p12_weights      = [];</v>
      </c>
    </row>
    <row r="312" spans="100:100" x14ac:dyDescent="0.2">
      <c r="CV312" s="325" t="str">
        <f ca="1">'Week 11'!BY28</f>
        <v xml:space="preserve">   var w11_winners          = [];</v>
      </c>
    </row>
    <row r="313" spans="100:100" x14ac:dyDescent="0.2">
      <c r="CV313" s="325" t="str">
        <f ca="1">'Week 11'!BY29</f>
        <v xml:space="preserve">   var w11_mn_points        = ["","","","","","","","","","","",""];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[];</v>
      </c>
    </row>
    <row r="317" spans="100:100" x14ac:dyDescent="0.2">
      <c r="CV317" s="325" t="str">
        <f ca="1">'Week 12'!BY5</f>
        <v xml:space="preserve">   var w12_p2_picks         = [];</v>
      </c>
    </row>
    <row r="318" spans="100:100" x14ac:dyDescent="0.2">
      <c r="CV318" s="325" t="str">
        <f ca="1">'Week 12'!BY6</f>
        <v xml:space="preserve">   var w12_p3_picks         = [];</v>
      </c>
    </row>
    <row r="319" spans="100:100" x14ac:dyDescent="0.2">
      <c r="CV319" s="325" t="str">
        <f ca="1">'Week 12'!BY7</f>
        <v xml:space="preserve">   var w12_p4_picks         = [];</v>
      </c>
    </row>
    <row r="320" spans="100:100" x14ac:dyDescent="0.2">
      <c r="CV320" s="325" t="str">
        <f ca="1">'Week 12'!BY8</f>
        <v xml:space="preserve">   var w12_p5_picks         = [];</v>
      </c>
    </row>
    <row r="321" spans="100:100" x14ac:dyDescent="0.2">
      <c r="CV321" s="325" t="str">
        <f ca="1">'Week 12'!BY9</f>
        <v xml:space="preserve">   var w12_p6_picks         = [];</v>
      </c>
    </row>
    <row r="322" spans="100:100" x14ac:dyDescent="0.2">
      <c r="CV322" s="325" t="str">
        <f ca="1">'Week 12'!BY10</f>
        <v xml:space="preserve">   var w12_p7_picks         = [];</v>
      </c>
    </row>
    <row r="323" spans="100:100" x14ac:dyDescent="0.2">
      <c r="CV323" s="325" t="str">
        <f ca="1">'Week 12'!BY11</f>
        <v xml:space="preserve">   var w12_p8_picks         = [];</v>
      </c>
    </row>
    <row r="324" spans="100:100" x14ac:dyDescent="0.2">
      <c r="CV324" s="325" t="str">
        <f ca="1">'Week 12'!BY12</f>
        <v xml:space="preserve">   var w12_p9_picks         = [];</v>
      </c>
    </row>
    <row r="325" spans="100:100" x14ac:dyDescent="0.2">
      <c r="CV325" s="325" t="str">
        <f ca="1">'Week 12'!BY13</f>
        <v xml:space="preserve">   var w12_p10_picks        = [];</v>
      </c>
    </row>
    <row r="326" spans="100:100" x14ac:dyDescent="0.2">
      <c r="CV326" s="325" t="str">
        <f ca="1">'Week 12'!BY14</f>
        <v xml:space="preserve">   var w12_p11_picks        = [];</v>
      </c>
    </row>
    <row r="327" spans="100:100" x14ac:dyDescent="0.2">
      <c r="CV327" s="325" t="str">
        <f ca="1">'Week 12'!BY15</f>
        <v xml:space="preserve">   var w12_p12_picks        = [];</v>
      </c>
    </row>
    <row r="328" spans="100:100" x14ac:dyDescent="0.2">
      <c r="CV328" s="325" t="str">
        <f ca="1">'Week 12'!BY16</f>
        <v xml:space="preserve">   var w12_p1_weights       = [];</v>
      </c>
    </row>
    <row r="329" spans="100:100" x14ac:dyDescent="0.2">
      <c r="CV329" s="325" t="str">
        <f ca="1">'Week 12'!BY17</f>
        <v xml:space="preserve">   var w12_p2_weights       = [];</v>
      </c>
    </row>
    <row r="330" spans="100:100" x14ac:dyDescent="0.2">
      <c r="CV330" s="325" t="str">
        <f ca="1">'Week 12'!BY18</f>
        <v xml:space="preserve">   var w12_p3_weights       = [];</v>
      </c>
    </row>
    <row r="331" spans="100:100" x14ac:dyDescent="0.2">
      <c r="CV331" s="325" t="str">
        <f ca="1">'Week 12'!BY19</f>
        <v xml:space="preserve">   var w12_p4_weights       = [];</v>
      </c>
    </row>
    <row r="332" spans="100:100" x14ac:dyDescent="0.2">
      <c r="CV332" s="325" t="str">
        <f ca="1">'Week 12'!BY20</f>
        <v xml:space="preserve">   var w12_p5_weights       = [];</v>
      </c>
    </row>
    <row r="333" spans="100:100" x14ac:dyDescent="0.2">
      <c r="CV333" s="325" t="str">
        <f ca="1">'Week 12'!BY21</f>
        <v xml:space="preserve">   var w12_p6_weights       = [];</v>
      </c>
    </row>
    <row r="334" spans="100:100" x14ac:dyDescent="0.2">
      <c r="CV334" s="325" t="str">
        <f ca="1">'Week 12'!BY22</f>
        <v xml:space="preserve">   var w12_p7_weights       = [];</v>
      </c>
    </row>
    <row r="335" spans="100:100" x14ac:dyDescent="0.2">
      <c r="CV335" s="325" t="str">
        <f ca="1">'Week 12'!BY23</f>
        <v xml:space="preserve">   var w12_p8_weights       = [];</v>
      </c>
    </row>
    <row r="336" spans="100:100" x14ac:dyDescent="0.2">
      <c r="CV336" s="325" t="str">
        <f ca="1">'Week 12'!BY24</f>
        <v xml:space="preserve">   var w12_p9_weights       = [];</v>
      </c>
    </row>
    <row r="337" spans="100:100" x14ac:dyDescent="0.2">
      <c r="CV337" s="325" t="str">
        <f ca="1">'Week 12'!BY25</f>
        <v xml:space="preserve">   var w12_p10_weights      = [];</v>
      </c>
    </row>
    <row r="338" spans="100:100" x14ac:dyDescent="0.2">
      <c r="CV338" s="325" t="str">
        <f ca="1">'Week 12'!BY26</f>
        <v xml:space="preserve">   var w12_p11_weights      = [];</v>
      </c>
    </row>
    <row r="339" spans="100:100" x14ac:dyDescent="0.2">
      <c r="CV339" s="325" t="str">
        <f ca="1">'Week 12'!BY27</f>
        <v xml:space="preserve">   var w12_p12_weights      = [];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["","","","","","","","","","","",""];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2020-10-17T23:47:58Z</dcterms:modified>
</cp:coreProperties>
</file>