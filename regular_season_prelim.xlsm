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93B4D59C-D4B1-4767-BF92-DB29BC5E0DDC}" xr6:coauthVersionLast="45" xr6:coauthVersionMax="45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Y19" i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BA18" i="1" s="1"/>
  <c r="AX18" i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Z12" i="1" s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9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8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Z4" i="1" s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H56" i="1"/>
  <c r="AR40" i="1"/>
  <c r="M56" i="1"/>
  <c r="Y56" i="1"/>
  <c r="AK56" i="1"/>
  <c r="J56" i="1"/>
  <c r="V56" i="1"/>
  <c r="P56" i="1"/>
  <c r="AB56" i="1"/>
  <c r="AN56" i="1"/>
  <c r="G56" i="1"/>
  <c r="S56" i="1"/>
  <c r="BG11" i="1"/>
  <c r="BC5" i="1"/>
  <c r="BC10" i="1"/>
  <c r="BG4" i="1"/>
  <c r="AE21" i="1"/>
  <c r="BE12" i="1" s="1"/>
  <c r="BG12" i="1"/>
  <c r="BC9" i="1"/>
  <c r="BC11" i="1"/>
  <c r="BC13" i="1"/>
  <c r="BC15" i="1"/>
  <c r="BG5" i="1"/>
  <c r="BG9" i="1"/>
  <c r="BG13" i="1"/>
  <c r="BG15" i="1"/>
  <c r="BC6" i="1"/>
  <c r="AZ6" i="1" s="1"/>
  <c r="BA6" i="1" s="1"/>
  <c r="BC14" i="1"/>
  <c r="BG8" i="1"/>
  <c r="BC7" i="1"/>
  <c r="AZ7" i="1" s="1"/>
  <c r="BA7" i="1" s="1"/>
  <c r="BG6" i="1"/>
  <c r="BG10" i="1"/>
  <c r="BG14" i="1"/>
  <c r="BG7" i="1"/>
  <c r="BC4" i="1"/>
  <c r="BA4" i="1" s="1"/>
  <c r="BI4" i="1"/>
  <c r="AT5" i="1"/>
  <c r="BC8" i="1"/>
  <c r="AZ8" i="1" s="1"/>
  <c r="BA8" i="1" s="1"/>
  <c r="AT9" i="1"/>
  <c r="AZ9" i="1" s="1"/>
  <c r="AZ10" i="1"/>
  <c r="BC12" i="1"/>
  <c r="BA12" i="1" s="1"/>
  <c r="AT13" i="1"/>
  <c r="AZ14" i="1"/>
  <c r="BC16" i="1"/>
  <c r="AZ16" i="1" s="1"/>
  <c r="BA16" i="1" s="1"/>
  <c r="BC17" i="1"/>
  <c r="AZ17" i="1" s="1"/>
  <c r="BA17" i="1" s="1"/>
  <c r="BC18" i="1"/>
  <c r="BC19" i="1"/>
  <c r="AZ19" i="1" s="1"/>
  <c r="BA19" i="1" s="1"/>
  <c r="BI13" i="1"/>
  <c r="BI7" i="1"/>
  <c r="AT7" i="1"/>
  <c r="AT11" i="1"/>
  <c r="AZ11" i="1" s="1"/>
  <c r="BA11" i="1" s="1"/>
  <c r="AT15" i="1"/>
  <c r="AZ15" i="1" s="1"/>
  <c r="BA15" i="1" s="1"/>
  <c r="BA9" i="1" l="1"/>
  <c r="BA10" i="1"/>
  <c r="AB55" i="1"/>
  <c r="AB52" i="1" s="1"/>
  <c r="AB54" i="1"/>
  <c r="AB53" i="1"/>
  <c r="AK55" i="1"/>
  <c r="AK52" i="1" s="1"/>
  <c r="AK54" i="1"/>
  <c r="AK53" i="1"/>
  <c r="AH55" i="1"/>
  <c r="AH52" i="1" s="1"/>
  <c r="AH54" i="1"/>
  <c r="AH53" i="1"/>
  <c r="G55" i="1"/>
  <c r="G54" i="1"/>
  <c r="G53" i="1"/>
  <c r="AE58" i="1" s="1"/>
  <c r="G52" i="1"/>
  <c r="G21" i="1" s="1"/>
  <c r="BE4" i="1" s="1"/>
  <c r="V55" i="1"/>
  <c r="V54" i="1"/>
  <c r="V53" i="1"/>
  <c r="V58" i="1" s="1"/>
  <c r="V52" i="1"/>
  <c r="V21" i="1" s="1"/>
  <c r="BE9" i="1" s="1"/>
  <c r="M55" i="1"/>
  <c r="M52" i="1" s="1"/>
  <c r="M54" i="1"/>
  <c r="M53" i="1"/>
  <c r="AZ13" i="1"/>
  <c r="BA13" i="1" s="1"/>
  <c r="AU15" i="1" s="1"/>
  <c r="AV15" i="1" s="1"/>
  <c r="AN55" i="1"/>
  <c r="AN52" i="1" s="1"/>
  <c r="AN21" i="1" s="1"/>
  <c r="BE15" i="1" s="1"/>
  <c r="AN54" i="1"/>
  <c r="AN53" i="1"/>
  <c r="AN58" i="1" s="1"/>
  <c r="J55" i="1"/>
  <c r="J52" i="1" s="1"/>
  <c r="J21" i="1" s="1"/>
  <c r="BE5" i="1" s="1"/>
  <c r="J54" i="1"/>
  <c r="J53" i="1"/>
  <c r="J58" i="1" s="1"/>
  <c r="AZ5" i="1"/>
  <c r="BA5" i="1" s="1"/>
  <c r="S55" i="1"/>
  <c r="S52" i="1" s="1"/>
  <c r="S54" i="1"/>
  <c r="S53" i="1"/>
  <c r="P55" i="1"/>
  <c r="P52" i="1" s="1"/>
  <c r="P21" i="1" s="1"/>
  <c r="BE7" i="1" s="1"/>
  <c r="P54" i="1"/>
  <c r="P53" i="1"/>
  <c r="Y55" i="1"/>
  <c r="Y52" i="1" s="1"/>
  <c r="Y54" i="1"/>
  <c r="Y53" i="1"/>
  <c r="BA14" i="1"/>
  <c r="AU6" i="1" l="1"/>
  <c r="AV6" i="1" s="1"/>
  <c r="AU8" i="1"/>
  <c r="AV8" i="1" s="1"/>
  <c r="AU10" i="1"/>
  <c r="AV10" i="1" s="1"/>
  <c r="Y21" i="1"/>
  <c r="BE10" i="1" s="1"/>
  <c r="Y58" i="1"/>
  <c r="AH21" i="1"/>
  <c r="BE13" i="1" s="1"/>
  <c r="AH58" i="1"/>
  <c r="AK21" i="1"/>
  <c r="BE14" i="1" s="1"/>
  <c r="AK58" i="1"/>
  <c r="P58" i="1"/>
  <c r="M21" i="1"/>
  <c r="BE6" i="1" s="1"/>
  <c r="M58" i="1"/>
  <c r="S21" i="1"/>
  <c r="BE8" i="1" s="1"/>
  <c r="S58" i="1"/>
  <c r="AB21" i="1"/>
  <c r="BE11" i="1" s="1"/>
  <c r="AB58" i="1"/>
  <c r="AU16" i="1"/>
  <c r="AV16" i="1" s="1"/>
  <c r="AU14" i="1"/>
  <c r="AV14" i="1" s="1"/>
  <c r="G58" i="1"/>
  <c r="AU9" i="1"/>
  <c r="AV9" i="1" s="1"/>
  <c r="AU4" i="1"/>
  <c r="AV4" i="1" s="1"/>
  <c r="AU19" i="1"/>
  <c r="AV19" i="1" s="1"/>
  <c r="AU12" i="1"/>
  <c r="AV12" i="1" s="1"/>
  <c r="AU11" i="1"/>
  <c r="AV11" i="1" s="1"/>
  <c r="AU17" i="1"/>
  <c r="AV17" i="1" s="1"/>
  <c r="AU7" i="1"/>
  <c r="AV7" i="1" s="1"/>
  <c r="AU5" i="1"/>
  <c r="AV5" i="1" s="1"/>
  <c r="AU13" i="1"/>
  <c r="AV13" i="1" s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<sst xmlns="http://schemas.openxmlformats.org/spreadsheetml/2006/main" count="1661" uniqueCount="173">
  <si>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</si>
  <si>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</si>
  <si>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</si>
  <si>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</si>
  <si>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</si>
  <si>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</si>
  <si>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</si>
  <si>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</si>
  <si>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</si>
  <si>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</si>
  <si>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</si>
  <si>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</si>
  <si>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</si>
  <si>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</si>
  <si>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</si>
  <si>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</si>
  <si>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</si>
  <si>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</si>
  <si>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</si>
  <si>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</si>
  <si>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</si>
  <si>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</si>
  <si>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</si>
  <si>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</si>
  <si>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</si>
  <si>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</si>
  <si>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</si>
  <si>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</si>
  <si>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</si>
  <si>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</si>
  <si>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</si>
  <si>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</si>
  <si>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</si>
  <si>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</si>
  <si>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</si>
  <si>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</si>
  <si>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</si>
  <si>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</si>
  <si>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</si>
  <si>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</si>
  <si>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</si>
  <si>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</si>
  <si>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</si>
  <si>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</si>
  <si>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</si>
  <si>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</si>
  <si>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</si>
  <si>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</si>
  <si>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</si>
  <si>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</si>
  <si>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</si>
  <si>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</si>
  <si>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</si>
  <si>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</si>
  <si>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</si>
  <si>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</si>
  <si>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</si>
  <si>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</si>
  <si>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</si>
  <si>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</si>
  <si>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</si>
  <si>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</si>
  <si>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</si>
  <si>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</si>
  <si>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</si>
  <si>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</si>
  <si>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</si>
  <si>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</si>
  <si>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</si>
  <si>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</si>
  <si>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</si>
  <si>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</si>
  <si>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</si>
  <si>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</si>
  <si>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</si>
  <si>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</si>
  <si>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</si>
  <si>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</si>
  <si>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</si>
  <si>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</si>
  <si>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</si>
  <si>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</si>
  <si>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</si>
  <si>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</si>
  <si>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</si>
  <si>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</si>
  <si>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</si>
  <si>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</si>
  <si>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</si>
  <si>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</si>
  <si>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</si>
  <si>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</si>
  <si>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</si>
  <si>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</si>
  <si>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</si>
  <si>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</si>
  <si>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</si>
  <si>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</si>
  <si>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</si>
  <si>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</si>
  <si>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</si>
  <si>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</si>
  <si>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</si>
  <si>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</si>
  <si>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</si>
  <si>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</si>
  <si>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Panthers</t>
  </si>
  <si>
    <t>Redskins</t>
  </si>
  <si>
    <t>Buccaneers</t>
  </si>
  <si>
    <t>Bears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</si>
  <si>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</si>
  <si>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</si>
  <si>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</si>
  <si>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</si>
  <si>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</si>
  <si>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</si>
  <si>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</si>
  <si>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</si>
  <si>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</si>
  <si>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</si>
  <si>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</si>
  <si>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</si>
  <si>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</si>
  <si>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</si>
  <si>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</si>
  <si>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Ravens</t>
  </si>
  <si>
    <t>Vikings</t>
  </si>
  <si>
    <t>Texans</t>
  </si>
  <si>
    <t>Broncos</t>
  </si>
  <si>
    <t>Bills</t>
  </si>
  <si>
    <t>Browns</t>
  </si>
  <si>
    <t>Patriots</t>
  </si>
  <si>
    <t>Rams</t>
  </si>
  <si>
    <t>Chiefs</t>
  </si>
  <si>
    <t>2019 Football Pool</t>
  </si>
  <si>
    <t>2019 Season Summary</t>
  </si>
  <si>
    <t>2019 Football Pool Results</t>
  </si>
  <si>
    <t>5</t>
  </si>
  <si>
    <t>Week 5 Scores</t>
  </si>
  <si>
    <t xml:space="preserve">   var w5_p1_picks         = ["V","H","H","H","H","V","V","H","V","H","V","H","H","H","H"];</t>
  </si>
  <si>
    <t xml:space="preserve">   var w5_p2_picks         = ["H","H","H","H","H","H","H","H","V","H","V","H","H","H","H"];</t>
  </si>
  <si>
    <t xml:space="preserve">   var w5_p3_picks         = ["V","H","V","H","H","V","V","H","V","H","V","H","H","H","H"];</t>
  </si>
  <si>
    <t xml:space="preserve">   var w5_p4_picks         = ["V","H","H","H","H","V","V","H","V","H","V","H","H","H","H"];</t>
  </si>
  <si>
    <t xml:space="preserve">   var w5_p5_picks         = ["H","H","H","H","V","V","V","H","V","H","V","H","H","H","H"];</t>
  </si>
  <si>
    <t xml:space="preserve">   var w5_p6_picks         = ["V","V","V","H","H","V","V","H","H","V","V","H","V","H","H"];</t>
  </si>
  <si>
    <t xml:space="preserve">   var w5_p7_picks         = ["H","H","H","H","H","V","V","H","V","H","V","H","H","H","V"];</t>
  </si>
  <si>
    <t>Jets</t>
  </si>
  <si>
    <t xml:space="preserve">   var w5_p8_picks         = ["V","H","V","H","H","H","H","H","H","H","V","H","V","H","H"];</t>
  </si>
  <si>
    <t xml:space="preserve">   var w5_p9_picks         = ["H","H","H","H","H","V","V","H","V","H","V","H","H","H","H"];</t>
  </si>
  <si>
    <t xml:space="preserve">   var w5_p10_picks        = ["H","H","H","H","H","V","V","H","V","H","V","H","H","H","H"];</t>
  </si>
  <si>
    <t xml:space="preserve">   var w5_p11_picks        = ["V","V","H","H","V","H","H","H","V","H","V","H","V","H","H"];</t>
  </si>
  <si>
    <t xml:space="preserve">   var w5_p12_picks        = ["H","V","H","H","H","H","H","H","V","H","V","H","H","H","H"];</t>
  </si>
  <si>
    <t xml:space="preserve">   var w5_p1_weights       = ["2","8","9","11","13","12","10","15","4","6","16","7","3","14","5"];</t>
  </si>
  <si>
    <t xml:space="preserve">   var w5_p2_weights       = ["2","4","10","11","12","3","5","13","14","6","15","9","8","7","16"];</t>
  </si>
  <si>
    <t xml:space="preserve">   var w5_p3_weights       = ["2","8","9","11","7","12","10","15","4","3","16","13","6","14","5"];</t>
  </si>
  <si>
    <t>49ers</t>
  </si>
  <si>
    <t xml:space="preserve">   var w5_p4_weights       = ["2","7","9","12","8","11","10","15","5","3","16","13","6","14","4"];</t>
  </si>
  <si>
    <t xml:space="preserve">   var w5_p5_weights       = ["5","6","8","10","7","11","12","13","9","4","14","15","2","16","3"];</t>
  </si>
  <si>
    <t xml:space="preserve">   var w5_p6_weights       = ["12","8","2","5","11","4","6","13","16","10","15","7","9","14","3"];</t>
  </si>
  <si>
    <t xml:space="preserve">   var w5_p7_weights       = ["2","4","5","10","6","12","11","14","7","8","16","13","9","15","3"];</t>
  </si>
  <si>
    <t xml:space="preserve">   var w5_p8_weights       = ["2","3","9","12","10","11","7","15","6","5","16","13","4","14","8"];</t>
  </si>
  <si>
    <t xml:space="preserve">   var w5_p9_weights       = ["2","8","9","11","7","12","10","15","16","3","4","13","6","14","5"];</t>
  </si>
  <si>
    <t xml:space="preserve">   var w5_p10_weights      = ["2","8","9","11","7","12","10","14","4","3","15","13","6","16","5"];</t>
  </si>
  <si>
    <t xml:space="preserve">   var w5_p11_weights      = ["3","4","9","11","10","5","2","14","12","6","16","13","8","15","7"];</t>
  </si>
  <si>
    <t xml:space="preserve">   var w5_p12_weights      = ["4","8","14","7","12","6","11","13","3","10","16","9","2","15","5"];</t>
  </si>
  <si>
    <t xml:space="preserve">   var w5_winners          = [];</t>
  </si>
  <si>
    <t>Lions, Dolphins</t>
  </si>
  <si>
    <t xml:space="preserve">   var w5_mn_points        = ["48","48","46","42","46","38","48","45","46","46","46","28"];</t>
  </si>
  <si>
    <t xml:space="preserve">   var w5_actual_mn_points = 0;</t>
  </si>
  <si>
    <t>Week 4 Final</t>
  </si>
  <si>
    <t>'Week 4'!$B$2</t>
  </si>
  <si>
    <t>'Week 4'!$C$2</t>
  </si>
  <si>
    <t>'Week 4'!$D$2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</si>
</sst>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134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78" t="s">
        <v>137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-12</v>
      </c>
      <c r="H2" s="71"/>
      <c r="I2" s="69" t="s">
        <v>62</v>
      </c>
      <c r="J2" s="70">
        <v>-12</v>
      </c>
      <c r="K2" s="71"/>
      <c r="L2" s="69" t="s">
        <v>63</v>
      </c>
      <c r="M2" s="70">
        <v>-12</v>
      </c>
      <c r="N2" s="71"/>
      <c r="O2" s="69" t="s">
        <v>64</v>
      </c>
      <c r="P2" s="70">
        <v>31</v>
      </c>
      <c r="Q2" s="71"/>
      <c r="R2" s="69" t="s">
        <v>65</v>
      </c>
      <c r="S2" s="70">
        <v>-12</v>
      </c>
      <c r="T2" s="71"/>
      <c r="U2" s="69" t="s">
        <v>66</v>
      </c>
      <c r="V2" s="70">
        <v>-12</v>
      </c>
      <c r="W2" s="71"/>
      <c r="X2" s="69" t="s">
        <v>67</v>
      </c>
      <c r="Y2" s="70">
        <v>-12</v>
      </c>
      <c r="Z2" s="71"/>
      <c r="AA2" s="69" t="s">
        <v>68</v>
      </c>
      <c r="AB2" s="70">
        <v>-12</v>
      </c>
      <c r="AC2" s="71"/>
      <c r="AD2" s="69" t="s">
        <v>69</v>
      </c>
      <c r="AE2" s="70">
        <v>-12</v>
      </c>
      <c r="AF2" s="71"/>
      <c r="AG2" s="69" t="s">
        <v>70</v>
      </c>
      <c r="AH2" s="70">
        <v>27</v>
      </c>
      <c r="AI2" s="71"/>
      <c r="AJ2" s="69" t="s">
        <v>105</v>
      </c>
      <c r="AK2" s="70">
        <v>19</v>
      </c>
      <c r="AL2" s="71"/>
      <c r="AM2" s="69" t="s">
        <v>71</v>
      </c>
      <c r="AN2" s="70">
        <v>19</v>
      </c>
      <c r="AO2" s="72"/>
      <c r="AP2" s="3"/>
      <c r="AR2" s="139">
        <v>-1</v>
      </c>
      <c r="AS2" s="140" t="s">
        <v>2</v>
      </c>
      <c r="AT2" s="284" t="s">
        <v>3</v>
      </c>
      <c r="AU2" s="285" t="s">
        <v>3</v>
      </c>
      <c r="AV2" s="286"/>
      <c r="AW2" s="3"/>
      <c r="BE2" s="281" t="s">
        <v>138</v>
      </c>
      <c r="BF2" s="282"/>
      <c r="BG2" s="283"/>
      <c r="BH2" s="141"/>
      <c r="BI2" s="281" t="s">
        <v>76</v>
      </c>
      <c r="BJ2" s="282"/>
      <c r="BK2" s="282"/>
      <c r="BL2" s="283"/>
      <c r="BM2" s="142"/>
      <c r="BN2" s="281" t="s">
        <v>55</v>
      </c>
      <c r="BO2" s="282"/>
      <c r="BP2" s="283"/>
      <c r="BQ2" s="281" t="s">
        <v>56</v>
      </c>
      <c r="BR2" s="282"/>
      <c r="BS2" s="282"/>
      <c r="BT2" s="282"/>
      <c r="BU2" s="282"/>
      <c r="BV2" s="282"/>
      <c r="BW2" s="283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4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79" t="s">
        <v>46</v>
      </c>
      <c r="BS3" s="287"/>
      <c r="BT3" s="279" t="s">
        <v>78</v>
      </c>
      <c r="BU3" s="287"/>
      <c r="BV3" s="279" t="s">
        <v>79</v>
      </c>
      <c r="BW3" s="280"/>
      <c r="BY3" s="143" t="s">
        <v>11</v>
      </c>
    </row>
    <row r="4" spans="1:77" ht="18" customHeight="1" x14ac:dyDescent="0.2">
      <c r="B4" s="155" t="s">
        <v>132</v>
      </c>
      <c r="C4" s="156" t="s">
        <v>72</v>
      </c>
      <c r="D4" s="156" t="s">
        <v>111</v>
      </c>
      <c r="E4" s="130"/>
      <c r="F4" s="158" t="s">
        <v>22</v>
      </c>
      <c r="G4" s="91">
        <v>2</v>
      </c>
      <c r="H4" s="159" t="str">
        <f>IF(G4&gt;0,IF(ISTEXT($E4),IF($E4&lt;&gt;F4,G4-2*G4,""),""),"")</f>
        <v/>
      </c>
      <c r="I4" s="160" t="s">
        <v>12</v>
      </c>
      <c r="J4" s="91">
        <v>2</v>
      </c>
      <c r="K4" s="159" t="str">
        <f t="shared" ref="K4:K19" si="0">IF(J4&gt;0,IF(ISTEXT($E4),IF($E4&lt;&gt;I4,J4-2*J4,""),""),"")</f>
        <v/>
      </c>
      <c r="L4" s="160" t="s">
        <v>22</v>
      </c>
      <c r="M4" s="91">
        <v>2</v>
      </c>
      <c r="N4" s="159" t="str">
        <f t="shared" ref="N4:N19" si="1">IF(M4&gt;0,IF(ISTEXT($E4),IF($E4&lt;&gt;L4,M4-2*M4,""),""),"")</f>
        <v/>
      </c>
      <c r="O4" s="160" t="s">
        <v>22</v>
      </c>
      <c r="P4" s="91">
        <v>2</v>
      </c>
      <c r="Q4" s="159" t="str">
        <f t="shared" ref="Q4:Q19" si="2">IF(P4&gt;0,IF(ISTEXT($E4),IF($E4&lt;&gt;O4,P4-2*P4,""),""),"")</f>
        <v/>
      </c>
      <c r="R4" s="160" t="s">
        <v>12</v>
      </c>
      <c r="S4" s="91">
        <v>5</v>
      </c>
      <c r="T4" s="159" t="str">
        <f t="shared" ref="T4:T19" si="3">IF(S4&gt;0,IF(ISTEXT($E4),IF($E4&lt;&gt;R4,S4-2*S4,""),""),"")</f>
        <v/>
      </c>
      <c r="U4" s="160" t="s">
        <v>22</v>
      </c>
      <c r="V4" s="91">
        <v>12</v>
      </c>
      <c r="W4" s="159" t="str">
        <f t="shared" ref="W4:W19" si="4">IF(V4&gt;0,IF(ISTEXT($E4),IF($E4&lt;&gt;U4,V4-2*V4,""),""),"")</f>
        <v/>
      </c>
      <c r="X4" s="160" t="s">
        <v>12</v>
      </c>
      <c r="Y4" s="91">
        <v>2</v>
      </c>
      <c r="Z4" s="159" t="str">
        <f t="shared" ref="Z4:Z19" si="5">IF(Y4&gt;0,IF(ISTEXT($E4),IF($E4&lt;&gt;X4,Y4-2*Y4,""),""),"")</f>
        <v/>
      </c>
      <c r="AA4" s="160" t="s">
        <v>22</v>
      </c>
      <c r="AB4" s="91">
        <v>2</v>
      </c>
      <c r="AC4" s="159" t="str">
        <f t="shared" ref="AC4:AC19" si="6">IF(AB4&gt;0,IF(ISTEXT($E4),IF($E4&lt;&gt;AA4,AB4-2*AB4,""),""),"")</f>
        <v/>
      </c>
      <c r="AD4" s="160" t="s">
        <v>12</v>
      </c>
      <c r="AE4" s="91">
        <v>2</v>
      </c>
      <c r="AF4" s="159" t="str">
        <f t="shared" ref="AF4:AF19" si="7">IF(AE4&gt;0,IF(ISTEXT($E4),IF($E4&lt;&gt;AD4,AE4-2*AE4,""),""),"")</f>
        <v/>
      </c>
      <c r="AG4" s="160" t="s">
        <v>12</v>
      </c>
      <c r="AH4" s="91">
        <v>2</v>
      </c>
      <c r="AI4" s="159" t="str">
        <f t="shared" ref="AI4:AI19" si="8">IF(AH4&gt;0,IF(ISTEXT($E4),IF($E4&lt;&gt;AG4,AH4-2*AH4,""),""),"")</f>
        <v/>
      </c>
      <c r="AJ4" s="160" t="s">
        <v>22</v>
      </c>
      <c r="AK4" s="91">
        <v>3</v>
      </c>
      <c r="AL4" s="159" t="str">
        <f t="shared" ref="AL4:AL19" si="9">IF(AK4&gt;0,IF(ISTEXT($E4),IF($E4&lt;&gt;AJ4,AK4-2*AK4,""),""),"")</f>
        <v/>
      </c>
      <c r="AM4" s="160" t="s">
        <v>12</v>
      </c>
      <c r="AN4" s="91">
        <v>4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V</v>
      </c>
      <c r="AU4" s="91">
        <f t="shared" ref="AU4:AU17" ca="1" si="12">IF($B4="","",RANK(BA4,BA$4:BA$19,1))</f>
        <v>2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5">
        <f>ABS(AX4)+IF($B4="",-0.1,0)</f>
        <v>6</v>
      </c>
      <c r="AZ4" s="5">
        <f t="shared" ref="AZ4:AZ19" si="15">AY4+IF(AT4="H",IF(BC4&gt;1,0.1*BC4-0.1,0),0)</f>
        <v>6</v>
      </c>
      <c r="BA4" s="5">
        <f t="shared" ref="BA4:BA19" ca="1" si="16">AZ4+IF(AT4="V",IF(BC4&gt;1,0.1*BC4-0.1,0),0)</f>
        <v>6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135</v>
      </c>
      <c r="BH4" s="162"/>
      <c r="BI4" s="30">
        <f>RANK(BK4,BK$4:BK$15,0)</f>
        <v>1</v>
      </c>
      <c r="BJ4" s="31" t="str">
        <f>$O$2</f>
        <v>DC</v>
      </c>
      <c r="BK4" s="32">
        <f>$Q$22</f>
        <v>102.66666666666667</v>
      </c>
      <c r="BL4" s="33">
        <f>$Q$23</f>
        <v>308</v>
      </c>
      <c r="BM4" s="142"/>
      <c r="BN4" s="34">
        <v>1</v>
      </c>
      <c r="BO4" s="35" t="s">
        <v>64</v>
      </c>
      <c r="BP4" s="36">
        <v>31</v>
      </c>
      <c r="BQ4" s="37">
        <v>-12</v>
      </c>
      <c r="BR4" s="38">
        <v>1</v>
      </c>
      <c r="BS4" s="39">
        <v>31</v>
      </c>
      <c r="BT4" s="40" t="s">
        <v>57</v>
      </c>
      <c r="BU4" s="39">
        <v>12</v>
      </c>
      <c r="BV4" s="40" t="s">
        <v>0</v>
      </c>
      <c r="BW4" s="41" t="s">
        <v>0</v>
      </c>
      <c r="BY4" s="143" t="s">
        <v>139</v>
      </c>
    </row>
    <row r="5" spans="1:77" ht="18" customHeight="1" x14ac:dyDescent="0.2">
      <c r="B5" s="163" t="s">
        <v>120</v>
      </c>
      <c r="C5" s="164" t="s">
        <v>72</v>
      </c>
      <c r="D5" s="164" t="s">
        <v>106</v>
      </c>
      <c r="E5" s="131"/>
      <c r="F5" s="166" t="s">
        <v>12</v>
      </c>
      <c r="G5" s="92">
        <v>8</v>
      </c>
      <c r="H5" s="167" t="str">
        <f>IF(G5&gt;0,IF(ISTEXT($E5),IF($E5&lt;&gt;F5,G5-2*G5,""),""),"")</f>
        <v/>
      </c>
      <c r="I5" s="168" t="s">
        <v>12</v>
      </c>
      <c r="J5" s="92">
        <v>4</v>
      </c>
      <c r="K5" s="167" t="str">
        <f>IF(J5&gt;0,IF(ISTEXT($E5),IF($E5&lt;&gt;I5,J5-2*J5,""),""),"")</f>
        <v/>
      </c>
      <c r="L5" s="168" t="s">
        <v>12</v>
      </c>
      <c r="M5" s="92">
        <v>8</v>
      </c>
      <c r="N5" s="167" t="str">
        <f>IF(M5&gt;0,IF(ISTEXT($E5),IF($E5&lt;&gt;L5,M5-2*M5,""),""),"")</f>
        <v/>
      </c>
      <c r="O5" s="168" t="s">
        <v>12</v>
      </c>
      <c r="P5" s="92">
        <v>7</v>
      </c>
      <c r="Q5" s="167" t="str">
        <f>IF(P5&gt;0,IF(ISTEXT($E5),IF($E5&lt;&gt;O5,P5-2*P5,""),""),"")</f>
        <v/>
      </c>
      <c r="R5" s="168" t="s">
        <v>12</v>
      </c>
      <c r="S5" s="92">
        <v>6</v>
      </c>
      <c r="T5" s="167" t="str">
        <f>IF(S5&gt;0,IF(ISTEXT($E5),IF($E5&lt;&gt;R5,S5-2*S5,""),""),"")</f>
        <v/>
      </c>
      <c r="U5" s="168" t="s">
        <v>22</v>
      </c>
      <c r="V5" s="92">
        <v>8</v>
      </c>
      <c r="W5" s="167" t="str">
        <f>IF(V5&gt;0,IF(ISTEXT($E5),IF($E5&lt;&gt;U5,V5-2*V5,""),""),"")</f>
        <v/>
      </c>
      <c r="X5" s="168" t="s">
        <v>12</v>
      </c>
      <c r="Y5" s="92">
        <v>4</v>
      </c>
      <c r="Z5" s="167" t="str">
        <f>IF(Y5&gt;0,IF(ISTEXT($E5),IF($E5&lt;&gt;X5,Y5-2*Y5,""),""),"")</f>
        <v/>
      </c>
      <c r="AA5" s="168" t="s">
        <v>12</v>
      </c>
      <c r="AB5" s="92">
        <v>3</v>
      </c>
      <c r="AC5" s="167" t="str">
        <f>IF(AB5&gt;0,IF(ISTEXT($E5),IF($E5&lt;&gt;AA5,AB5-2*AB5,""),""),"")</f>
        <v/>
      </c>
      <c r="AD5" s="168" t="s">
        <v>12</v>
      </c>
      <c r="AE5" s="92">
        <v>8</v>
      </c>
      <c r="AF5" s="167" t="str">
        <f>IF(AE5&gt;0,IF(ISTEXT($E5),IF($E5&lt;&gt;AD5,AE5-2*AE5,""),""),"")</f>
        <v/>
      </c>
      <c r="AG5" s="168" t="s">
        <v>12</v>
      </c>
      <c r="AH5" s="92">
        <v>8</v>
      </c>
      <c r="AI5" s="167" t="str">
        <f>IF(AH5&gt;0,IF(ISTEXT($E5),IF($E5&lt;&gt;AG5,AH5-2*AH5,""),""),"")</f>
        <v/>
      </c>
      <c r="AJ5" s="168" t="s">
        <v>22</v>
      </c>
      <c r="AK5" s="92">
        <v>4</v>
      </c>
      <c r="AL5" s="167" t="str">
        <f>IF(AK5&gt;0,IF(ISTEXT($E5),IF($E5&lt;&gt;AJ5,AK5-2*AK5,""),""),"")</f>
        <v/>
      </c>
      <c r="AM5" s="168" t="s">
        <v>22</v>
      </c>
      <c r="AN5" s="92">
        <v>8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H</v>
      </c>
      <c r="AU5" s="92">
        <f ca="1">IF($B5="","",RANK(BA5,BA$4:BA$19,1))</f>
        <v>4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36</v>
      </c>
      <c r="AY5" s="5">
        <f t="shared" ref="AY5:AY19" si="17">ABS(AX5)+IF($B5="",-0.1,0)</f>
        <v>36</v>
      </c>
      <c r="AZ5" s="5">
        <f ca="1">AY5+IF(AT5="H",IF(BC5&gt;1,0.1*BC5-0.1,0),0)</f>
        <v>36</v>
      </c>
      <c r="BA5" s="5">
        <f ca="1">AZ5+IF(AT5="V",IF(BC5&gt;1,0.1*BC5-0.1,0),0)</f>
        <v>36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135</v>
      </c>
      <c r="BH5" s="162"/>
      <c r="BI5" s="45">
        <f>RANK(BK5,BK$4:BK$15,0)</f>
        <v>2</v>
      </c>
      <c r="BJ5" s="46" t="str">
        <f>$AG$2</f>
        <v>KK</v>
      </c>
      <c r="BK5" s="47">
        <f>$AI$22</f>
        <v>102</v>
      </c>
      <c r="BL5" s="48">
        <f>$AI$23</f>
        <v>306</v>
      </c>
      <c r="BM5" s="142"/>
      <c r="BN5" s="45">
        <v>2</v>
      </c>
      <c r="BO5" s="46" t="s">
        <v>70</v>
      </c>
      <c r="BP5" s="49">
        <v>27</v>
      </c>
      <c r="BQ5" s="50">
        <v>-12</v>
      </c>
      <c r="BR5" s="51">
        <v>1</v>
      </c>
      <c r="BS5" s="52">
        <v>31</v>
      </c>
      <c r="BT5" s="53" t="s">
        <v>0</v>
      </c>
      <c r="BU5" s="52" t="s">
        <v>0</v>
      </c>
      <c r="BV5" s="53" t="s">
        <v>57</v>
      </c>
      <c r="BW5" s="54">
        <v>8</v>
      </c>
      <c r="BY5" s="143" t="s">
        <v>140</v>
      </c>
    </row>
    <row r="6" spans="1:77" ht="18" customHeight="1" x14ac:dyDescent="0.2">
      <c r="B6" s="163" t="s">
        <v>122</v>
      </c>
      <c r="C6" s="164" t="s">
        <v>72</v>
      </c>
      <c r="D6" s="164" t="s">
        <v>119</v>
      </c>
      <c r="E6" s="131"/>
      <c r="F6" s="166" t="s">
        <v>12</v>
      </c>
      <c r="G6" s="92">
        <v>9</v>
      </c>
      <c r="H6" s="167" t="str">
        <f t="shared" ref="H6:H19" si="18">IF(G6&gt;0,IF(ISTEXT($E6),IF($E6&lt;&gt;F6,G6-2*G6,""),""),"")</f>
        <v/>
      </c>
      <c r="I6" s="168" t="s">
        <v>12</v>
      </c>
      <c r="J6" s="92">
        <v>10</v>
      </c>
      <c r="K6" s="167" t="str">
        <f t="shared" si="0"/>
        <v/>
      </c>
      <c r="L6" s="168" t="s">
        <v>22</v>
      </c>
      <c r="M6" s="92">
        <v>9</v>
      </c>
      <c r="N6" s="167" t="str">
        <f t="shared" si="1"/>
        <v/>
      </c>
      <c r="O6" s="168" t="s">
        <v>12</v>
      </c>
      <c r="P6" s="92">
        <v>9</v>
      </c>
      <c r="Q6" s="167" t="str">
        <f t="shared" si="2"/>
        <v/>
      </c>
      <c r="R6" s="168" t="s">
        <v>12</v>
      </c>
      <c r="S6" s="92">
        <v>8</v>
      </c>
      <c r="T6" s="167" t="str">
        <f t="shared" si="3"/>
        <v/>
      </c>
      <c r="U6" s="168" t="s">
        <v>22</v>
      </c>
      <c r="V6" s="92">
        <v>2</v>
      </c>
      <c r="W6" s="167" t="str">
        <f t="shared" si="4"/>
        <v/>
      </c>
      <c r="X6" s="168" t="s">
        <v>12</v>
      </c>
      <c r="Y6" s="92">
        <v>5</v>
      </c>
      <c r="Z6" s="167" t="str">
        <f t="shared" si="5"/>
        <v/>
      </c>
      <c r="AA6" s="168" t="s">
        <v>22</v>
      </c>
      <c r="AB6" s="92">
        <v>9</v>
      </c>
      <c r="AC6" s="167" t="str">
        <f t="shared" si="6"/>
        <v/>
      </c>
      <c r="AD6" s="168" t="s">
        <v>12</v>
      </c>
      <c r="AE6" s="92">
        <v>9</v>
      </c>
      <c r="AF6" s="167" t="str">
        <f t="shared" si="7"/>
        <v/>
      </c>
      <c r="AG6" s="168" t="s">
        <v>12</v>
      </c>
      <c r="AH6" s="92">
        <v>9</v>
      </c>
      <c r="AI6" s="167" t="str">
        <f t="shared" si="8"/>
        <v/>
      </c>
      <c r="AJ6" s="168" t="s">
        <v>12</v>
      </c>
      <c r="AK6" s="92">
        <v>9</v>
      </c>
      <c r="AL6" s="167" t="str">
        <f t="shared" si="9"/>
        <v/>
      </c>
      <c r="AM6" s="168" t="s">
        <v>12</v>
      </c>
      <c r="AN6" s="92">
        <v>14</v>
      </c>
      <c r="AO6" s="169" t="str">
        <f t="shared" si="10"/>
        <v/>
      </c>
      <c r="AR6" s="139"/>
      <c r="AS6" s="140"/>
      <c r="AT6" s="163" t="str">
        <f t="shared" si="11"/>
        <v>H</v>
      </c>
      <c r="AU6" s="92">
        <f t="shared" ca="1" si="12"/>
        <v>9</v>
      </c>
      <c r="AV6" s="169" t="str">
        <f t="shared" ca="1" si="13"/>
        <v/>
      </c>
      <c r="AX6" s="5">
        <f t="shared" si="14"/>
        <v>62</v>
      </c>
      <c r="AY6" s="5">
        <f t="shared" si="17"/>
        <v>62</v>
      </c>
      <c r="AZ6" s="5">
        <f t="shared" ca="1" si="15"/>
        <v>62</v>
      </c>
      <c r="BA6" s="5">
        <f t="shared" ca="1" si="16"/>
        <v>62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135</v>
      </c>
      <c r="BH6" s="162"/>
      <c r="BI6" s="45">
        <f>RANK(BK6,BK$4:BK$15,0)</f>
        <v>3</v>
      </c>
      <c r="BJ6" s="46" t="str">
        <f>$F$2</f>
        <v>BM</v>
      </c>
      <c r="BK6" s="47">
        <f>$H$22</f>
        <v>101.66666666666667</v>
      </c>
      <c r="BL6" s="48">
        <f>$H$23</f>
        <v>305</v>
      </c>
      <c r="BM6" s="142"/>
      <c r="BN6" s="45">
        <v>3</v>
      </c>
      <c r="BO6" s="46" t="s">
        <v>105</v>
      </c>
      <c r="BP6" s="49">
        <v>19</v>
      </c>
      <c r="BQ6" s="50">
        <v>-12</v>
      </c>
      <c r="BR6" s="51">
        <v>1</v>
      </c>
      <c r="BS6" s="52">
        <v>31</v>
      </c>
      <c r="BT6" s="53" t="s">
        <v>0</v>
      </c>
      <c r="BU6" s="52" t="s">
        <v>0</v>
      </c>
      <c r="BV6" s="53" t="s">
        <v>0</v>
      </c>
      <c r="BW6" s="54" t="s">
        <v>0</v>
      </c>
      <c r="BY6" s="143" t="s">
        <v>141</v>
      </c>
    </row>
    <row r="7" spans="1:77" ht="18" customHeight="1" x14ac:dyDescent="0.2">
      <c r="B7" s="163" t="s">
        <v>115</v>
      </c>
      <c r="C7" s="164" t="s">
        <v>72</v>
      </c>
      <c r="D7" s="164" t="s">
        <v>127</v>
      </c>
      <c r="E7" s="131"/>
      <c r="F7" s="166" t="s">
        <v>12</v>
      </c>
      <c r="G7" s="92">
        <v>11</v>
      </c>
      <c r="H7" s="167" t="str">
        <f t="shared" si="18"/>
        <v/>
      </c>
      <c r="I7" s="168" t="s">
        <v>12</v>
      </c>
      <c r="J7" s="92">
        <v>11</v>
      </c>
      <c r="K7" s="167" t="str">
        <f t="shared" si="0"/>
        <v/>
      </c>
      <c r="L7" s="168" t="s">
        <v>12</v>
      </c>
      <c r="M7" s="92">
        <v>11</v>
      </c>
      <c r="N7" s="167" t="str">
        <f t="shared" si="1"/>
        <v/>
      </c>
      <c r="O7" s="168" t="s">
        <v>12</v>
      </c>
      <c r="P7" s="92">
        <v>12</v>
      </c>
      <c r="Q7" s="167" t="str">
        <f t="shared" si="2"/>
        <v/>
      </c>
      <c r="R7" s="168" t="s">
        <v>12</v>
      </c>
      <c r="S7" s="92">
        <v>10</v>
      </c>
      <c r="T7" s="167" t="str">
        <f t="shared" si="3"/>
        <v/>
      </c>
      <c r="U7" s="168" t="s">
        <v>12</v>
      </c>
      <c r="V7" s="92">
        <v>5</v>
      </c>
      <c r="W7" s="167" t="str">
        <f t="shared" si="4"/>
        <v/>
      </c>
      <c r="X7" s="168" t="s">
        <v>12</v>
      </c>
      <c r="Y7" s="92">
        <v>10</v>
      </c>
      <c r="Z7" s="167" t="str">
        <f t="shared" si="5"/>
        <v/>
      </c>
      <c r="AA7" s="168" t="s">
        <v>12</v>
      </c>
      <c r="AB7" s="92">
        <v>12</v>
      </c>
      <c r="AC7" s="167" t="str">
        <f t="shared" si="6"/>
        <v/>
      </c>
      <c r="AD7" s="168" t="s">
        <v>12</v>
      </c>
      <c r="AE7" s="92">
        <v>11</v>
      </c>
      <c r="AF7" s="167" t="str">
        <f t="shared" si="7"/>
        <v/>
      </c>
      <c r="AG7" s="168" t="s">
        <v>12</v>
      </c>
      <c r="AH7" s="92">
        <v>11</v>
      </c>
      <c r="AI7" s="167" t="str">
        <f t="shared" si="8"/>
        <v/>
      </c>
      <c r="AJ7" s="168" t="s">
        <v>12</v>
      </c>
      <c r="AK7" s="92">
        <v>11</v>
      </c>
      <c r="AL7" s="167" t="str">
        <f t="shared" si="9"/>
        <v/>
      </c>
      <c r="AM7" s="168" t="s">
        <v>12</v>
      </c>
      <c r="AN7" s="92">
        <v>7</v>
      </c>
      <c r="AO7" s="169" t="str">
        <f t="shared" si="10"/>
        <v/>
      </c>
      <c r="AT7" s="163" t="str">
        <f t="shared" si="11"/>
        <v>H</v>
      </c>
      <c r="AU7" s="92">
        <f t="shared" ca="1" si="12"/>
        <v>12</v>
      </c>
      <c r="AV7" s="169" t="str">
        <f t="shared" ca="1" si="13"/>
        <v/>
      </c>
      <c r="AX7" s="5">
        <f t="shared" si="14"/>
        <v>122</v>
      </c>
      <c r="AY7" s="5">
        <f t="shared" si="17"/>
        <v>122</v>
      </c>
      <c r="AZ7" s="5">
        <f t="shared" ca="1" si="15"/>
        <v>122</v>
      </c>
      <c r="BA7" s="5">
        <f t="shared" ca="1" si="16"/>
        <v>122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135</v>
      </c>
      <c r="BH7" s="162"/>
      <c r="BI7" s="45">
        <f>RANK(BK7,BK$4:BK$15,0)</f>
        <v>4</v>
      </c>
      <c r="BJ7" s="46" t="str">
        <f>$L$2</f>
        <v>CP</v>
      </c>
      <c r="BK7" s="47">
        <f>$N$22</f>
        <v>101</v>
      </c>
      <c r="BL7" s="48">
        <f>$N$23</f>
        <v>303</v>
      </c>
      <c r="BM7" s="142"/>
      <c r="BN7" s="45">
        <v>3</v>
      </c>
      <c r="BO7" s="46" t="s">
        <v>71</v>
      </c>
      <c r="BP7" s="49">
        <v>19</v>
      </c>
      <c r="BQ7" s="50">
        <v>-12</v>
      </c>
      <c r="BR7" s="51">
        <v>1</v>
      </c>
      <c r="BS7" s="52">
        <v>31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142</v>
      </c>
    </row>
    <row r="8" spans="1:77" ht="18" customHeight="1" x14ac:dyDescent="0.2">
      <c r="B8" s="163" t="s">
        <v>108</v>
      </c>
      <c r="C8" s="164" t="s">
        <v>72</v>
      </c>
      <c r="D8" s="164" t="s">
        <v>110</v>
      </c>
      <c r="E8" s="131"/>
      <c r="F8" s="166" t="s">
        <v>12</v>
      </c>
      <c r="G8" s="92">
        <v>13</v>
      </c>
      <c r="H8" s="167" t="str">
        <f t="shared" si="18"/>
        <v/>
      </c>
      <c r="I8" s="168" t="s">
        <v>12</v>
      </c>
      <c r="J8" s="92">
        <v>12</v>
      </c>
      <c r="K8" s="167" t="str">
        <f t="shared" si="0"/>
        <v/>
      </c>
      <c r="L8" s="168" t="s">
        <v>12</v>
      </c>
      <c r="M8" s="92">
        <v>7</v>
      </c>
      <c r="N8" s="167" t="str">
        <f t="shared" si="1"/>
        <v/>
      </c>
      <c r="O8" s="168" t="s">
        <v>12</v>
      </c>
      <c r="P8" s="92">
        <v>8</v>
      </c>
      <c r="Q8" s="167" t="str">
        <f t="shared" si="2"/>
        <v/>
      </c>
      <c r="R8" s="168" t="s">
        <v>22</v>
      </c>
      <c r="S8" s="92">
        <v>7</v>
      </c>
      <c r="T8" s="167" t="str">
        <f t="shared" si="3"/>
        <v/>
      </c>
      <c r="U8" s="168" t="s">
        <v>12</v>
      </c>
      <c r="V8" s="92">
        <v>11</v>
      </c>
      <c r="W8" s="167" t="str">
        <f t="shared" si="4"/>
        <v/>
      </c>
      <c r="X8" s="168" t="s">
        <v>12</v>
      </c>
      <c r="Y8" s="92">
        <v>6</v>
      </c>
      <c r="Z8" s="167" t="str">
        <f t="shared" si="5"/>
        <v/>
      </c>
      <c r="AA8" s="168" t="s">
        <v>12</v>
      </c>
      <c r="AB8" s="92">
        <v>10</v>
      </c>
      <c r="AC8" s="167" t="str">
        <f t="shared" si="6"/>
        <v/>
      </c>
      <c r="AD8" s="168" t="s">
        <v>12</v>
      </c>
      <c r="AE8" s="92">
        <v>7</v>
      </c>
      <c r="AF8" s="167" t="str">
        <f t="shared" si="7"/>
        <v/>
      </c>
      <c r="AG8" s="168" t="s">
        <v>12</v>
      </c>
      <c r="AH8" s="92">
        <v>7</v>
      </c>
      <c r="AI8" s="167" t="str">
        <f t="shared" si="8"/>
        <v/>
      </c>
      <c r="AJ8" s="168" t="s">
        <v>22</v>
      </c>
      <c r="AK8" s="92">
        <v>10</v>
      </c>
      <c r="AL8" s="167" t="str">
        <f t="shared" si="9"/>
        <v/>
      </c>
      <c r="AM8" s="168" t="s">
        <v>12</v>
      </c>
      <c r="AN8" s="92">
        <v>12</v>
      </c>
      <c r="AO8" s="169" t="str">
        <f t="shared" si="10"/>
        <v/>
      </c>
      <c r="AT8" s="163" t="str">
        <f t="shared" si="11"/>
        <v>H</v>
      </c>
      <c r="AU8" s="92">
        <f t="shared" ca="1" si="12"/>
        <v>11</v>
      </c>
      <c r="AV8" s="169" t="str">
        <f t="shared" ca="1" si="13"/>
        <v/>
      </c>
      <c r="AX8" s="5">
        <f t="shared" si="14"/>
        <v>76</v>
      </c>
      <c r="AY8" s="5">
        <f t="shared" si="17"/>
        <v>76</v>
      </c>
      <c r="AZ8" s="5">
        <f t="shared" ca="1" si="15"/>
        <v>76</v>
      </c>
      <c r="BA8" s="5">
        <f t="shared" ca="1" si="16"/>
        <v>76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135</v>
      </c>
      <c r="BH8" s="162"/>
      <c r="BI8" s="45">
        <f>RANK(BK8,BK$4:BK$15,0)</f>
        <v>5</v>
      </c>
      <c r="BJ8" s="46" t="str">
        <f>$X$2</f>
        <v>JH</v>
      </c>
      <c r="BK8" s="47">
        <f>$Z$22</f>
        <v>100</v>
      </c>
      <c r="BL8" s="48">
        <f>$Z$23</f>
        <v>300</v>
      </c>
      <c r="BM8" s="142"/>
      <c r="BN8" s="45">
        <v>5</v>
      </c>
      <c r="BO8" s="46" t="s">
        <v>61</v>
      </c>
      <c r="BP8" s="49">
        <v>-12</v>
      </c>
      <c r="BQ8" s="50">
        <v>-12</v>
      </c>
      <c r="BR8" s="51" t="s">
        <v>0</v>
      </c>
      <c r="BS8" s="52" t="s">
        <v>0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143</v>
      </c>
    </row>
    <row r="9" spans="1:77" ht="18" customHeight="1" x14ac:dyDescent="0.2">
      <c r="B9" s="163" t="s">
        <v>126</v>
      </c>
      <c r="C9" s="164" t="s">
        <v>72</v>
      </c>
      <c r="D9" s="164" t="s">
        <v>124</v>
      </c>
      <c r="E9" s="131"/>
      <c r="F9" s="166" t="s">
        <v>22</v>
      </c>
      <c r="G9" s="92">
        <v>12</v>
      </c>
      <c r="H9" s="167" t="str">
        <f t="shared" si="18"/>
        <v/>
      </c>
      <c r="I9" s="168" t="s">
        <v>12</v>
      </c>
      <c r="J9" s="92">
        <v>3</v>
      </c>
      <c r="K9" s="167" t="str">
        <f t="shared" si="0"/>
        <v/>
      </c>
      <c r="L9" s="168" t="s">
        <v>22</v>
      </c>
      <c r="M9" s="92">
        <v>12</v>
      </c>
      <c r="N9" s="167" t="str">
        <f t="shared" si="1"/>
        <v/>
      </c>
      <c r="O9" s="168" t="s">
        <v>22</v>
      </c>
      <c r="P9" s="92">
        <v>11</v>
      </c>
      <c r="Q9" s="167" t="str">
        <f t="shared" si="2"/>
        <v/>
      </c>
      <c r="R9" s="168" t="s">
        <v>22</v>
      </c>
      <c r="S9" s="92">
        <v>11</v>
      </c>
      <c r="T9" s="167" t="str">
        <f t="shared" si="3"/>
        <v/>
      </c>
      <c r="U9" s="168" t="s">
        <v>22</v>
      </c>
      <c r="V9" s="92">
        <v>4</v>
      </c>
      <c r="W9" s="167" t="str">
        <f t="shared" si="4"/>
        <v/>
      </c>
      <c r="X9" s="168" t="s">
        <v>22</v>
      </c>
      <c r="Y9" s="92">
        <v>12</v>
      </c>
      <c r="Z9" s="167" t="str">
        <f t="shared" si="5"/>
        <v/>
      </c>
      <c r="AA9" s="168" t="s">
        <v>12</v>
      </c>
      <c r="AB9" s="92">
        <v>11</v>
      </c>
      <c r="AC9" s="167" t="str">
        <f t="shared" si="6"/>
        <v/>
      </c>
      <c r="AD9" s="168" t="s">
        <v>22</v>
      </c>
      <c r="AE9" s="92">
        <v>12</v>
      </c>
      <c r="AF9" s="167" t="str">
        <f t="shared" si="7"/>
        <v/>
      </c>
      <c r="AG9" s="168" t="s">
        <v>22</v>
      </c>
      <c r="AH9" s="92">
        <v>12</v>
      </c>
      <c r="AI9" s="167" t="str">
        <f t="shared" si="8"/>
        <v/>
      </c>
      <c r="AJ9" s="168" t="s">
        <v>12</v>
      </c>
      <c r="AK9" s="92">
        <v>5</v>
      </c>
      <c r="AL9" s="167" t="str">
        <f t="shared" si="9"/>
        <v/>
      </c>
      <c r="AM9" s="168" t="s">
        <v>12</v>
      </c>
      <c r="AN9" s="92">
        <v>6</v>
      </c>
      <c r="AO9" s="169" t="str">
        <f t="shared" si="10"/>
        <v/>
      </c>
      <c r="AT9" s="163" t="str">
        <f t="shared" si="11"/>
        <v>V</v>
      </c>
      <c r="AU9" s="92">
        <f t="shared" ca="1" si="12"/>
        <v>8</v>
      </c>
      <c r="AV9" s="169" t="str">
        <f t="shared" ca="1" si="13"/>
        <v/>
      </c>
      <c r="AX9" s="5">
        <f t="shared" si="14"/>
        <v>-61</v>
      </c>
      <c r="AY9" s="5">
        <f t="shared" si="17"/>
        <v>61</v>
      </c>
      <c r="AZ9" s="5">
        <f t="shared" si="15"/>
        <v>61</v>
      </c>
      <c r="BA9" s="5">
        <f t="shared" ca="1" si="16"/>
        <v>61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135</v>
      </c>
      <c r="BH9" s="162"/>
      <c r="BI9" s="45">
        <f>RANK(BK9,BK$4:BK$15,0)</f>
        <v>6</v>
      </c>
      <c r="BJ9" s="46" t="str">
        <f>$AJ$2</f>
        <v>MB</v>
      </c>
      <c r="BK9" s="47">
        <f>$AL$22</f>
        <v>99.333333333333329</v>
      </c>
      <c r="BL9" s="48">
        <f>$AL$23</f>
        <v>298</v>
      </c>
      <c r="BM9" s="142"/>
      <c r="BN9" s="45">
        <v>5</v>
      </c>
      <c r="BO9" s="46" t="s">
        <v>62</v>
      </c>
      <c r="BP9" s="49">
        <v>-12</v>
      </c>
      <c r="BQ9" s="50">
        <v>-12</v>
      </c>
      <c r="BR9" s="51" t="s">
        <v>0</v>
      </c>
      <c r="BS9" s="52" t="s">
        <v>0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144</v>
      </c>
    </row>
    <row r="10" spans="1:77" ht="18" customHeight="1" x14ac:dyDescent="0.2">
      <c r="B10" s="163" t="s">
        <v>109</v>
      </c>
      <c r="C10" s="164" t="s">
        <v>72</v>
      </c>
      <c r="D10" s="164" t="s">
        <v>113</v>
      </c>
      <c r="E10" s="131"/>
      <c r="F10" s="166" t="s">
        <v>22</v>
      </c>
      <c r="G10" s="92">
        <v>10</v>
      </c>
      <c r="H10" s="167" t="str">
        <f t="shared" si="18"/>
        <v/>
      </c>
      <c r="I10" s="168" t="s">
        <v>12</v>
      </c>
      <c r="J10" s="92">
        <v>5</v>
      </c>
      <c r="K10" s="167" t="str">
        <f t="shared" si="0"/>
        <v/>
      </c>
      <c r="L10" s="168" t="s">
        <v>22</v>
      </c>
      <c r="M10" s="92">
        <v>10</v>
      </c>
      <c r="N10" s="167" t="str">
        <f t="shared" si="1"/>
        <v/>
      </c>
      <c r="O10" s="168" t="s">
        <v>22</v>
      </c>
      <c r="P10" s="92">
        <v>10</v>
      </c>
      <c r="Q10" s="167" t="str">
        <f t="shared" si="2"/>
        <v/>
      </c>
      <c r="R10" s="168" t="s">
        <v>22</v>
      </c>
      <c r="S10" s="92">
        <v>12</v>
      </c>
      <c r="T10" s="167" t="str">
        <f t="shared" si="3"/>
        <v/>
      </c>
      <c r="U10" s="168" t="s">
        <v>22</v>
      </c>
      <c r="V10" s="92">
        <v>6</v>
      </c>
      <c r="W10" s="167" t="str">
        <f t="shared" si="4"/>
        <v/>
      </c>
      <c r="X10" s="168" t="s">
        <v>22</v>
      </c>
      <c r="Y10" s="92">
        <v>11</v>
      </c>
      <c r="Z10" s="167" t="str">
        <f t="shared" si="5"/>
        <v/>
      </c>
      <c r="AA10" s="168" t="s">
        <v>12</v>
      </c>
      <c r="AB10" s="92">
        <v>7</v>
      </c>
      <c r="AC10" s="167" t="str">
        <f t="shared" si="6"/>
        <v/>
      </c>
      <c r="AD10" s="168" t="s">
        <v>22</v>
      </c>
      <c r="AE10" s="92">
        <v>10</v>
      </c>
      <c r="AF10" s="167" t="str">
        <f t="shared" si="7"/>
        <v/>
      </c>
      <c r="AG10" s="168" t="s">
        <v>22</v>
      </c>
      <c r="AH10" s="92">
        <v>10</v>
      </c>
      <c r="AI10" s="167" t="str">
        <f t="shared" si="8"/>
        <v/>
      </c>
      <c r="AJ10" s="168" t="s">
        <v>12</v>
      </c>
      <c r="AK10" s="92">
        <v>2</v>
      </c>
      <c r="AL10" s="167" t="str">
        <f t="shared" si="9"/>
        <v/>
      </c>
      <c r="AM10" s="168" t="s">
        <v>12</v>
      </c>
      <c r="AN10" s="92">
        <v>11</v>
      </c>
      <c r="AO10" s="169" t="str">
        <f t="shared" si="10"/>
        <v/>
      </c>
      <c r="AT10" s="163" t="str">
        <f t="shared" si="11"/>
        <v>V</v>
      </c>
      <c r="AU10" s="92">
        <f t="shared" ca="1" si="12"/>
        <v>6</v>
      </c>
      <c r="AV10" s="169" t="str">
        <f t="shared" ca="1" si="13"/>
        <v/>
      </c>
      <c r="AX10" s="5">
        <f t="shared" si="14"/>
        <v>-54</v>
      </c>
      <c r="AY10" s="5">
        <f t="shared" si="17"/>
        <v>54</v>
      </c>
      <c r="AZ10" s="5">
        <f t="shared" si="15"/>
        <v>54</v>
      </c>
      <c r="BA10" s="5">
        <f t="shared" ca="1" si="16"/>
        <v>54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135</v>
      </c>
      <c r="BH10" s="162"/>
      <c r="BI10" s="45">
        <f>RANK(BK10,BK$4:BK$15,0)</f>
        <v>7</v>
      </c>
      <c r="BJ10" s="46" t="str">
        <f>$AM$2</f>
        <v>RR</v>
      </c>
      <c r="BK10" s="47">
        <f>$AO$22</f>
        <v>96.666666666666671</v>
      </c>
      <c r="BL10" s="48">
        <f>$AO$23</f>
        <v>290</v>
      </c>
      <c r="BM10" s="142"/>
      <c r="BN10" s="45">
        <v>5</v>
      </c>
      <c r="BO10" s="46" t="s">
        <v>63</v>
      </c>
      <c r="BP10" s="49">
        <v>-12</v>
      </c>
      <c r="BQ10" s="50">
        <v>-12</v>
      </c>
      <c r="BR10" s="51" t="s">
        <v>0</v>
      </c>
      <c r="BS10" s="52" t="s">
        <v>0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145</v>
      </c>
    </row>
    <row r="11" spans="1:77" ht="18" customHeight="1" x14ac:dyDescent="0.2">
      <c r="B11" s="163" t="s">
        <v>146</v>
      </c>
      <c r="C11" s="164" t="s">
        <v>72</v>
      </c>
      <c r="D11" s="164" t="s">
        <v>123</v>
      </c>
      <c r="E11" s="131"/>
      <c r="F11" s="166" t="s">
        <v>12</v>
      </c>
      <c r="G11" s="92">
        <v>15</v>
      </c>
      <c r="H11" s="167" t="str">
        <f t="shared" si="18"/>
        <v/>
      </c>
      <c r="I11" s="168" t="s">
        <v>12</v>
      </c>
      <c r="J11" s="92">
        <v>13</v>
      </c>
      <c r="K11" s="167" t="str">
        <f t="shared" si="0"/>
        <v/>
      </c>
      <c r="L11" s="168" t="s">
        <v>12</v>
      </c>
      <c r="M11" s="92">
        <v>15</v>
      </c>
      <c r="N11" s="167" t="str">
        <f t="shared" si="1"/>
        <v/>
      </c>
      <c r="O11" s="168" t="s">
        <v>12</v>
      </c>
      <c r="P11" s="92">
        <v>15</v>
      </c>
      <c r="Q11" s="167" t="str">
        <f t="shared" si="2"/>
        <v/>
      </c>
      <c r="R11" s="168" t="s">
        <v>12</v>
      </c>
      <c r="S11" s="92">
        <v>13</v>
      </c>
      <c r="T11" s="167" t="str">
        <f t="shared" si="3"/>
        <v/>
      </c>
      <c r="U11" s="168" t="s">
        <v>12</v>
      </c>
      <c r="V11" s="92">
        <v>13</v>
      </c>
      <c r="W11" s="167" t="str">
        <f t="shared" si="4"/>
        <v/>
      </c>
      <c r="X11" s="168" t="s">
        <v>12</v>
      </c>
      <c r="Y11" s="92">
        <v>14</v>
      </c>
      <c r="Z11" s="167" t="str">
        <f t="shared" si="5"/>
        <v/>
      </c>
      <c r="AA11" s="168" t="s">
        <v>12</v>
      </c>
      <c r="AB11" s="92">
        <v>15</v>
      </c>
      <c r="AC11" s="167" t="str">
        <f t="shared" si="6"/>
        <v/>
      </c>
      <c r="AD11" s="168" t="s">
        <v>12</v>
      </c>
      <c r="AE11" s="92">
        <v>15</v>
      </c>
      <c r="AF11" s="167" t="str">
        <f t="shared" si="7"/>
        <v/>
      </c>
      <c r="AG11" s="168" t="s">
        <v>12</v>
      </c>
      <c r="AH11" s="92">
        <v>14</v>
      </c>
      <c r="AI11" s="167" t="str">
        <f t="shared" si="8"/>
        <v/>
      </c>
      <c r="AJ11" s="168" t="s">
        <v>12</v>
      </c>
      <c r="AK11" s="92">
        <v>14</v>
      </c>
      <c r="AL11" s="167" t="str">
        <f t="shared" si="9"/>
        <v/>
      </c>
      <c r="AM11" s="168" t="s">
        <v>12</v>
      </c>
      <c r="AN11" s="92">
        <v>13</v>
      </c>
      <c r="AO11" s="169" t="str">
        <f t="shared" si="10"/>
        <v/>
      </c>
      <c r="AT11" s="163" t="str">
        <f t="shared" si="11"/>
        <v>H</v>
      </c>
      <c r="AU11" s="92">
        <f t="shared" ca="1" si="12"/>
        <v>15</v>
      </c>
      <c r="AV11" s="169" t="str">
        <f t="shared" ca="1" si="13"/>
        <v/>
      </c>
      <c r="AX11" s="5">
        <f t="shared" si="14"/>
        <v>169</v>
      </c>
      <c r="AY11" s="5">
        <f t="shared" si="17"/>
        <v>169</v>
      </c>
      <c r="AZ11" s="5">
        <f t="shared" ca="1" si="15"/>
        <v>169</v>
      </c>
      <c r="BA11" s="5">
        <f t="shared" ca="1" si="16"/>
        <v>169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135</v>
      </c>
      <c r="BH11" s="162"/>
      <c r="BI11" s="45">
        <f>RANK(BK11,BK$4:BK$15,0)</f>
        <v>8</v>
      </c>
      <c r="BJ11" s="46" t="str">
        <f>$AD$2</f>
        <v>KC</v>
      </c>
      <c r="BK11" s="47">
        <f>$AF$22</f>
        <v>92.666666666666671</v>
      </c>
      <c r="BL11" s="48">
        <f>$AF$23</f>
        <v>278</v>
      </c>
      <c r="BM11" s="142"/>
      <c r="BN11" s="45">
        <v>5</v>
      </c>
      <c r="BO11" s="46" t="s">
        <v>65</v>
      </c>
      <c r="BP11" s="49">
        <v>-12</v>
      </c>
      <c r="BQ11" s="50">
        <v>-12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147</v>
      </c>
    </row>
    <row r="12" spans="1:77" ht="18" customHeight="1" x14ac:dyDescent="0.2">
      <c r="B12" s="163" t="s">
        <v>125</v>
      </c>
      <c r="C12" s="164" t="s">
        <v>72</v>
      </c>
      <c r="D12" s="164" t="s">
        <v>112</v>
      </c>
      <c r="E12" s="131"/>
      <c r="F12" s="166" t="s">
        <v>22</v>
      </c>
      <c r="G12" s="92">
        <v>4</v>
      </c>
      <c r="H12" s="167" t="str">
        <f t="shared" si="18"/>
        <v/>
      </c>
      <c r="I12" s="168" t="s">
        <v>22</v>
      </c>
      <c r="J12" s="92">
        <v>14</v>
      </c>
      <c r="K12" s="167" t="str">
        <f t="shared" si="0"/>
        <v/>
      </c>
      <c r="L12" s="168" t="s">
        <v>22</v>
      </c>
      <c r="M12" s="92">
        <v>4</v>
      </c>
      <c r="N12" s="167" t="str">
        <f t="shared" si="1"/>
        <v/>
      </c>
      <c r="O12" s="168" t="s">
        <v>22</v>
      </c>
      <c r="P12" s="92">
        <v>5</v>
      </c>
      <c r="Q12" s="167" t="str">
        <f t="shared" si="2"/>
        <v/>
      </c>
      <c r="R12" s="168" t="s">
        <v>22</v>
      </c>
      <c r="S12" s="92">
        <v>9</v>
      </c>
      <c r="T12" s="167" t="str">
        <f t="shared" si="3"/>
        <v/>
      </c>
      <c r="U12" s="168" t="s">
        <v>12</v>
      </c>
      <c r="V12" s="92">
        <v>16</v>
      </c>
      <c r="W12" s="167" t="str">
        <f t="shared" si="4"/>
        <v/>
      </c>
      <c r="X12" s="168" t="s">
        <v>22</v>
      </c>
      <c r="Y12" s="92">
        <v>7</v>
      </c>
      <c r="Z12" s="167" t="str">
        <f t="shared" si="5"/>
        <v/>
      </c>
      <c r="AA12" s="168" t="s">
        <v>12</v>
      </c>
      <c r="AB12" s="92">
        <v>6</v>
      </c>
      <c r="AC12" s="167" t="str">
        <f t="shared" si="6"/>
        <v/>
      </c>
      <c r="AD12" s="168" t="s">
        <v>22</v>
      </c>
      <c r="AE12" s="92">
        <v>16</v>
      </c>
      <c r="AF12" s="167" t="str">
        <f t="shared" si="7"/>
        <v/>
      </c>
      <c r="AG12" s="168" t="s">
        <v>22</v>
      </c>
      <c r="AH12" s="92">
        <v>4</v>
      </c>
      <c r="AI12" s="167" t="str">
        <f t="shared" si="8"/>
        <v/>
      </c>
      <c r="AJ12" s="168" t="s">
        <v>22</v>
      </c>
      <c r="AK12" s="92">
        <v>12</v>
      </c>
      <c r="AL12" s="167" t="str">
        <f t="shared" si="9"/>
        <v/>
      </c>
      <c r="AM12" s="168" t="s">
        <v>22</v>
      </c>
      <c r="AN12" s="92">
        <v>3</v>
      </c>
      <c r="AO12" s="169" t="str">
        <f t="shared" si="10"/>
        <v/>
      </c>
      <c r="AT12" s="163" t="str">
        <f t="shared" si="11"/>
        <v>V</v>
      </c>
      <c r="AU12" s="92">
        <f t="shared" ca="1" si="12"/>
        <v>7</v>
      </c>
      <c r="AV12" s="169" t="str">
        <f t="shared" ca="1" si="13"/>
        <v/>
      </c>
      <c r="AX12" s="5">
        <f t="shared" si="14"/>
        <v>-56</v>
      </c>
      <c r="AY12" s="5">
        <f t="shared" si="17"/>
        <v>56</v>
      </c>
      <c r="AZ12" s="5">
        <f t="shared" si="15"/>
        <v>56</v>
      </c>
      <c r="BA12" s="5">
        <f t="shared" ca="1" si="16"/>
        <v>56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135</v>
      </c>
      <c r="BH12" s="162"/>
      <c r="BI12" s="45">
        <f>RANK(BK12,BK$4:BK$15,0)</f>
        <v>9</v>
      </c>
      <c r="BJ12" s="46" t="str">
        <f>$AA$2</f>
        <v>JL</v>
      </c>
      <c r="BK12" s="47">
        <f>$AC$22</f>
        <v>92</v>
      </c>
      <c r="BL12" s="48">
        <f>$AC$23</f>
        <v>276</v>
      </c>
      <c r="BM12" s="142"/>
      <c r="BN12" s="45">
        <v>5</v>
      </c>
      <c r="BO12" s="46" t="s">
        <v>66</v>
      </c>
      <c r="BP12" s="49">
        <v>-12</v>
      </c>
      <c r="BQ12" s="50">
        <v>-12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148</v>
      </c>
    </row>
    <row r="13" spans="1:77" ht="18" customHeight="1" x14ac:dyDescent="0.2">
      <c r="B13" s="163" t="s">
        <v>129</v>
      </c>
      <c r="C13" s="164" t="s">
        <v>72</v>
      </c>
      <c r="D13" s="164" t="s">
        <v>117</v>
      </c>
      <c r="E13" s="131"/>
      <c r="F13" s="166" t="s">
        <v>12</v>
      </c>
      <c r="G13" s="92">
        <v>6</v>
      </c>
      <c r="H13" s="167" t="str">
        <f t="shared" si="18"/>
        <v/>
      </c>
      <c r="I13" s="168" t="s">
        <v>12</v>
      </c>
      <c r="J13" s="92">
        <v>6</v>
      </c>
      <c r="K13" s="167" t="str">
        <f t="shared" si="0"/>
        <v/>
      </c>
      <c r="L13" s="168" t="s">
        <v>12</v>
      </c>
      <c r="M13" s="92">
        <v>3</v>
      </c>
      <c r="N13" s="167" t="str">
        <f t="shared" si="1"/>
        <v/>
      </c>
      <c r="O13" s="168" t="s">
        <v>12</v>
      </c>
      <c r="P13" s="92">
        <v>3</v>
      </c>
      <c r="Q13" s="167" t="str">
        <f t="shared" si="2"/>
        <v/>
      </c>
      <c r="R13" s="168" t="s">
        <v>12</v>
      </c>
      <c r="S13" s="92">
        <v>4</v>
      </c>
      <c r="T13" s="167" t="str">
        <f t="shared" si="3"/>
        <v/>
      </c>
      <c r="U13" s="168" t="s">
        <v>22</v>
      </c>
      <c r="V13" s="92">
        <v>10</v>
      </c>
      <c r="W13" s="167" t="str">
        <f t="shared" si="4"/>
        <v/>
      </c>
      <c r="X13" s="168" t="s">
        <v>12</v>
      </c>
      <c r="Y13" s="92">
        <v>8</v>
      </c>
      <c r="Z13" s="167" t="str">
        <f t="shared" si="5"/>
        <v/>
      </c>
      <c r="AA13" s="168" t="s">
        <v>12</v>
      </c>
      <c r="AB13" s="92">
        <v>5</v>
      </c>
      <c r="AC13" s="167" t="str">
        <f t="shared" si="6"/>
        <v/>
      </c>
      <c r="AD13" s="168" t="s">
        <v>12</v>
      </c>
      <c r="AE13" s="92">
        <v>3</v>
      </c>
      <c r="AF13" s="167" t="str">
        <f t="shared" si="7"/>
        <v/>
      </c>
      <c r="AG13" s="168" t="s">
        <v>12</v>
      </c>
      <c r="AH13" s="92">
        <v>3</v>
      </c>
      <c r="AI13" s="167" t="str">
        <f t="shared" si="8"/>
        <v/>
      </c>
      <c r="AJ13" s="168" t="s">
        <v>12</v>
      </c>
      <c r="AK13" s="92">
        <v>6</v>
      </c>
      <c r="AL13" s="167" t="str">
        <f t="shared" si="9"/>
        <v/>
      </c>
      <c r="AM13" s="168" t="s">
        <v>12</v>
      </c>
      <c r="AN13" s="92">
        <v>10</v>
      </c>
      <c r="AO13" s="169" t="str">
        <f t="shared" si="10"/>
        <v/>
      </c>
      <c r="AT13" s="163" t="str">
        <f t="shared" si="11"/>
        <v>H</v>
      </c>
      <c r="AU13" s="92">
        <f t="shared" ca="1" si="12"/>
        <v>5</v>
      </c>
      <c r="AV13" s="169" t="str">
        <f t="shared" ca="1" si="13"/>
        <v/>
      </c>
      <c r="AX13" s="5">
        <f t="shared" si="14"/>
        <v>47</v>
      </c>
      <c r="AY13" s="5">
        <f t="shared" si="17"/>
        <v>47</v>
      </c>
      <c r="AZ13" s="5">
        <f t="shared" ca="1" si="15"/>
        <v>47</v>
      </c>
      <c r="BA13" s="5">
        <f t="shared" ca="1" si="16"/>
        <v>47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135</v>
      </c>
      <c r="BH13" s="162"/>
      <c r="BI13" s="45">
        <f>RANK(BK13,BK$4:BK$15,0)</f>
        <v>10</v>
      </c>
      <c r="BJ13" s="46" t="str">
        <f>$R$2</f>
        <v>DH</v>
      </c>
      <c r="BK13" s="47">
        <f>$T$22</f>
        <v>87.666666666666671</v>
      </c>
      <c r="BL13" s="48">
        <f>$T$23</f>
        <v>263</v>
      </c>
      <c r="BM13" s="142"/>
      <c r="BN13" s="45">
        <v>5</v>
      </c>
      <c r="BO13" s="46" t="s">
        <v>67</v>
      </c>
      <c r="BP13" s="49">
        <v>-12</v>
      </c>
      <c r="BQ13" s="50">
        <v>-12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149</v>
      </c>
    </row>
    <row r="14" spans="1:77" ht="18" customHeight="1" x14ac:dyDescent="0.2">
      <c r="B14" s="163" t="s">
        <v>131</v>
      </c>
      <c r="C14" s="164" t="s">
        <v>72</v>
      </c>
      <c r="D14" s="164" t="s">
        <v>107</v>
      </c>
      <c r="E14" s="131"/>
      <c r="F14" s="166" t="s">
        <v>22</v>
      </c>
      <c r="G14" s="92">
        <v>16</v>
      </c>
      <c r="H14" s="167" t="str">
        <f t="shared" si="18"/>
        <v/>
      </c>
      <c r="I14" s="168" t="s">
        <v>22</v>
      </c>
      <c r="J14" s="92">
        <v>15</v>
      </c>
      <c r="K14" s="167" t="str">
        <f t="shared" si="0"/>
        <v/>
      </c>
      <c r="L14" s="168" t="s">
        <v>22</v>
      </c>
      <c r="M14" s="92">
        <v>16</v>
      </c>
      <c r="N14" s="167" t="str">
        <f t="shared" si="1"/>
        <v/>
      </c>
      <c r="O14" s="168" t="s">
        <v>22</v>
      </c>
      <c r="P14" s="92">
        <v>16</v>
      </c>
      <c r="Q14" s="167" t="str">
        <f t="shared" si="2"/>
        <v/>
      </c>
      <c r="R14" s="168" t="s">
        <v>22</v>
      </c>
      <c r="S14" s="92">
        <v>14</v>
      </c>
      <c r="T14" s="167" t="str">
        <f t="shared" si="3"/>
        <v/>
      </c>
      <c r="U14" s="168" t="s">
        <v>22</v>
      </c>
      <c r="V14" s="92">
        <v>15</v>
      </c>
      <c r="W14" s="167" t="str">
        <f t="shared" si="4"/>
        <v/>
      </c>
      <c r="X14" s="168" t="s">
        <v>22</v>
      </c>
      <c r="Y14" s="92">
        <v>16</v>
      </c>
      <c r="Z14" s="167" t="str">
        <f t="shared" si="5"/>
        <v/>
      </c>
      <c r="AA14" s="168" t="s">
        <v>22</v>
      </c>
      <c r="AB14" s="92">
        <v>16</v>
      </c>
      <c r="AC14" s="167" t="str">
        <f t="shared" si="6"/>
        <v/>
      </c>
      <c r="AD14" s="168" t="s">
        <v>22</v>
      </c>
      <c r="AE14" s="92">
        <v>4</v>
      </c>
      <c r="AF14" s="167" t="str">
        <f t="shared" si="7"/>
        <v/>
      </c>
      <c r="AG14" s="168" t="s">
        <v>22</v>
      </c>
      <c r="AH14" s="92">
        <v>15</v>
      </c>
      <c r="AI14" s="167" t="str">
        <f t="shared" si="8"/>
        <v/>
      </c>
      <c r="AJ14" s="168" t="s">
        <v>22</v>
      </c>
      <c r="AK14" s="92">
        <v>16</v>
      </c>
      <c r="AL14" s="167" t="str">
        <f t="shared" si="9"/>
        <v/>
      </c>
      <c r="AM14" s="168" t="s">
        <v>22</v>
      </c>
      <c r="AN14" s="92">
        <v>16</v>
      </c>
      <c r="AO14" s="169" t="str">
        <f t="shared" si="10"/>
        <v/>
      </c>
      <c r="AT14" s="163" t="str">
        <f t="shared" si="11"/>
        <v>V</v>
      </c>
      <c r="AU14" s="92">
        <f t="shared" ca="1" si="12"/>
        <v>16</v>
      </c>
      <c r="AV14" s="169" t="str">
        <f t="shared" ca="1" si="13"/>
        <v/>
      </c>
      <c r="AX14" s="5">
        <f t="shared" si="14"/>
        <v>-175</v>
      </c>
      <c r="AY14" s="5">
        <f t="shared" si="17"/>
        <v>175</v>
      </c>
      <c r="AZ14" s="5">
        <f t="shared" si="15"/>
        <v>175</v>
      </c>
      <c r="BA14" s="5">
        <f t="shared" ca="1" si="16"/>
        <v>175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135</v>
      </c>
      <c r="BH14" s="162"/>
      <c r="BI14" s="45">
        <f>RANK(BK14,BK$4:BK$15,0)</f>
        <v>11</v>
      </c>
      <c r="BJ14" s="46" t="str">
        <f>$I$2</f>
        <v>CK</v>
      </c>
      <c r="BK14" s="47">
        <f>$K$22</f>
        <v>86.666666666666671</v>
      </c>
      <c r="BL14" s="48">
        <f>$K$23</f>
        <v>260</v>
      </c>
      <c r="BM14" s="142"/>
      <c r="BN14" s="45">
        <v>5</v>
      </c>
      <c r="BO14" s="46" t="s">
        <v>68</v>
      </c>
      <c r="BP14" s="49">
        <v>-12</v>
      </c>
      <c r="BQ14" s="50">
        <v>-12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150</v>
      </c>
    </row>
    <row r="15" spans="1:77" ht="18" customHeight="1" thickBot="1" x14ac:dyDescent="0.25">
      <c r="B15" s="163" t="s">
        <v>128</v>
      </c>
      <c r="C15" s="164" t="s">
        <v>72</v>
      </c>
      <c r="D15" s="164" t="s">
        <v>116</v>
      </c>
      <c r="E15" s="131"/>
      <c r="F15" s="166" t="s">
        <v>12</v>
      </c>
      <c r="G15" s="92">
        <v>7</v>
      </c>
      <c r="H15" s="167" t="str">
        <f t="shared" si="18"/>
        <v/>
      </c>
      <c r="I15" s="168" t="s">
        <v>12</v>
      </c>
      <c r="J15" s="92">
        <v>9</v>
      </c>
      <c r="K15" s="167" t="str">
        <f t="shared" si="0"/>
        <v/>
      </c>
      <c r="L15" s="168" t="s">
        <v>12</v>
      </c>
      <c r="M15" s="92">
        <v>13</v>
      </c>
      <c r="N15" s="167" t="str">
        <f t="shared" si="1"/>
        <v/>
      </c>
      <c r="O15" s="168" t="s">
        <v>12</v>
      </c>
      <c r="P15" s="92">
        <v>13</v>
      </c>
      <c r="Q15" s="167" t="str">
        <f t="shared" si="2"/>
        <v/>
      </c>
      <c r="R15" s="168" t="s">
        <v>12</v>
      </c>
      <c r="S15" s="92">
        <v>15</v>
      </c>
      <c r="T15" s="167" t="str">
        <f t="shared" si="3"/>
        <v/>
      </c>
      <c r="U15" s="168" t="s">
        <v>12</v>
      </c>
      <c r="V15" s="92">
        <v>7</v>
      </c>
      <c r="W15" s="167" t="str">
        <f t="shared" si="4"/>
        <v/>
      </c>
      <c r="X15" s="168" t="s">
        <v>12</v>
      </c>
      <c r="Y15" s="92">
        <v>13</v>
      </c>
      <c r="Z15" s="167" t="str">
        <f t="shared" si="5"/>
        <v/>
      </c>
      <c r="AA15" s="168" t="s">
        <v>12</v>
      </c>
      <c r="AB15" s="92">
        <v>13</v>
      </c>
      <c r="AC15" s="167" t="str">
        <f t="shared" si="6"/>
        <v/>
      </c>
      <c r="AD15" s="168" t="s">
        <v>12</v>
      </c>
      <c r="AE15" s="92">
        <v>13</v>
      </c>
      <c r="AF15" s="167" t="str">
        <f t="shared" si="7"/>
        <v/>
      </c>
      <c r="AG15" s="168" t="s">
        <v>12</v>
      </c>
      <c r="AH15" s="92">
        <v>13</v>
      </c>
      <c r="AI15" s="167" t="str">
        <f t="shared" si="8"/>
        <v/>
      </c>
      <c r="AJ15" s="168" t="s">
        <v>12</v>
      </c>
      <c r="AK15" s="92">
        <v>13</v>
      </c>
      <c r="AL15" s="167" t="str">
        <f t="shared" si="9"/>
        <v/>
      </c>
      <c r="AM15" s="168" t="s">
        <v>12</v>
      </c>
      <c r="AN15" s="92">
        <v>9</v>
      </c>
      <c r="AO15" s="169" t="str">
        <f t="shared" si="10"/>
        <v/>
      </c>
      <c r="AT15" s="163" t="str">
        <f t="shared" si="11"/>
        <v>H</v>
      </c>
      <c r="AU15" s="92">
        <f t="shared" ca="1" si="12"/>
        <v>13</v>
      </c>
      <c r="AV15" s="169" t="str">
        <f t="shared" ca="1" si="13"/>
        <v/>
      </c>
      <c r="AX15" s="5">
        <f t="shared" si="14"/>
        <v>138</v>
      </c>
      <c r="AY15" s="5">
        <f t="shared" si="17"/>
        <v>138</v>
      </c>
      <c r="AZ15" s="5">
        <f t="shared" ca="1" si="15"/>
        <v>138</v>
      </c>
      <c r="BA15" s="5">
        <f t="shared" ca="1" si="16"/>
        <v>138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135</v>
      </c>
      <c r="BH15" s="162"/>
      <c r="BI15" s="58">
        <f>RANK(BK15,BK$4:BK$15,0)</f>
        <v>12</v>
      </c>
      <c r="BJ15" s="59" t="str">
        <f>$U$2</f>
        <v>JG</v>
      </c>
      <c r="BK15" s="60">
        <f>$W$22</f>
        <v>85.333333333333329</v>
      </c>
      <c r="BL15" s="61">
        <f>$W$23</f>
        <v>256</v>
      </c>
      <c r="BM15" s="142"/>
      <c r="BN15" s="58">
        <v>5</v>
      </c>
      <c r="BO15" s="59" t="s">
        <v>69</v>
      </c>
      <c r="BP15" s="62">
        <v>-12</v>
      </c>
      <c r="BQ15" s="63">
        <v>-12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151</v>
      </c>
    </row>
    <row r="16" spans="1:77" ht="18" customHeight="1" thickTop="1" x14ac:dyDescent="0.2">
      <c r="B16" s="163" t="s">
        <v>114</v>
      </c>
      <c r="C16" s="164" t="s">
        <v>72</v>
      </c>
      <c r="D16" s="164" t="s">
        <v>118</v>
      </c>
      <c r="E16" s="131"/>
      <c r="F16" s="166" t="s">
        <v>12</v>
      </c>
      <c r="G16" s="92">
        <v>3</v>
      </c>
      <c r="H16" s="167" t="str">
        <f t="shared" si="18"/>
        <v/>
      </c>
      <c r="I16" s="168" t="s">
        <v>12</v>
      </c>
      <c r="J16" s="92">
        <v>8</v>
      </c>
      <c r="K16" s="167" t="str">
        <f t="shared" si="0"/>
        <v/>
      </c>
      <c r="L16" s="168" t="s">
        <v>12</v>
      </c>
      <c r="M16" s="92">
        <v>6</v>
      </c>
      <c r="N16" s="167" t="str">
        <f t="shared" si="1"/>
        <v/>
      </c>
      <c r="O16" s="168" t="s">
        <v>12</v>
      </c>
      <c r="P16" s="92">
        <v>6</v>
      </c>
      <c r="Q16" s="167" t="str">
        <f t="shared" si="2"/>
        <v/>
      </c>
      <c r="R16" s="168" t="s">
        <v>12</v>
      </c>
      <c r="S16" s="92">
        <v>2</v>
      </c>
      <c r="T16" s="167" t="str">
        <f t="shared" si="3"/>
        <v/>
      </c>
      <c r="U16" s="168" t="s">
        <v>22</v>
      </c>
      <c r="V16" s="92">
        <v>9</v>
      </c>
      <c r="W16" s="167" t="str">
        <f t="shared" si="4"/>
        <v/>
      </c>
      <c r="X16" s="168" t="s">
        <v>12</v>
      </c>
      <c r="Y16" s="92">
        <v>9</v>
      </c>
      <c r="Z16" s="167" t="str">
        <f t="shared" si="5"/>
        <v/>
      </c>
      <c r="AA16" s="168" t="s">
        <v>22</v>
      </c>
      <c r="AB16" s="92">
        <v>4</v>
      </c>
      <c r="AC16" s="167" t="str">
        <f t="shared" si="6"/>
        <v/>
      </c>
      <c r="AD16" s="168" t="s">
        <v>12</v>
      </c>
      <c r="AE16" s="92">
        <v>6</v>
      </c>
      <c r="AF16" s="167" t="str">
        <f t="shared" si="7"/>
        <v/>
      </c>
      <c r="AG16" s="168" t="s">
        <v>12</v>
      </c>
      <c r="AH16" s="92">
        <v>6</v>
      </c>
      <c r="AI16" s="167" t="str">
        <f t="shared" si="8"/>
        <v/>
      </c>
      <c r="AJ16" s="168" t="s">
        <v>22</v>
      </c>
      <c r="AK16" s="92">
        <v>8</v>
      </c>
      <c r="AL16" s="167" t="str">
        <f t="shared" si="9"/>
        <v/>
      </c>
      <c r="AM16" s="168" t="s">
        <v>12</v>
      </c>
      <c r="AN16" s="92">
        <v>2</v>
      </c>
      <c r="AO16" s="169" t="str">
        <f t="shared" si="10"/>
        <v/>
      </c>
      <c r="AT16" s="163" t="str">
        <f t="shared" si="11"/>
        <v>H</v>
      </c>
      <c r="AU16" s="92">
        <f t="shared" ca="1" si="12"/>
        <v>3</v>
      </c>
      <c r="AV16" s="169" t="str">
        <f t="shared" ca="1" si="13"/>
        <v/>
      </c>
      <c r="AX16" s="5">
        <f t="shared" si="14"/>
        <v>27</v>
      </c>
      <c r="AY16" s="5">
        <f t="shared" si="17"/>
        <v>27</v>
      </c>
      <c r="AZ16" s="5">
        <f t="shared" ca="1" si="15"/>
        <v>27</v>
      </c>
      <c r="BA16" s="5">
        <f t="shared" ca="1" si="16"/>
        <v>27</v>
      </c>
      <c r="BB16" s="5">
        <v>13</v>
      </c>
      <c r="BC16" s="5">
        <f ca="1">COUNTIF($AY$4:OFFSET($AY$4,0,0,BB16,1),AY16)</f>
        <v>1</v>
      </c>
      <c r="BY16" s="143" t="s">
        <v>152</v>
      </c>
    </row>
    <row r="17" spans="1:77" ht="18" customHeight="1" x14ac:dyDescent="0.2">
      <c r="B17" s="163" t="s">
        <v>121</v>
      </c>
      <c r="C17" s="164" t="s">
        <v>72</v>
      </c>
      <c r="D17" s="164" t="s">
        <v>133</v>
      </c>
      <c r="E17" s="131"/>
      <c r="F17" s="166" t="s">
        <v>12</v>
      </c>
      <c r="G17" s="92">
        <v>14</v>
      </c>
      <c r="H17" s="167" t="str">
        <f t="shared" si="18"/>
        <v/>
      </c>
      <c r="I17" s="168" t="s">
        <v>12</v>
      </c>
      <c r="J17" s="92">
        <v>7</v>
      </c>
      <c r="K17" s="167" t="str">
        <f t="shared" si="0"/>
        <v/>
      </c>
      <c r="L17" s="168" t="s">
        <v>12</v>
      </c>
      <c r="M17" s="92">
        <v>14</v>
      </c>
      <c r="N17" s="167" t="str">
        <f t="shared" si="1"/>
        <v/>
      </c>
      <c r="O17" s="168" t="s">
        <v>12</v>
      </c>
      <c r="P17" s="92">
        <v>14</v>
      </c>
      <c r="Q17" s="167" t="str">
        <f t="shared" si="2"/>
        <v/>
      </c>
      <c r="R17" s="168" t="s">
        <v>12</v>
      </c>
      <c r="S17" s="92">
        <v>16</v>
      </c>
      <c r="T17" s="167" t="str">
        <f t="shared" si="3"/>
        <v/>
      </c>
      <c r="U17" s="168" t="s">
        <v>12</v>
      </c>
      <c r="V17" s="92">
        <v>14</v>
      </c>
      <c r="W17" s="167" t="str">
        <f t="shared" si="4"/>
        <v/>
      </c>
      <c r="X17" s="168" t="s">
        <v>12</v>
      </c>
      <c r="Y17" s="92">
        <v>15</v>
      </c>
      <c r="Z17" s="167" t="str">
        <f t="shared" si="5"/>
        <v/>
      </c>
      <c r="AA17" s="168" t="s">
        <v>12</v>
      </c>
      <c r="AB17" s="92">
        <v>14</v>
      </c>
      <c r="AC17" s="167" t="str">
        <f t="shared" si="6"/>
        <v/>
      </c>
      <c r="AD17" s="168" t="s">
        <v>12</v>
      </c>
      <c r="AE17" s="92">
        <v>14</v>
      </c>
      <c r="AF17" s="167" t="str">
        <f t="shared" si="7"/>
        <v/>
      </c>
      <c r="AG17" s="168" t="s">
        <v>12</v>
      </c>
      <c r="AH17" s="92">
        <v>16</v>
      </c>
      <c r="AI17" s="167" t="str">
        <f t="shared" si="8"/>
        <v/>
      </c>
      <c r="AJ17" s="168" t="s">
        <v>12</v>
      </c>
      <c r="AK17" s="92">
        <v>15</v>
      </c>
      <c r="AL17" s="167" t="str">
        <f t="shared" si="9"/>
        <v/>
      </c>
      <c r="AM17" s="168" t="s">
        <v>12</v>
      </c>
      <c r="AN17" s="92">
        <v>15</v>
      </c>
      <c r="AO17" s="169" t="str">
        <f t="shared" si="10"/>
        <v/>
      </c>
      <c r="AT17" s="163" t="str">
        <f t="shared" si="11"/>
        <v>H</v>
      </c>
      <c r="AU17" s="92">
        <f t="shared" ca="1" si="12"/>
        <v>14</v>
      </c>
      <c r="AV17" s="169" t="str">
        <f t="shared" ca="1" si="13"/>
        <v/>
      </c>
      <c r="AX17" s="5">
        <f t="shared" si="14"/>
        <v>168</v>
      </c>
      <c r="AY17" s="5">
        <f t="shared" si="17"/>
        <v>168</v>
      </c>
      <c r="AZ17" s="5">
        <f t="shared" ca="1" si="15"/>
        <v>168</v>
      </c>
      <c r="BA17" s="5">
        <f t="shared" ca="1" si="16"/>
        <v>168</v>
      </c>
      <c r="BB17" s="5">
        <v>14</v>
      </c>
      <c r="BC17" s="5">
        <f ca="1">COUNTIF($AY$4:OFFSET($AY$4,0,0,BB17,1),AY17)</f>
        <v>1</v>
      </c>
      <c r="BY17" s="143" t="s">
        <v>153</v>
      </c>
    </row>
    <row r="18" spans="1:77" ht="18" customHeight="1" x14ac:dyDescent="0.2">
      <c r="B18" s="163" t="s">
        <v>0</v>
      </c>
      <c r="C18" s="164" t="s">
        <v>0</v>
      </c>
      <c r="D18" s="164" t="s">
        <v>0</v>
      </c>
      <c r="E18" s="131"/>
      <c r="F18" s="166"/>
      <c r="G18" s="92"/>
      <c r="H18" s="167" t="str">
        <f t="shared" si="18"/>
        <v/>
      </c>
      <c r="I18" s="168"/>
      <c r="J18" s="92"/>
      <c r="K18" s="167" t="str">
        <f t="shared" si="0"/>
        <v/>
      </c>
      <c r="L18" s="168"/>
      <c r="M18" s="92"/>
      <c r="N18" s="167" t="str">
        <f t="shared" si="1"/>
        <v/>
      </c>
      <c r="O18" s="168"/>
      <c r="P18" s="92"/>
      <c r="Q18" s="167" t="str">
        <f t="shared" si="2"/>
        <v/>
      </c>
      <c r="R18" s="168"/>
      <c r="S18" s="92"/>
      <c r="T18" s="167" t="str">
        <f t="shared" si="3"/>
        <v/>
      </c>
      <c r="U18" s="168"/>
      <c r="V18" s="92"/>
      <c r="W18" s="167" t="str">
        <f t="shared" si="4"/>
        <v/>
      </c>
      <c r="X18" s="168"/>
      <c r="Y18" s="92"/>
      <c r="Z18" s="167" t="str">
        <f t="shared" si="5"/>
        <v/>
      </c>
      <c r="AA18" s="168"/>
      <c r="AB18" s="92"/>
      <c r="AC18" s="167" t="str">
        <f t="shared" si="6"/>
        <v/>
      </c>
      <c r="AD18" s="168"/>
      <c r="AE18" s="92"/>
      <c r="AF18" s="167" t="str">
        <f t="shared" si="7"/>
        <v/>
      </c>
      <c r="AG18" s="168"/>
      <c r="AH18" s="92"/>
      <c r="AI18" s="167" t="str">
        <f t="shared" si="8"/>
        <v/>
      </c>
      <c r="AJ18" s="168"/>
      <c r="AK18" s="92"/>
      <c r="AL18" s="167" t="str">
        <f t="shared" si="9"/>
        <v/>
      </c>
      <c r="AM18" s="168"/>
      <c r="AN18" s="92"/>
      <c r="AO18" s="169" t="str">
        <f t="shared" si="10"/>
        <v/>
      </c>
      <c r="AT18" s="163" t="str">
        <f>IF($B18="","",IF(AX18&lt;0,"V","H"))</f>
        <v/>
      </c>
      <c r="AU18" s="92" t="str">
        <f>IF($B18="","",RANK(BA18,BA$4:BA$19,1))</f>
        <v/>
      </c>
      <c r="AV18" s="169" t="str">
        <f t="shared" si="13"/>
        <v/>
      </c>
      <c r="AX18" s="5">
        <f t="shared" si="14"/>
        <v>0</v>
      </c>
      <c r="AY18" s="5">
        <f t="shared" si="17"/>
        <v>-0.1</v>
      </c>
      <c r="AZ18" s="5">
        <f t="shared" si="15"/>
        <v>-0.1</v>
      </c>
      <c r="BA18" s="5">
        <f t="shared" si="16"/>
        <v>-0.1</v>
      </c>
      <c r="BB18" s="5">
        <v>15</v>
      </c>
      <c r="BC18" s="5">
        <f ca="1">COUNTIF($AY$4:OFFSET($AY$4,0,0,BB18,1),AY18)</f>
        <v>1</v>
      </c>
      <c r="BY18" s="143" t="s">
        <v>154</v>
      </c>
    </row>
    <row r="19" spans="1:77" ht="18" customHeight="1" x14ac:dyDescent="0.2">
      <c r="B19" s="163" t="s">
        <v>130</v>
      </c>
      <c r="C19" s="164" t="s">
        <v>72</v>
      </c>
      <c r="D19" s="164" t="s">
        <v>155</v>
      </c>
      <c r="E19" s="131"/>
      <c r="F19" s="166" t="s">
        <v>12</v>
      </c>
      <c r="G19" s="92">
        <v>5</v>
      </c>
      <c r="H19" s="167" t="str">
        <f t="shared" si="18"/>
        <v/>
      </c>
      <c r="I19" s="168" t="s">
        <v>12</v>
      </c>
      <c r="J19" s="92">
        <v>16</v>
      </c>
      <c r="K19" s="167" t="str">
        <f t="shared" si="0"/>
        <v/>
      </c>
      <c r="L19" s="168" t="s">
        <v>12</v>
      </c>
      <c r="M19" s="92">
        <v>5</v>
      </c>
      <c r="N19" s="167" t="str">
        <f t="shared" si="1"/>
        <v/>
      </c>
      <c r="O19" s="168" t="s">
        <v>12</v>
      </c>
      <c r="P19" s="92">
        <v>4</v>
      </c>
      <c r="Q19" s="167" t="str">
        <f t="shared" si="2"/>
        <v/>
      </c>
      <c r="R19" s="168" t="s">
        <v>12</v>
      </c>
      <c r="S19" s="92">
        <v>3</v>
      </c>
      <c r="T19" s="167" t="str">
        <f t="shared" si="3"/>
        <v/>
      </c>
      <c r="U19" s="168" t="s">
        <v>12</v>
      </c>
      <c r="V19" s="92">
        <v>3</v>
      </c>
      <c r="W19" s="167" t="str">
        <f t="shared" si="4"/>
        <v/>
      </c>
      <c r="X19" s="168" t="s">
        <v>22</v>
      </c>
      <c r="Y19" s="92">
        <v>3</v>
      </c>
      <c r="Z19" s="167" t="str">
        <f t="shared" si="5"/>
        <v/>
      </c>
      <c r="AA19" s="168" t="s">
        <v>12</v>
      </c>
      <c r="AB19" s="92">
        <v>8</v>
      </c>
      <c r="AC19" s="167" t="str">
        <f t="shared" si="6"/>
        <v/>
      </c>
      <c r="AD19" s="168" t="s">
        <v>12</v>
      </c>
      <c r="AE19" s="92">
        <v>5</v>
      </c>
      <c r="AF19" s="167" t="str">
        <f t="shared" si="7"/>
        <v/>
      </c>
      <c r="AG19" s="168" t="s">
        <v>12</v>
      </c>
      <c r="AH19" s="92">
        <v>5</v>
      </c>
      <c r="AI19" s="167" t="str">
        <f t="shared" si="8"/>
        <v/>
      </c>
      <c r="AJ19" s="168" t="s">
        <v>12</v>
      </c>
      <c r="AK19" s="92">
        <v>7</v>
      </c>
      <c r="AL19" s="167" t="str">
        <f t="shared" si="9"/>
        <v/>
      </c>
      <c r="AM19" s="168" t="s">
        <v>12</v>
      </c>
      <c r="AN19" s="92">
        <v>5</v>
      </c>
      <c r="AO19" s="169" t="str">
        <f t="shared" si="10"/>
        <v/>
      </c>
      <c r="AT19" s="163" t="str">
        <f>IF($B19="","",IF(AX19&lt;0,"V","H"))</f>
        <v>H</v>
      </c>
      <c r="AU19" s="92">
        <f ca="1">IF($B19="","",RANK(BA19,BA$4:BA$19,1))</f>
        <v>10</v>
      </c>
      <c r="AV19" s="169" t="str">
        <f t="shared" ca="1" si="13"/>
        <v/>
      </c>
      <c r="AX19" s="5">
        <f t="shared" si="14"/>
        <v>63</v>
      </c>
      <c r="AY19" s="5">
        <f t="shared" si="17"/>
        <v>63</v>
      </c>
      <c r="AZ19" s="5">
        <f t="shared" ca="1" si="15"/>
        <v>63</v>
      </c>
      <c r="BA19" s="5">
        <f t="shared" ca="1" si="16"/>
        <v>63</v>
      </c>
      <c r="BB19" s="5">
        <v>16</v>
      </c>
      <c r="BC19" s="5">
        <f ca="1">COUNTIF($AY$4:OFFSET($AY$4,0,0,BB19,1),AY19)</f>
        <v>1</v>
      </c>
      <c r="BY19" s="143" t="s">
        <v>156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48</v>
      </c>
      <c r="H20" s="174"/>
      <c r="I20" s="175" t="s">
        <v>73</v>
      </c>
      <c r="J20" s="68">
        <v>48</v>
      </c>
      <c r="K20" s="174"/>
      <c r="L20" s="175" t="s">
        <v>73</v>
      </c>
      <c r="M20" s="68">
        <v>46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46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48</v>
      </c>
      <c r="Z20" s="174"/>
      <c r="AA20" s="175" t="s">
        <v>73</v>
      </c>
      <c r="AB20" s="68">
        <v>45</v>
      </c>
      <c r="AC20" s="174"/>
      <c r="AD20" s="175" t="s">
        <v>73</v>
      </c>
      <c r="AE20" s="68">
        <v>46</v>
      </c>
      <c r="AF20" s="174"/>
      <c r="AG20" s="175" t="s">
        <v>73</v>
      </c>
      <c r="AH20" s="68">
        <v>46</v>
      </c>
      <c r="AI20" s="174"/>
      <c r="AJ20" s="175" t="s">
        <v>73</v>
      </c>
      <c r="AK20" s="68">
        <v>46</v>
      </c>
      <c r="AL20" s="174"/>
      <c r="AM20" s="175" t="s">
        <v>73</v>
      </c>
      <c r="AN20" s="68">
        <v>28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157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135</v>
      </c>
      <c r="I21" s="183"/>
      <c r="J21" s="93">
        <f>RANK(K21,$H34:$AO34,0)+J52</f>
        <v>1</v>
      </c>
      <c r="K21" s="182">
        <f>IF(SUM(J4:J19)&gt;0,SUM(K4:K19)+$F$31,0)</f>
        <v>135</v>
      </c>
      <c r="L21" s="183"/>
      <c r="M21" s="93">
        <f>RANK(N21,$H34:$AO34,0)+M52</f>
        <v>1</v>
      </c>
      <c r="N21" s="182">
        <f>IF(SUM(M4:M19)&gt;0,SUM(N4:N19)+$F$31,0)</f>
        <v>135</v>
      </c>
      <c r="O21" s="183"/>
      <c r="P21" s="93">
        <f>RANK(Q21,$H34:$AO34,0)+P52</f>
        <v>1</v>
      </c>
      <c r="Q21" s="182">
        <f>IF(SUM(P4:P19)&gt;0,SUM(Q4:Q19)+$F$31,0)</f>
        <v>135</v>
      </c>
      <c r="R21" s="183"/>
      <c r="S21" s="93">
        <f>RANK(T21,$H34:$AO34,0)+S52</f>
        <v>1</v>
      </c>
      <c r="T21" s="182">
        <f>IF(SUM(S4:S19)&gt;0,SUM(T4:T19)+$F$31,0)</f>
        <v>135</v>
      </c>
      <c r="U21" s="183"/>
      <c r="V21" s="93">
        <f>RANK(W21,$H34:$AO34,0)+V52</f>
        <v>1</v>
      </c>
      <c r="W21" s="182">
        <f>IF(SUM(V4:V19)&gt;0,SUM(W4:W19)+$F$31,0)</f>
        <v>135</v>
      </c>
      <c r="X21" s="183"/>
      <c r="Y21" s="93">
        <f>RANK(Z21,$H34:$AO34,0)+Y52</f>
        <v>1</v>
      </c>
      <c r="Z21" s="182">
        <f>IF(SUM(Y4:Y19)&gt;0,SUM(Z4:Z19)+$F$31,0)</f>
        <v>135</v>
      </c>
      <c r="AA21" s="183"/>
      <c r="AB21" s="93">
        <f>RANK(AC21,$H34:$AO34,0)+AB52</f>
        <v>1</v>
      </c>
      <c r="AC21" s="182">
        <f>IF(SUM(AB4:AB19)&gt;0,SUM(AC4:AC19)+$F$31,0)</f>
        <v>135</v>
      </c>
      <c r="AD21" s="183"/>
      <c r="AE21" s="93">
        <f>RANK(AF21,$H34:$AO34,0)+AE52</f>
        <v>1</v>
      </c>
      <c r="AF21" s="182">
        <f>IF(SUM(AE4:AE19)&gt;0,SUM(AF4:AF19)+$F$31,0)</f>
        <v>135</v>
      </c>
      <c r="AG21" s="183"/>
      <c r="AH21" s="93">
        <f>RANK(AI21,$H34:$AO34,0)+AH52</f>
        <v>1</v>
      </c>
      <c r="AI21" s="182">
        <f>IF(SUM(AH4:AH19)&gt;0,SUM(AI4:AI19)+$F$31,0)</f>
        <v>135</v>
      </c>
      <c r="AJ21" s="183"/>
      <c r="AK21" s="93">
        <f>RANK(AL21,$H34:$AO34,0)+AK52</f>
        <v>1</v>
      </c>
      <c r="AL21" s="182">
        <f>IF(SUM(AK4:AK19)&gt;0,SUM(AL4:AL19)+$F$31,0)</f>
        <v>135</v>
      </c>
      <c r="AM21" s="183"/>
      <c r="AN21" s="93">
        <f>RANK(AO21,$H34:$AO34,0)+AN52</f>
        <v>1</v>
      </c>
      <c r="AO21" s="184">
        <f>IF(SUM(AN4:AN19)&gt;0,SUM(AO4:AO19)+$F$31,0)</f>
        <v>135</v>
      </c>
      <c r="AP21" s="3"/>
      <c r="AT21" s="185"/>
      <c r="AU21" s="94">
        <f ca="1">RANK(AV34,$H34:$AV34,0)</f>
        <v>1</v>
      </c>
      <c r="AV21" s="186">
        <f ca="1">IF(SUM(AU4:AU19)&gt;0,SUM(AV4:AV19)+$F$31,0)</f>
        <v>135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158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3</v>
      </c>
      <c r="H22" s="78">
        <v>101.66666666666667</v>
      </c>
      <c r="I22" s="79"/>
      <c r="J22" s="77">
        <v>11</v>
      </c>
      <c r="K22" s="78">
        <v>86.666666666666671</v>
      </c>
      <c r="L22" s="79"/>
      <c r="M22" s="77">
        <v>4</v>
      </c>
      <c r="N22" s="78">
        <v>101</v>
      </c>
      <c r="O22" s="79"/>
      <c r="P22" s="77">
        <v>1</v>
      </c>
      <c r="Q22" s="78">
        <v>102.66666666666667</v>
      </c>
      <c r="R22" s="79"/>
      <c r="S22" s="77">
        <v>10</v>
      </c>
      <c r="T22" s="78">
        <v>87.666666666666671</v>
      </c>
      <c r="U22" s="79"/>
      <c r="V22" s="77">
        <v>12</v>
      </c>
      <c r="W22" s="78">
        <v>85.333333333333329</v>
      </c>
      <c r="X22" s="79"/>
      <c r="Y22" s="77">
        <v>5</v>
      </c>
      <c r="Z22" s="78">
        <v>100</v>
      </c>
      <c r="AA22" s="79"/>
      <c r="AB22" s="77">
        <v>9</v>
      </c>
      <c r="AC22" s="78">
        <v>92</v>
      </c>
      <c r="AD22" s="79"/>
      <c r="AE22" s="77">
        <v>8</v>
      </c>
      <c r="AF22" s="78">
        <v>92.666666666666671</v>
      </c>
      <c r="AG22" s="79"/>
      <c r="AH22" s="77">
        <v>2</v>
      </c>
      <c r="AI22" s="78">
        <v>102</v>
      </c>
      <c r="AJ22" s="79"/>
      <c r="AK22" s="77">
        <v>6</v>
      </c>
      <c r="AL22" s="78">
        <v>99.333333333333329</v>
      </c>
      <c r="AM22" s="79"/>
      <c r="AN22" s="77">
        <v>7</v>
      </c>
      <c r="AO22" s="80">
        <v>96.666666666666671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159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305</v>
      </c>
      <c r="I23" s="192"/>
      <c r="J23" s="81"/>
      <c r="K23" s="191">
        <v>260</v>
      </c>
      <c r="L23" s="192"/>
      <c r="M23" s="81"/>
      <c r="N23" s="191">
        <v>303</v>
      </c>
      <c r="O23" s="192"/>
      <c r="P23" s="81"/>
      <c r="Q23" s="191">
        <v>308</v>
      </c>
      <c r="R23" s="192"/>
      <c r="S23" s="81"/>
      <c r="T23" s="191">
        <v>263</v>
      </c>
      <c r="U23" s="192"/>
      <c r="V23" s="81"/>
      <c r="W23" s="191">
        <v>256</v>
      </c>
      <c r="X23" s="192"/>
      <c r="Y23" s="81"/>
      <c r="Z23" s="191">
        <v>300</v>
      </c>
      <c r="AA23" s="192"/>
      <c r="AB23" s="81"/>
      <c r="AC23" s="191">
        <v>276</v>
      </c>
      <c r="AD23" s="192"/>
      <c r="AE23" s="81"/>
      <c r="AF23" s="191">
        <v>278</v>
      </c>
      <c r="AG23" s="192"/>
      <c r="AH23" s="81"/>
      <c r="AI23" s="191">
        <v>306</v>
      </c>
      <c r="AJ23" s="192"/>
      <c r="AK23" s="81"/>
      <c r="AL23" s="191">
        <v>298</v>
      </c>
      <c r="AM23" s="192"/>
      <c r="AN23" s="81"/>
      <c r="AO23" s="193">
        <v>290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160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57</v>
      </c>
      <c r="I24" s="192"/>
      <c r="J24" s="81"/>
      <c r="K24" s="191">
        <v>50</v>
      </c>
      <c r="L24" s="192"/>
      <c r="M24" s="81"/>
      <c r="N24" s="191">
        <v>60</v>
      </c>
      <c r="O24" s="192"/>
      <c r="P24" s="81"/>
      <c r="Q24" s="191">
        <v>67</v>
      </c>
      <c r="R24" s="192"/>
      <c r="S24" s="81"/>
      <c r="T24" s="191">
        <v>69</v>
      </c>
      <c r="U24" s="192"/>
      <c r="V24" s="81"/>
      <c r="W24" s="191">
        <v>68</v>
      </c>
      <c r="X24" s="192"/>
      <c r="Y24" s="81"/>
      <c r="Z24" s="191">
        <v>79</v>
      </c>
      <c r="AA24" s="192"/>
      <c r="AB24" s="81"/>
      <c r="AC24" s="191">
        <v>62</v>
      </c>
      <c r="AD24" s="192"/>
      <c r="AE24" s="81"/>
      <c r="AF24" s="191">
        <v>62</v>
      </c>
      <c r="AG24" s="192"/>
      <c r="AH24" s="81"/>
      <c r="AI24" s="191">
        <v>66</v>
      </c>
      <c r="AJ24" s="192"/>
      <c r="AK24" s="81"/>
      <c r="AL24" s="191">
        <v>61</v>
      </c>
      <c r="AM24" s="192"/>
      <c r="AN24" s="81"/>
      <c r="AO24" s="193">
        <v>84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161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162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0.61904761904761907</v>
      </c>
      <c r="H26" s="198">
        <v>39</v>
      </c>
      <c r="I26" s="199"/>
      <c r="J26" s="83">
        <v>0.53968253968253965</v>
      </c>
      <c r="K26" s="198">
        <v>34</v>
      </c>
      <c r="L26" s="199"/>
      <c r="M26" s="83">
        <v>0.58730158730158732</v>
      </c>
      <c r="N26" s="198">
        <v>37</v>
      </c>
      <c r="O26" s="199"/>
      <c r="P26" s="83">
        <v>0.65079365079365081</v>
      </c>
      <c r="Q26" s="198">
        <v>41</v>
      </c>
      <c r="R26" s="199"/>
      <c r="S26" s="83">
        <v>0.53968253968253965</v>
      </c>
      <c r="T26" s="198">
        <v>34</v>
      </c>
      <c r="U26" s="199"/>
      <c r="V26" s="83">
        <v>0.61904761904761907</v>
      </c>
      <c r="W26" s="198">
        <v>39</v>
      </c>
      <c r="X26" s="199"/>
      <c r="Y26" s="83">
        <v>0.61904761904761907</v>
      </c>
      <c r="Z26" s="198">
        <v>39</v>
      </c>
      <c r="AA26" s="199"/>
      <c r="AB26" s="83">
        <v>0.53968253968253965</v>
      </c>
      <c r="AC26" s="198">
        <v>34</v>
      </c>
      <c r="AD26" s="199"/>
      <c r="AE26" s="83">
        <v>0.60317460317460314</v>
      </c>
      <c r="AF26" s="198">
        <v>38</v>
      </c>
      <c r="AG26" s="199"/>
      <c r="AH26" s="83">
        <v>0.61904761904761907</v>
      </c>
      <c r="AI26" s="198">
        <v>39</v>
      </c>
      <c r="AJ26" s="199"/>
      <c r="AK26" s="83">
        <v>0.63492063492063489</v>
      </c>
      <c r="AL26" s="198">
        <v>40</v>
      </c>
      <c r="AM26" s="199"/>
      <c r="AN26" s="83">
        <v>0.63492063492063489</v>
      </c>
      <c r="AO26" s="200">
        <v>40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163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63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12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8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164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165</v>
      </c>
    </row>
    <row r="29" spans="1:77" s="138" customFormat="1" ht="21" customHeight="1" x14ac:dyDescent="0.2">
      <c r="A29" s="3"/>
      <c r="B29" s="210" t="s">
        <v>17</v>
      </c>
      <c r="C29" s="206" t="s">
        <v>166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167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168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135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135</v>
      </c>
      <c r="H32" s="10"/>
      <c r="I32" s="10"/>
      <c r="J32" s="9">
        <f>SUM(J4:J19)</f>
        <v>135</v>
      </c>
      <c r="K32" s="10"/>
      <c r="L32" s="10"/>
      <c r="M32" s="9">
        <f>SUM(M4:M19)</f>
        <v>135</v>
      </c>
      <c r="P32" s="9">
        <f>SUM(P4:P19)</f>
        <v>135</v>
      </c>
      <c r="S32" s="9">
        <f>SUM(S4:S19)</f>
        <v>135</v>
      </c>
      <c r="V32" s="9">
        <f>SUM(V4:V19)</f>
        <v>135</v>
      </c>
      <c r="Y32" s="9">
        <f>SUM(Y4:Y19)</f>
        <v>135</v>
      </c>
      <c r="AB32" s="9">
        <f>SUM(AB4:AB19)</f>
        <v>135</v>
      </c>
      <c r="AE32" s="9">
        <f>SUM(AE4:AE19)</f>
        <v>135</v>
      </c>
      <c r="AH32" s="9">
        <f>SUM(AH4:AH19)</f>
        <v>135</v>
      </c>
      <c r="AK32" s="9">
        <f>SUM(AK4:AK19)</f>
        <v>135</v>
      </c>
      <c r="AN32" s="9">
        <f>SUM(AN4:AN19)</f>
        <v>135</v>
      </c>
      <c r="AU32" s="9">
        <f ca="1">SUM(AU4:AU19)</f>
        <v>135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135</v>
      </c>
      <c r="I34" s="10"/>
      <c r="J34" s="10"/>
      <c r="K34" s="10">
        <f t="shared" ref="K34:K39" si="20">K21</f>
        <v>135</v>
      </c>
      <c r="L34" s="10"/>
      <c r="M34" s="10"/>
      <c r="N34" s="10">
        <f t="shared" ref="N34:N39" si="21">N21</f>
        <v>135</v>
      </c>
      <c r="Q34" s="10">
        <f t="shared" ref="Q34:Q39" si="22">Q21</f>
        <v>135</v>
      </c>
      <c r="T34" s="10">
        <f t="shared" ref="T34:T39" si="23">T21</f>
        <v>135</v>
      </c>
      <c r="W34" s="10">
        <f t="shared" ref="W34:W39" si="24">W21</f>
        <v>135</v>
      </c>
      <c r="Z34" s="10">
        <f t="shared" ref="Z34:Z39" si="25">Z21</f>
        <v>135</v>
      </c>
      <c r="AC34" s="10">
        <f t="shared" ref="AC34:AC39" si="26">AC21</f>
        <v>135</v>
      </c>
      <c r="AF34" s="10">
        <f t="shared" ref="AF34:AF39" si="27">AF21</f>
        <v>135</v>
      </c>
      <c r="AI34" s="10">
        <f t="shared" ref="AI34:AI39" si="28">AI21</f>
        <v>135</v>
      </c>
      <c r="AL34" s="10">
        <f t="shared" ref="AL34:AL39" si="29">AL21</f>
        <v>135</v>
      </c>
      <c r="AO34" s="10">
        <f t="shared" ref="AO34:AO39" si="30">AO21</f>
        <v>135</v>
      </c>
      <c r="AV34" s="10">
        <f ca="1">AV21</f>
        <v>135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101.66666666666667</v>
      </c>
      <c r="I35" s="3"/>
      <c r="J35" s="3"/>
      <c r="K35" s="12">
        <f t="shared" si="20"/>
        <v>86.666666666666671</v>
      </c>
      <c r="L35" s="3"/>
      <c r="M35" s="3"/>
      <c r="N35" s="12">
        <f t="shared" si="21"/>
        <v>101</v>
      </c>
      <c r="Q35" s="12">
        <f t="shared" si="22"/>
        <v>102.66666666666667</v>
      </c>
      <c r="T35" s="12">
        <f t="shared" si="23"/>
        <v>87.666666666666671</v>
      </c>
      <c r="W35" s="12">
        <f t="shared" si="24"/>
        <v>85.333333333333329</v>
      </c>
      <c r="Z35" s="12">
        <f t="shared" si="25"/>
        <v>100</v>
      </c>
      <c r="AC35" s="12">
        <f t="shared" si="26"/>
        <v>92</v>
      </c>
      <c r="AF35" s="12">
        <f t="shared" si="27"/>
        <v>92.666666666666671</v>
      </c>
      <c r="AI35" s="12">
        <f t="shared" si="28"/>
        <v>102</v>
      </c>
      <c r="AL35" s="12">
        <f t="shared" si="29"/>
        <v>99.333333333333329</v>
      </c>
      <c r="AO35" s="12">
        <f t="shared" si="30"/>
        <v>96.666666666666671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305</v>
      </c>
      <c r="I36" s="3"/>
      <c r="J36" s="3"/>
      <c r="K36" s="12">
        <f t="shared" si="20"/>
        <v>260</v>
      </c>
      <c r="L36" s="3"/>
      <c r="M36" s="3"/>
      <c r="N36" s="12">
        <f t="shared" si="21"/>
        <v>303</v>
      </c>
      <c r="Q36" s="12">
        <f t="shared" si="22"/>
        <v>308</v>
      </c>
      <c r="T36" s="12">
        <f t="shared" si="23"/>
        <v>263</v>
      </c>
      <c r="W36" s="12">
        <f t="shared" si="24"/>
        <v>256</v>
      </c>
      <c r="Z36" s="12">
        <f t="shared" si="25"/>
        <v>300</v>
      </c>
      <c r="AC36" s="12">
        <f t="shared" si="26"/>
        <v>276</v>
      </c>
      <c r="AF36" s="12">
        <f t="shared" si="27"/>
        <v>278</v>
      </c>
      <c r="AI36" s="12">
        <f t="shared" si="28"/>
        <v>306</v>
      </c>
      <c r="AL36" s="12">
        <f t="shared" si="29"/>
        <v>298</v>
      </c>
      <c r="AO36" s="12">
        <f t="shared" si="30"/>
        <v>290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57</v>
      </c>
      <c r="I37" s="3"/>
      <c r="J37" s="3"/>
      <c r="K37" s="12">
        <f t="shared" si="20"/>
        <v>50</v>
      </c>
      <c r="L37" s="3"/>
      <c r="M37" s="3"/>
      <c r="N37" s="12">
        <f t="shared" si="21"/>
        <v>60</v>
      </c>
      <c r="Q37" s="12">
        <f t="shared" si="22"/>
        <v>67</v>
      </c>
      <c r="T37" s="12">
        <f t="shared" si="23"/>
        <v>69</v>
      </c>
      <c r="W37" s="12">
        <f t="shared" si="24"/>
        <v>68</v>
      </c>
      <c r="Z37" s="12">
        <f t="shared" si="25"/>
        <v>79</v>
      </c>
      <c r="AC37" s="12">
        <f t="shared" si="26"/>
        <v>62</v>
      </c>
      <c r="AF37" s="12">
        <f t="shared" si="27"/>
        <v>62</v>
      </c>
      <c r="AI37" s="12">
        <f t="shared" si="28"/>
        <v>66</v>
      </c>
      <c r="AL37" s="12">
        <f t="shared" si="29"/>
        <v>61</v>
      </c>
      <c r="AO37" s="12">
        <f t="shared" si="30"/>
        <v>84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39</v>
      </c>
      <c r="I39" s="3"/>
      <c r="J39" s="3"/>
      <c r="K39" s="12">
        <f t="shared" si="20"/>
        <v>34</v>
      </c>
      <c r="L39" s="3"/>
      <c r="M39" s="3"/>
      <c r="N39" s="12">
        <f t="shared" si="21"/>
        <v>37</v>
      </c>
      <c r="Q39" s="12">
        <f t="shared" si="22"/>
        <v>41</v>
      </c>
      <c r="T39" s="12">
        <f t="shared" si="23"/>
        <v>34</v>
      </c>
      <c r="W39" s="12">
        <f t="shared" si="24"/>
        <v>39</v>
      </c>
      <c r="Z39" s="12">
        <f t="shared" si="25"/>
        <v>39</v>
      </c>
      <c r="AC39" s="12">
        <f t="shared" si="26"/>
        <v>34</v>
      </c>
      <c r="AF39" s="12">
        <f t="shared" si="27"/>
        <v>38</v>
      </c>
      <c r="AI39" s="12">
        <f t="shared" si="28"/>
        <v>39</v>
      </c>
      <c r="AL39" s="12">
        <f t="shared" si="29"/>
        <v>40</v>
      </c>
      <c r="AO39" s="12">
        <f t="shared" si="30"/>
        <v>40</v>
      </c>
      <c r="BY39" s="143"/>
    </row>
    <row r="40" spans="4:77" ht="12.95" hidden="1" customHeight="1" x14ac:dyDescent="0.2">
      <c r="D40" s="3"/>
      <c r="E40" s="3"/>
      <c r="F40" s="3"/>
      <c r="G40" s="11">
        <f>G22</f>
        <v>3</v>
      </c>
      <c r="H40" s="12"/>
      <c r="I40" s="3"/>
      <c r="J40" s="11">
        <f>J22</f>
        <v>11</v>
      </c>
      <c r="K40" s="12"/>
      <c r="L40" s="3"/>
      <c r="M40" s="11">
        <f>M22</f>
        <v>4</v>
      </c>
      <c r="N40" s="12"/>
      <c r="P40" s="11">
        <f>P22</f>
        <v>1</v>
      </c>
      <c r="Q40" s="12"/>
      <c r="S40" s="11">
        <f>S22</f>
        <v>10</v>
      </c>
      <c r="T40" s="12"/>
      <c r="V40" s="11">
        <f>V22</f>
        <v>12</v>
      </c>
      <c r="W40" s="12"/>
      <c r="Y40" s="11">
        <f>Y22</f>
        <v>5</v>
      </c>
      <c r="Z40" s="12"/>
      <c r="AB40" s="11">
        <f>AB22</f>
        <v>9</v>
      </c>
      <c r="AC40" s="12"/>
      <c r="AE40" s="11">
        <f>AE22</f>
        <v>8</v>
      </c>
      <c r="AF40" s="12"/>
      <c r="AH40" s="11">
        <f>AH22</f>
        <v>2</v>
      </c>
      <c r="AI40" s="12"/>
      <c r="AK40" s="11">
        <f>AK22</f>
        <v>6</v>
      </c>
      <c r="AL40" s="12"/>
      <c r="AN40" s="11">
        <f>AN22</f>
        <v>7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0.61904761904761907</v>
      </c>
      <c r="H42" s="3"/>
      <c r="I42" s="3"/>
      <c r="J42" s="11">
        <f>J26</f>
        <v>0.53968253968253965</v>
      </c>
      <c r="K42" s="3"/>
      <c r="L42" s="3"/>
      <c r="M42" s="11">
        <f>M26</f>
        <v>0.58730158730158732</v>
      </c>
      <c r="P42" s="11">
        <f>P26</f>
        <v>0.65079365079365081</v>
      </c>
      <c r="S42" s="11">
        <f>S26</f>
        <v>0.53968253968253965</v>
      </c>
      <c r="V42" s="11">
        <f>V26</f>
        <v>0.61904761904761907</v>
      </c>
      <c r="Y42" s="11">
        <f>Y26</f>
        <v>0.61904761904761907</v>
      </c>
      <c r="AB42" s="11">
        <f>AB26</f>
        <v>0.53968253968253965</v>
      </c>
      <c r="AE42" s="11">
        <f>AE26</f>
        <v>0.60317460317460314</v>
      </c>
      <c r="AH42" s="11">
        <f>AH26</f>
        <v>0.61904761904761907</v>
      </c>
      <c r="AK42" s="11">
        <f>AK26</f>
        <v>0.63492063492063489</v>
      </c>
      <c r="AN42" s="11">
        <f>AN26</f>
        <v>0.63492063492063489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188ADF4F-E490-4DFE-A6F1-65D3BFB6618D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8EB65B94-E1D3-40B6-B836-0CB04212F00C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724DCFAD-B73C-4236-8049-974455209395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135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88" t="s">
        <v>169</v>
      </c>
      <c r="C2" s="289" t="s">
        <v>169</v>
      </c>
      <c r="D2" s="290"/>
      <c r="E2" s="86" t="s">
        <v>61</v>
      </c>
      <c r="F2" s="70">
        <v>-12</v>
      </c>
      <c r="G2" s="87"/>
      <c r="H2" s="86" t="s">
        <v>62</v>
      </c>
      <c r="I2" s="70">
        <v>-12</v>
      </c>
      <c r="J2" s="87"/>
      <c r="K2" s="86" t="s">
        <v>63</v>
      </c>
      <c r="L2" s="70">
        <v>-12</v>
      </c>
      <c r="M2" s="87"/>
      <c r="N2" s="86" t="s">
        <v>64</v>
      </c>
      <c r="O2" s="70">
        <v>31</v>
      </c>
      <c r="P2" s="87"/>
      <c r="Q2" s="86" t="s">
        <v>65</v>
      </c>
      <c r="R2" s="70">
        <v>-12</v>
      </c>
      <c r="S2" s="87"/>
      <c r="T2" s="86" t="s">
        <v>66</v>
      </c>
      <c r="U2" s="70">
        <v>-12</v>
      </c>
      <c r="V2" s="87"/>
      <c r="W2" s="86" t="s">
        <v>67</v>
      </c>
      <c r="X2" s="70">
        <v>-12</v>
      </c>
      <c r="Y2" s="87"/>
      <c r="Z2" s="86" t="s">
        <v>68</v>
      </c>
      <c r="AA2" s="70">
        <v>-12</v>
      </c>
      <c r="AB2" s="87"/>
      <c r="AC2" s="86" t="s">
        <v>69</v>
      </c>
      <c r="AD2" s="70">
        <v>-12</v>
      </c>
      <c r="AE2" s="87"/>
      <c r="AF2" s="86" t="s">
        <v>70</v>
      </c>
      <c r="AG2" s="70">
        <v>27</v>
      </c>
      <c r="AH2" s="87"/>
      <c r="AI2" s="86" t="s">
        <v>105</v>
      </c>
      <c r="AJ2" s="70">
        <v>19</v>
      </c>
      <c r="AK2" s="87"/>
      <c r="AL2" s="86" t="s">
        <v>71</v>
      </c>
      <c r="AM2" s="70">
        <v>19</v>
      </c>
      <c r="AN2" s="88"/>
      <c r="AO2" s="216">
        <v>12</v>
      </c>
      <c r="AP2" s="95" t="s">
        <v>24</v>
      </c>
      <c r="AQ2" s="217">
        <v>4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5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 t="s">
        <v>0</v>
      </c>
      <c r="E8" s="166" t="s">
        <v>0</v>
      </c>
      <c r="F8" s="164" t="s">
        <v>0</v>
      </c>
      <c r="G8" s="233" t="s">
        <v>0</v>
      </c>
      <c r="H8" s="168" t="s">
        <v>0</v>
      </c>
      <c r="I8" s="164" t="s">
        <v>0</v>
      </c>
      <c r="J8" s="233" t="s">
        <v>0</v>
      </c>
      <c r="K8" s="168" t="s">
        <v>0</v>
      </c>
      <c r="L8" s="164" t="s">
        <v>0</v>
      </c>
      <c r="M8" s="233" t="s">
        <v>0</v>
      </c>
      <c r="N8" s="168" t="s">
        <v>0</v>
      </c>
      <c r="O8" s="164" t="s">
        <v>0</v>
      </c>
      <c r="P8" s="233" t="s">
        <v>0</v>
      </c>
      <c r="Q8" s="168" t="s">
        <v>0</v>
      </c>
      <c r="R8" s="164" t="s">
        <v>0</v>
      </c>
      <c r="S8" s="233" t="s">
        <v>0</v>
      </c>
      <c r="T8" s="168" t="s">
        <v>0</v>
      </c>
      <c r="U8" s="164" t="s">
        <v>0</v>
      </c>
      <c r="V8" s="233" t="s">
        <v>0</v>
      </c>
      <c r="W8" s="168" t="s">
        <v>0</v>
      </c>
      <c r="X8" s="164" t="s">
        <v>0</v>
      </c>
      <c r="Y8" s="233" t="s">
        <v>0</v>
      </c>
      <c r="Z8" s="168" t="s">
        <v>0</v>
      </c>
      <c r="AA8" s="164" t="s">
        <v>0</v>
      </c>
      <c r="AB8" s="233" t="s">
        <v>0</v>
      </c>
      <c r="AC8" s="168" t="s">
        <v>0</v>
      </c>
      <c r="AD8" s="164" t="s">
        <v>0</v>
      </c>
      <c r="AE8" s="233" t="s">
        <v>0</v>
      </c>
      <c r="AF8" s="168" t="s">
        <v>0</v>
      </c>
      <c r="AG8" s="164" t="s">
        <v>0</v>
      </c>
      <c r="AH8" s="233" t="s">
        <v>0</v>
      </c>
      <c r="AI8" s="168" t="s">
        <v>0</v>
      </c>
      <c r="AJ8" s="164" t="s">
        <v>0</v>
      </c>
      <c r="AK8" s="233" t="s">
        <v>0</v>
      </c>
      <c r="AL8" s="168" t="s">
        <v>0</v>
      </c>
      <c r="AM8" s="164" t="s">
        <v>0</v>
      </c>
      <c r="AN8" s="234" t="s">
        <v>0</v>
      </c>
      <c r="AS8" s="5">
        <v>15</v>
      </c>
      <c r="BJ8" s="5"/>
      <c r="BK8" s="5" t="s">
        <v>0</v>
      </c>
      <c r="BL8" s="5"/>
      <c r="BM8" s="5" t="s">
        <v>0</v>
      </c>
      <c r="BN8" s="5" t="s">
        <v>0</v>
      </c>
      <c r="BO8" s="5"/>
      <c r="BP8" s="5" t="s">
        <v>0</v>
      </c>
      <c r="BQ8" s="5" t="s">
        <v>0</v>
      </c>
      <c r="BR8" s="5"/>
      <c r="BS8" s="5" t="s">
        <v>0</v>
      </c>
      <c r="BT8" s="5" t="s">
        <v>0</v>
      </c>
      <c r="BU8" s="5"/>
      <c r="BV8" s="5" t="s">
        <v>0</v>
      </c>
      <c r="BW8" s="5" t="s">
        <v>0</v>
      </c>
      <c r="BX8" s="5"/>
      <c r="BY8" s="5" t="s">
        <v>0</v>
      </c>
      <c r="BZ8" s="5" t="s">
        <v>0</v>
      </c>
      <c r="CA8" s="5"/>
      <c r="CB8" s="5" t="s">
        <v>0</v>
      </c>
      <c r="CC8" s="5" t="s">
        <v>0</v>
      </c>
      <c r="CD8" s="5"/>
      <c r="CE8" s="5" t="s">
        <v>0</v>
      </c>
      <c r="CF8" s="5" t="s">
        <v>0</v>
      </c>
      <c r="CG8" s="5"/>
      <c r="CH8" s="5" t="s">
        <v>0</v>
      </c>
      <c r="CI8" s="5" t="s">
        <v>0</v>
      </c>
      <c r="CJ8" s="5"/>
      <c r="CK8" s="5" t="s">
        <v>0</v>
      </c>
      <c r="CL8" s="5" t="s">
        <v>0</v>
      </c>
      <c r="CM8" s="5"/>
      <c r="CN8" s="5" t="s">
        <v>0</v>
      </c>
      <c r="CO8" s="5" t="s">
        <v>0</v>
      </c>
      <c r="CP8" s="5"/>
      <c r="CQ8" s="5" t="s">
        <v>0</v>
      </c>
      <c r="CR8" s="5" t="s">
        <v>0</v>
      </c>
      <c r="CS8" s="5"/>
      <c r="CT8" s="5" t="s">
        <v>0</v>
      </c>
      <c r="CU8" s="5"/>
    </row>
    <row r="9" spans="2:99" ht="18" customHeight="1" x14ac:dyDescent="0.2">
      <c r="B9" s="232">
        <v>6</v>
      </c>
      <c r="C9" s="164">
        <v>14</v>
      </c>
      <c r="D9" s="165" t="s">
        <v>0</v>
      </c>
      <c r="E9" s="166" t="s">
        <v>0</v>
      </c>
      <c r="F9" s="164" t="s">
        <v>0</v>
      </c>
      <c r="G9" s="233" t="s">
        <v>0</v>
      </c>
      <c r="H9" s="168" t="s">
        <v>0</v>
      </c>
      <c r="I9" s="164" t="s">
        <v>0</v>
      </c>
      <c r="J9" s="233" t="s">
        <v>0</v>
      </c>
      <c r="K9" s="168" t="s">
        <v>0</v>
      </c>
      <c r="L9" s="164" t="s">
        <v>0</v>
      </c>
      <c r="M9" s="233" t="s">
        <v>0</v>
      </c>
      <c r="N9" s="168" t="s">
        <v>0</v>
      </c>
      <c r="O9" s="164" t="s">
        <v>0</v>
      </c>
      <c r="P9" s="233" t="s">
        <v>0</v>
      </c>
      <c r="Q9" s="168" t="s">
        <v>0</v>
      </c>
      <c r="R9" s="164" t="s">
        <v>0</v>
      </c>
      <c r="S9" s="233" t="s">
        <v>0</v>
      </c>
      <c r="T9" s="168" t="s">
        <v>0</v>
      </c>
      <c r="U9" s="164" t="s">
        <v>0</v>
      </c>
      <c r="V9" s="233" t="s">
        <v>0</v>
      </c>
      <c r="W9" s="168" t="s">
        <v>0</v>
      </c>
      <c r="X9" s="164" t="s">
        <v>0</v>
      </c>
      <c r="Y9" s="233" t="s">
        <v>0</v>
      </c>
      <c r="Z9" s="168" t="s">
        <v>0</v>
      </c>
      <c r="AA9" s="164" t="s">
        <v>0</v>
      </c>
      <c r="AB9" s="233" t="s">
        <v>0</v>
      </c>
      <c r="AC9" s="168" t="s">
        <v>0</v>
      </c>
      <c r="AD9" s="164" t="s">
        <v>0</v>
      </c>
      <c r="AE9" s="233" t="s">
        <v>0</v>
      </c>
      <c r="AF9" s="168" t="s">
        <v>0</v>
      </c>
      <c r="AG9" s="164" t="s">
        <v>0</v>
      </c>
      <c r="AH9" s="233" t="s">
        <v>0</v>
      </c>
      <c r="AI9" s="168" t="s">
        <v>0</v>
      </c>
      <c r="AJ9" s="164" t="s">
        <v>0</v>
      </c>
      <c r="AK9" s="233" t="s">
        <v>0</v>
      </c>
      <c r="AL9" s="168" t="s">
        <v>0</v>
      </c>
      <c r="AM9" s="164" t="s">
        <v>0</v>
      </c>
      <c r="AN9" s="234" t="s">
        <v>0</v>
      </c>
      <c r="AP9" s="96" t="s">
        <v>134</v>
      </c>
      <c r="AR9" s="18" t="s">
        <v>170</v>
      </c>
      <c r="AS9" s="5">
        <v>14</v>
      </c>
      <c r="BJ9" s="5"/>
      <c r="BK9" s="5" t="s">
        <v>0</v>
      </c>
      <c r="BL9" s="5"/>
      <c r="BM9" s="5" t="s">
        <v>0</v>
      </c>
      <c r="BN9" s="5" t="s">
        <v>0</v>
      </c>
      <c r="BO9" s="5"/>
      <c r="BP9" s="5" t="s">
        <v>0</v>
      </c>
      <c r="BQ9" s="5" t="s">
        <v>0</v>
      </c>
      <c r="BR9" s="5"/>
      <c r="BS9" s="5" t="s">
        <v>0</v>
      </c>
      <c r="BT9" s="5" t="s">
        <v>0</v>
      </c>
      <c r="BU9" s="5"/>
      <c r="BV9" s="5" t="s">
        <v>0</v>
      </c>
      <c r="BW9" s="5" t="s">
        <v>0</v>
      </c>
      <c r="BX9" s="5"/>
      <c r="BY9" s="5" t="s">
        <v>0</v>
      </c>
      <c r="BZ9" s="5" t="s">
        <v>0</v>
      </c>
      <c r="CA9" s="5"/>
      <c r="CB9" s="5" t="s">
        <v>0</v>
      </c>
      <c r="CC9" s="5" t="s">
        <v>0</v>
      </c>
      <c r="CD9" s="5"/>
      <c r="CE9" s="5" t="s">
        <v>0</v>
      </c>
      <c r="CF9" s="5" t="s">
        <v>0</v>
      </c>
      <c r="CG9" s="5"/>
      <c r="CH9" s="5" t="s">
        <v>0</v>
      </c>
      <c r="CI9" s="5" t="s">
        <v>0</v>
      </c>
      <c r="CJ9" s="5"/>
      <c r="CK9" s="5" t="s">
        <v>0</v>
      </c>
      <c r="CL9" s="5" t="s">
        <v>0</v>
      </c>
      <c r="CM9" s="5"/>
      <c r="CN9" s="5" t="s">
        <v>0</v>
      </c>
      <c r="CO9" s="5" t="s">
        <v>0</v>
      </c>
      <c r="CP9" s="5"/>
      <c r="CQ9" s="5" t="s">
        <v>0</v>
      </c>
      <c r="CR9" s="5" t="s">
        <v>0</v>
      </c>
      <c r="CS9" s="5"/>
      <c r="CT9" s="5" t="s">
        <v>0</v>
      </c>
      <c r="CU9" s="5"/>
    </row>
    <row r="10" spans="2:99" ht="18" customHeight="1" x14ac:dyDescent="0.2">
      <c r="B10" s="232">
        <v>7</v>
      </c>
      <c r="C10" s="164">
        <v>14</v>
      </c>
      <c r="D10" s="165" t="s">
        <v>0</v>
      </c>
      <c r="E10" s="166" t="s">
        <v>0</v>
      </c>
      <c r="F10" s="164" t="s">
        <v>0</v>
      </c>
      <c r="G10" s="233" t="s">
        <v>0</v>
      </c>
      <c r="H10" s="168" t="s">
        <v>0</v>
      </c>
      <c r="I10" s="164" t="s">
        <v>0</v>
      </c>
      <c r="J10" s="233" t="s">
        <v>0</v>
      </c>
      <c r="K10" s="168" t="s">
        <v>0</v>
      </c>
      <c r="L10" s="164" t="s">
        <v>0</v>
      </c>
      <c r="M10" s="233" t="s">
        <v>0</v>
      </c>
      <c r="N10" s="168" t="s">
        <v>0</v>
      </c>
      <c r="O10" s="164" t="s">
        <v>0</v>
      </c>
      <c r="P10" s="233" t="s">
        <v>0</v>
      </c>
      <c r="Q10" s="168" t="s">
        <v>0</v>
      </c>
      <c r="R10" s="164" t="s">
        <v>0</v>
      </c>
      <c r="S10" s="233" t="s">
        <v>0</v>
      </c>
      <c r="T10" s="168" t="s">
        <v>0</v>
      </c>
      <c r="U10" s="164" t="s">
        <v>0</v>
      </c>
      <c r="V10" s="233" t="s">
        <v>0</v>
      </c>
      <c r="W10" s="168" t="s">
        <v>0</v>
      </c>
      <c r="X10" s="164" t="s">
        <v>0</v>
      </c>
      <c r="Y10" s="233" t="s">
        <v>0</v>
      </c>
      <c r="Z10" s="168" t="s">
        <v>0</v>
      </c>
      <c r="AA10" s="164" t="s">
        <v>0</v>
      </c>
      <c r="AB10" s="233" t="s">
        <v>0</v>
      </c>
      <c r="AC10" s="168" t="s">
        <v>0</v>
      </c>
      <c r="AD10" s="164" t="s">
        <v>0</v>
      </c>
      <c r="AE10" s="233" t="s">
        <v>0</v>
      </c>
      <c r="AF10" s="168" t="s">
        <v>0</v>
      </c>
      <c r="AG10" s="164" t="s">
        <v>0</v>
      </c>
      <c r="AH10" s="233" t="s">
        <v>0</v>
      </c>
      <c r="AI10" s="168" t="s">
        <v>0</v>
      </c>
      <c r="AJ10" s="164" t="s">
        <v>0</v>
      </c>
      <c r="AK10" s="233" t="s">
        <v>0</v>
      </c>
      <c r="AL10" s="168" t="s">
        <v>0</v>
      </c>
      <c r="AM10" s="164" t="s">
        <v>0</v>
      </c>
      <c r="AN10" s="234" t="s">
        <v>0</v>
      </c>
      <c r="AP10" s="96" t="s">
        <v>135</v>
      </c>
      <c r="AR10" s="18" t="s">
        <v>171</v>
      </c>
      <c r="AS10" s="5">
        <v>14</v>
      </c>
      <c r="BJ10" s="5"/>
      <c r="BK10" s="5" t="s">
        <v>0</v>
      </c>
      <c r="BL10" s="5"/>
      <c r="BM10" s="5" t="s">
        <v>0</v>
      </c>
      <c r="BN10" s="5" t="s">
        <v>0</v>
      </c>
      <c r="BO10" s="5"/>
      <c r="BP10" s="5" t="s">
        <v>0</v>
      </c>
      <c r="BQ10" s="5" t="s">
        <v>0</v>
      </c>
      <c r="BR10" s="5"/>
      <c r="BS10" s="5" t="s">
        <v>0</v>
      </c>
      <c r="BT10" s="5" t="s">
        <v>0</v>
      </c>
      <c r="BU10" s="5"/>
      <c r="BV10" s="5" t="s">
        <v>0</v>
      </c>
      <c r="BW10" s="5" t="s">
        <v>0</v>
      </c>
      <c r="BX10" s="5"/>
      <c r="BY10" s="5" t="s">
        <v>0</v>
      </c>
      <c r="BZ10" s="5" t="s">
        <v>0</v>
      </c>
      <c r="CA10" s="5"/>
      <c r="CB10" s="5" t="s">
        <v>0</v>
      </c>
      <c r="CC10" s="5" t="s">
        <v>0</v>
      </c>
      <c r="CD10" s="5"/>
      <c r="CE10" s="5" t="s">
        <v>0</v>
      </c>
      <c r="CF10" s="5" t="s">
        <v>0</v>
      </c>
      <c r="CG10" s="5"/>
      <c r="CH10" s="5" t="s">
        <v>0</v>
      </c>
      <c r="CI10" s="5" t="s">
        <v>0</v>
      </c>
      <c r="CJ10" s="5"/>
      <c r="CK10" s="5" t="s">
        <v>0</v>
      </c>
      <c r="CL10" s="5" t="s">
        <v>0</v>
      </c>
      <c r="CM10" s="5"/>
      <c r="CN10" s="5" t="s">
        <v>0</v>
      </c>
      <c r="CO10" s="5" t="s">
        <v>0</v>
      </c>
      <c r="CP10" s="5"/>
      <c r="CQ10" s="5" t="s">
        <v>0</v>
      </c>
      <c r="CR10" s="5" t="s">
        <v>0</v>
      </c>
      <c r="CS10" s="5"/>
      <c r="CT10" s="5" t="s">
        <v>0</v>
      </c>
      <c r="CU10" s="5"/>
    </row>
    <row r="11" spans="2:99" ht="18" customHeight="1" x14ac:dyDescent="0.2">
      <c r="B11" s="232">
        <v>8</v>
      </c>
      <c r="C11" s="164">
        <v>15</v>
      </c>
      <c r="D11" s="165" t="s">
        <v>0</v>
      </c>
      <c r="E11" s="166" t="s">
        <v>0</v>
      </c>
      <c r="F11" s="164" t="s">
        <v>0</v>
      </c>
      <c r="G11" s="233" t="s">
        <v>0</v>
      </c>
      <c r="H11" s="168" t="s">
        <v>0</v>
      </c>
      <c r="I11" s="164" t="s">
        <v>0</v>
      </c>
      <c r="J11" s="233" t="s">
        <v>0</v>
      </c>
      <c r="K11" s="168" t="s">
        <v>0</v>
      </c>
      <c r="L11" s="164" t="s">
        <v>0</v>
      </c>
      <c r="M11" s="233" t="s">
        <v>0</v>
      </c>
      <c r="N11" s="168" t="s">
        <v>0</v>
      </c>
      <c r="O11" s="164" t="s">
        <v>0</v>
      </c>
      <c r="P11" s="233" t="s">
        <v>0</v>
      </c>
      <c r="Q11" s="168" t="s">
        <v>0</v>
      </c>
      <c r="R11" s="164" t="s">
        <v>0</v>
      </c>
      <c r="S11" s="233" t="s">
        <v>0</v>
      </c>
      <c r="T11" s="168" t="s">
        <v>0</v>
      </c>
      <c r="U11" s="164" t="s">
        <v>0</v>
      </c>
      <c r="V11" s="233" t="s">
        <v>0</v>
      </c>
      <c r="W11" s="168" t="s">
        <v>0</v>
      </c>
      <c r="X11" s="164" t="s">
        <v>0</v>
      </c>
      <c r="Y11" s="233" t="s">
        <v>0</v>
      </c>
      <c r="Z11" s="168" t="s">
        <v>0</v>
      </c>
      <c r="AA11" s="164" t="s">
        <v>0</v>
      </c>
      <c r="AB11" s="233" t="s">
        <v>0</v>
      </c>
      <c r="AC11" s="168" t="s">
        <v>0</v>
      </c>
      <c r="AD11" s="164" t="s">
        <v>0</v>
      </c>
      <c r="AE11" s="233" t="s">
        <v>0</v>
      </c>
      <c r="AF11" s="168" t="s">
        <v>0</v>
      </c>
      <c r="AG11" s="164" t="s">
        <v>0</v>
      </c>
      <c r="AH11" s="233" t="s">
        <v>0</v>
      </c>
      <c r="AI11" s="168" t="s">
        <v>0</v>
      </c>
      <c r="AJ11" s="164" t="s">
        <v>0</v>
      </c>
      <c r="AK11" s="233" t="s">
        <v>0</v>
      </c>
      <c r="AL11" s="168" t="s">
        <v>0</v>
      </c>
      <c r="AM11" s="164" t="s">
        <v>0</v>
      </c>
      <c r="AN11" s="234" t="s">
        <v>0</v>
      </c>
      <c r="AP11" s="17"/>
      <c r="AR11" s="18" t="s">
        <v>172</v>
      </c>
      <c r="AS11" s="5">
        <v>15</v>
      </c>
      <c r="BJ11" s="5"/>
      <c r="BK11" s="5" t="s">
        <v>0</v>
      </c>
      <c r="BL11" s="5"/>
      <c r="BM11" s="5" t="s">
        <v>0</v>
      </c>
      <c r="BN11" s="5" t="s">
        <v>0</v>
      </c>
      <c r="BO11" s="5"/>
      <c r="BP11" s="5" t="s">
        <v>0</v>
      </c>
      <c r="BQ11" s="5" t="s">
        <v>0</v>
      </c>
      <c r="BR11" s="5"/>
      <c r="BS11" s="5" t="s">
        <v>0</v>
      </c>
      <c r="BT11" s="5" t="s">
        <v>0</v>
      </c>
      <c r="BU11" s="5"/>
      <c r="BV11" s="5" t="s">
        <v>0</v>
      </c>
      <c r="BW11" s="5" t="s">
        <v>0</v>
      </c>
      <c r="BX11" s="5"/>
      <c r="BY11" s="5" t="s">
        <v>0</v>
      </c>
      <c r="BZ11" s="5" t="s">
        <v>0</v>
      </c>
      <c r="CA11" s="5"/>
      <c r="CB11" s="5" t="s">
        <v>0</v>
      </c>
      <c r="CC11" s="5" t="s">
        <v>0</v>
      </c>
      <c r="CD11" s="5"/>
      <c r="CE11" s="5" t="s">
        <v>0</v>
      </c>
      <c r="CF11" s="5" t="s">
        <v>0</v>
      </c>
      <c r="CG11" s="5"/>
      <c r="CH11" s="5" t="s">
        <v>0</v>
      </c>
      <c r="CI11" s="5" t="s">
        <v>0</v>
      </c>
      <c r="CJ11" s="5"/>
      <c r="CK11" s="5" t="s">
        <v>0</v>
      </c>
      <c r="CL11" s="5" t="s">
        <v>0</v>
      </c>
      <c r="CM11" s="5"/>
      <c r="CN11" s="5" t="s">
        <v>0</v>
      </c>
      <c r="CO11" s="5" t="s">
        <v>0</v>
      </c>
      <c r="CP11" s="5"/>
      <c r="CQ11" s="5" t="s">
        <v>0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 t="s">
        <v>0</v>
      </c>
      <c r="E12" s="166" t="s">
        <v>0</v>
      </c>
      <c r="F12" s="164" t="s">
        <v>0</v>
      </c>
      <c r="G12" s="233" t="s">
        <v>0</v>
      </c>
      <c r="H12" s="168" t="s">
        <v>0</v>
      </c>
      <c r="I12" s="164" t="s">
        <v>0</v>
      </c>
      <c r="J12" s="233" t="s">
        <v>0</v>
      </c>
      <c r="K12" s="168" t="s">
        <v>0</v>
      </c>
      <c r="L12" s="164" t="s">
        <v>0</v>
      </c>
      <c r="M12" s="233" t="s">
        <v>0</v>
      </c>
      <c r="N12" s="168" t="s">
        <v>0</v>
      </c>
      <c r="O12" s="164" t="s">
        <v>0</v>
      </c>
      <c r="P12" s="233" t="s">
        <v>0</v>
      </c>
      <c r="Q12" s="168" t="s">
        <v>0</v>
      </c>
      <c r="R12" s="164" t="s">
        <v>0</v>
      </c>
      <c r="S12" s="233" t="s">
        <v>0</v>
      </c>
      <c r="T12" s="168" t="s">
        <v>0</v>
      </c>
      <c r="U12" s="164" t="s">
        <v>0</v>
      </c>
      <c r="V12" s="233" t="s">
        <v>0</v>
      </c>
      <c r="W12" s="168" t="s">
        <v>0</v>
      </c>
      <c r="X12" s="164" t="s">
        <v>0</v>
      </c>
      <c r="Y12" s="233" t="s">
        <v>0</v>
      </c>
      <c r="Z12" s="168" t="s">
        <v>0</v>
      </c>
      <c r="AA12" s="164" t="s">
        <v>0</v>
      </c>
      <c r="AB12" s="233" t="s">
        <v>0</v>
      </c>
      <c r="AC12" s="168" t="s">
        <v>0</v>
      </c>
      <c r="AD12" s="164" t="s">
        <v>0</v>
      </c>
      <c r="AE12" s="233" t="s">
        <v>0</v>
      </c>
      <c r="AF12" s="168" t="s">
        <v>0</v>
      </c>
      <c r="AG12" s="164" t="s">
        <v>0</v>
      </c>
      <c r="AH12" s="233" t="s">
        <v>0</v>
      </c>
      <c r="AI12" s="168" t="s">
        <v>0</v>
      </c>
      <c r="AJ12" s="164" t="s">
        <v>0</v>
      </c>
      <c r="AK12" s="233" t="s">
        <v>0</v>
      </c>
      <c r="AL12" s="168" t="s">
        <v>0</v>
      </c>
      <c r="AM12" s="164" t="s">
        <v>0</v>
      </c>
      <c r="AN12" s="234" t="s">
        <v>0</v>
      </c>
      <c r="AP12" s="17"/>
      <c r="AR12" s="18" t="s">
        <v>169</v>
      </c>
      <c r="AS12" s="5">
        <v>14</v>
      </c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8" customHeight="1" x14ac:dyDescent="0.2">
      <c r="B13" s="232">
        <v>10</v>
      </c>
      <c r="C13" s="164">
        <v>13</v>
      </c>
      <c r="D13" s="165" t="s">
        <v>0</v>
      </c>
      <c r="E13" s="166" t="s">
        <v>0</v>
      </c>
      <c r="F13" s="164" t="s">
        <v>0</v>
      </c>
      <c r="G13" s="233" t="s">
        <v>0</v>
      </c>
      <c r="H13" s="168" t="s">
        <v>0</v>
      </c>
      <c r="I13" s="164" t="s">
        <v>0</v>
      </c>
      <c r="J13" s="233" t="s">
        <v>0</v>
      </c>
      <c r="K13" s="168" t="s">
        <v>0</v>
      </c>
      <c r="L13" s="164" t="s">
        <v>0</v>
      </c>
      <c r="M13" s="233" t="s">
        <v>0</v>
      </c>
      <c r="N13" s="168" t="s">
        <v>0</v>
      </c>
      <c r="O13" s="164" t="s">
        <v>0</v>
      </c>
      <c r="P13" s="233" t="s">
        <v>0</v>
      </c>
      <c r="Q13" s="168" t="s">
        <v>0</v>
      </c>
      <c r="R13" s="164" t="s">
        <v>0</v>
      </c>
      <c r="S13" s="233" t="s">
        <v>0</v>
      </c>
      <c r="T13" s="168" t="s">
        <v>0</v>
      </c>
      <c r="U13" s="164" t="s">
        <v>0</v>
      </c>
      <c r="V13" s="233" t="s">
        <v>0</v>
      </c>
      <c r="W13" s="168" t="s">
        <v>0</v>
      </c>
      <c r="X13" s="164" t="s">
        <v>0</v>
      </c>
      <c r="Y13" s="233" t="s">
        <v>0</v>
      </c>
      <c r="Z13" s="168" t="s">
        <v>0</v>
      </c>
      <c r="AA13" s="164" t="s">
        <v>0</v>
      </c>
      <c r="AB13" s="233" t="s">
        <v>0</v>
      </c>
      <c r="AC13" s="168" t="s">
        <v>0</v>
      </c>
      <c r="AD13" s="164" t="s">
        <v>0</v>
      </c>
      <c r="AE13" s="233" t="s">
        <v>0</v>
      </c>
      <c r="AF13" s="168" t="s">
        <v>0</v>
      </c>
      <c r="AG13" s="164" t="s">
        <v>0</v>
      </c>
      <c r="AH13" s="233" t="s">
        <v>0</v>
      </c>
      <c r="AI13" s="168" t="s">
        <v>0</v>
      </c>
      <c r="AJ13" s="164" t="s">
        <v>0</v>
      </c>
      <c r="AK13" s="233" t="s">
        <v>0</v>
      </c>
      <c r="AL13" s="168" t="s">
        <v>0</v>
      </c>
      <c r="AM13" s="164" t="s">
        <v>0</v>
      </c>
      <c r="AN13" s="234" t="s">
        <v>0</v>
      </c>
      <c r="AP13" s="17"/>
      <c r="AR13" s="17"/>
      <c r="AS13" s="5">
        <v>13</v>
      </c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8" customHeight="1" x14ac:dyDescent="0.2">
      <c r="B14" s="232">
        <v>11</v>
      </c>
      <c r="C14" s="164">
        <v>14</v>
      </c>
      <c r="D14" s="165" t="s">
        <v>0</v>
      </c>
      <c r="E14" s="166" t="s">
        <v>0</v>
      </c>
      <c r="F14" s="164" t="s">
        <v>0</v>
      </c>
      <c r="G14" s="233" t="s">
        <v>0</v>
      </c>
      <c r="H14" s="168" t="s">
        <v>0</v>
      </c>
      <c r="I14" s="164" t="s">
        <v>0</v>
      </c>
      <c r="J14" s="233" t="s">
        <v>0</v>
      </c>
      <c r="K14" s="168" t="s">
        <v>0</v>
      </c>
      <c r="L14" s="164" t="s">
        <v>0</v>
      </c>
      <c r="M14" s="233" t="s">
        <v>0</v>
      </c>
      <c r="N14" s="168" t="s">
        <v>0</v>
      </c>
      <c r="O14" s="164" t="s">
        <v>0</v>
      </c>
      <c r="P14" s="233" t="s">
        <v>0</v>
      </c>
      <c r="Q14" s="168" t="s">
        <v>0</v>
      </c>
      <c r="R14" s="164" t="s">
        <v>0</v>
      </c>
      <c r="S14" s="233" t="s">
        <v>0</v>
      </c>
      <c r="T14" s="168" t="s">
        <v>0</v>
      </c>
      <c r="U14" s="164" t="s">
        <v>0</v>
      </c>
      <c r="V14" s="233" t="s">
        <v>0</v>
      </c>
      <c r="W14" s="168" t="s">
        <v>0</v>
      </c>
      <c r="X14" s="164" t="s">
        <v>0</v>
      </c>
      <c r="Y14" s="233" t="s">
        <v>0</v>
      </c>
      <c r="Z14" s="168" t="s">
        <v>0</v>
      </c>
      <c r="AA14" s="164" t="s">
        <v>0</v>
      </c>
      <c r="AB14" s="233" t="s">
        <v>0</v>
      </c>
      <c r="AC14" s="168" t="s">
        <v>0</v>
      </c>
      <c r="AD14" s="164" t="s">
        <v>0</v>
      </c>
      <c r="AE14" s="233" t="s">
        <v>0</v>
      </c>
      <c r="AF14" s="168" t="s">
        <v>0</v>
      </c>
      <c r="AG14" s="164" t="s">
        <v>0</v>
      </c>
      <c r="AH14" s="233" t="s">
        <v>0</v>
      </c>
      <c r="AI14" s="168" t="s">
        <v>0</v>
      </c>
      <c r="AJ14" s="164" t="s">
        <v>0</v>
      </c>
      <c r="AK14" s="233" t="s">
        <v>0</v>
      </c>
      <c r="AL14" s="168" t="s">
        <v>0</v>
      </c>
      <c r="AM14" s="164" t="s">
        <v>0</v>
      </c>
      <c r="AN14" s="234" t="s">
        <v>0</v>
      </c>
      <c r="AP14" s="17"/>
      <c r="AR14" s="17"/>
      <c r="AS14" s="5">
        <v>14</v>
      </c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8" customHeight="1" x14ac:dyDescent="0.2">
      <c r="B15" s="232">
        <v>12</v>
      </c>
      <c r="C15" s="164">
        <v>14</v>
      </c>
      <c r="D15" s="165" t="s">
        <v>0</v>
      </c>
      <c r="E15" s="166" t="s">
        <v>0</v>
      </c>
      <c r="F15" s="164" t="s">
        <v>0</v>
      </c>
      <c r="G15" s="233" t="s">
        <v>0</v>
      </c>
      <c r="H15" s="168" t="s">
        <v>0</v>
      </c>
      <c r="I15" s="164" t="s">
        <v>0</v>
      </c>
      <c r="J15" s="233" t="s">
        <v>0</v>
      </c>
      <c r="K15" s="168" t="s">
        <v>0</v>
      </c>
      <c r="L15" s="164" t="s">
        <v>0</v>
      </c>
      <c r="M15" s="233" t="s">
        <v>0</v>
      </c>
      <c r="N15" s="168" t="s">
        <v>0</v>
      </c>
      <c r="O15" s="164" t="s">
        <v>0</v>
      </c>
      <c r="P15" s="233" t="s">
        <v>0</v>
      </c>
      <c r="Q15" s="168" t="s">
        <v>0</v>
      </c>
      <c r="R15" s="164" t="s">
        <v>0</v>
      </c>
      <c r="S15" s="233" t="s">
        <v>0</v>
      </c>
      <c r="T15" s="168" t="s">
        <v>0</v>
      </c>
      <c r="U15" s="164" t="s">
        <v>0</v>
      </c>
      <c r="V15" s="233" t="s">
        <v>0</v>
      </c>
      <c r="W15" s="168" t="s">
        <v>0</v>
      </c>
      <c r="X15" s="164" t="s">
        <v>0</v>
      </c>
      <c r="Y15" s="233" t="s">
        <v>0</v>
      </c>
      <c r="Z15" s="168" t="s">
        <v>0</v>
      </c>
      <c r="AA15" s="164" t="s">
        <v>0</v>
      </c>
      <c r="AB15" s="233" t="s">
        <v>0</v>
      </c>
      <c r="AC15" s="168" t="s">
        <v>0</v>
      </c>
      <c r="AD15" s="164" t="s">
        <v>0</v>
      </c>
      <c r="AE15" s="233" t="s">
        <v>0</v>
      </c>
      <c r="AF15" s="168" t="s">
        <v>0</v>
      </c>
      <c r="AG15" s="164" t="s">
        <v>0</v>
      </c>
      <c r="AH15" s="233" t="s">
        <v>0</v>
      </c>
      <c r="AI15" s="168" t="s">
        <v>0</v>
      </c>
      <c r="AJ15" s="164" t="s">
        <v>0</v>
      </c>
      <c r="AK15" s="233" t="s">
        <v>0</v>
      </c>
      <c r="AL15" s="168" t="s">
        <v>0</v>
      </c>
      <c r="AM15" s="164" t="s">
        <v>0</v>
      </c>
      <c r="AN15" s="234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32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3" t="s">
        <v>0</v>
      </c>
      <c r="H16" s="168" t="s">
        <v>0</v>
      </c>
      <c r="I16" s="164" t="s">
        <v>0</v>
      </c>
      <c r="J16" s="233" t="s">
        <v>0</v>
      </c>
      <c r="K16" s="168" t="s">
        <v>0</v>
      </c>
      <c r="L16" s="164" t="s">
        <v>0</v>
      </c>
      <c r="M16" s="233" t="s">
        <v>0</v>
      </c>
      <c r="N16" s="168" t="s">
        <v>0</v>
      </c>
      <c r="O16" s="164" t="s">
        <v>0</v>
      </c>
      <c r="P16" s="233" t="s">
        <v>0</v>
      </c>
      <c r="Q16" s="168" t="s">
        <v>0</v>
      </c>
      <c r="R16" s="164" t="s">
        <v>0</v>
      </c>
      <c r="S16" s="233" t="s">
        <v>0</v>
      </c>
      <c r="T16" s="168" t="s">
        <v>0</v>
      </c>
      <c r="U16" s="164" t="s">
        <v>0</v>
      </c>
      <c r="V16" s="233" t="s">
        <v>0</v>
      </c>
      <c r="W16" s="168" t="s">
        <v>0</v>
      </c>
      <c r="X16" s="164" t="s">
        <v>0</v>
      </c>
      <c r="Y16" s="233" t="s">
        <v>0</v>
      </c>
      <c r="Z16" s="168" t="s">
        <v>0</v>
      </c>
      <c r="AA16" s="164" t="s">
        <v>0</v>
      </c>
      <c r="AB16" s="233" t="s">
        <v>0</v>
      </c>
      <c r="AC16" s="168" t="s">
        <v>0</v>
      </c>
      <c r="AD16" s="164" t="s">
        <v>0</v>
      </c>
      <c r="AE16" s="233" t="s">
        <v>0</v>
      </c>
      <c r="AF16" s="168" t="s">
        <v>0</v>
      </c>
      <c r="AG16" s="164" t="s">
        <v>0</v>
      </c>
      <c r="AH16" s="233" t="s">
        <v>0</v>
      </c>
      <c r="AI16" s="168" t="s">
        <v>0</v>
      </c>
      <c r="AJ16" s="164" t="s">
        <v>0</v>
      </c>
      <c r="AK16" s="233" t="s">
        <v>0</v>
      </c>
      <c r="AL16" s="168" t="s">
        <v>0</v>
      </c>
      <c r="AM16" s="164" t="s">
        <v>0</v>
      </c>
      <c r="AN16" s="234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63</v>
      </c>
      <c r="E21" s="97">
        <v>3</v>
      </c>
      <c r="F21" s="245">
        <v>39</v>
      </c>
      <c r="G21" s="246">
        <v>305</v>
      </c>
      <c r="H21" s="98">
        <v>11</v>
      </c>
      <c r="I21" s="245">
        <v>34</v>
      </c>
      <c r="J21" s="246">
        <v>260</v>
      </c>
      <c r="K21" s="98">
        <v>4</v>
      </c>
      <c r="L21" s="245">
        <v>37</v>
      </c>
      <c r="M21" s="246">
        <v>303</v>
      </c>
      <c r="N21" s="98">
        <v>1</v>
      </c>
      <c r="O21" s="245">
        <v>41</v>
      </c>
      <c r="P21" s="246">
        <v>308</v>
      </c>
      <c r="Q21" s="98">
        <v>10</v>
      </c>
      <c r="R21" s="245">
        <v>34</v>
      </c>
      <c r="S21" s="246">
        <v>263</v>
      </c>
      <c r="T21" s="98">
        <v>12</v>
      </c>
      <c r="U21" s="245">
        <v>39</v>
      </c>
      <c r="V21" s="246">
        <v>256</v>
      </c>
      <c r="W21" s="98">
        <v>5</v>
      </c>
      <c r="X21" s="245">
        <v>39</v>
      </c>
      <c r="Y21" s="246">
        <v>300</v>
      </c>
      <c r="Z21" s="98">
        <v>9</v>
      </c>
      <c r="AA21" s="245">
        <v>34</v>
      </c>
      <c r="AB21" s="246">
        <v>276</v>
      </c>
      <c r="AC21" s="98">
        <v>8</v>
      </c>
      <c r="AD21" s="245">
        <v>38</v>
      </c>
      <c r="AE21" s="246">
        <v>278</v>
      </c>
      <c r="AF21" s="98">
        <v>2</v>
      </c>
      <c r="AG21" s="245">
        <v>39</v>
      </c>
      <c r="AH21" s="246">
        <v>306</v>
      </c>
      <c r="AI21" s="98">
        <v>6</v>
      </c>
      <c r="AJ21" s="245">
        <v>40</v>
      </c>
      <c r="AK21" s="246">
        <v>298</v>
      </c>
      <c r="AL21" s="98">
        <v>7</v>
      </c>
      <c r="AM21" s="245">
        <v>40</v>
      </c>
      <c r="AN21" s="247">
        <v>290</v>
      </c>
      <c r="AO21" s="248"/>
      <c r="AP21" s="249"/>
      <c r="AQ21" s="248"/>
      <c r="AR21" s="249"/>
      <c r="AS21" s="138"/>
      <c r="BJ21" s="5"/>
      <c r="BK21" s="5"/>
      <c r="BL21" s="5"/>
      <c r="BM21" s="5">
        <v>305</v>
      </c>
      <c r="BN21" s="5"/>
      <c r="BO21" s="5"/>
      <c r="BP21" s="5">
        <v>260</v>
      </c>
      <c r="BQ21" s="5"/>
      <c r="BR21" s="5"/>
      <c r="BS21" s="5">
        <v>303</v>
      </c>
      <c r="BT21" s="5"/>
      <c r="BU21" s="5"/>
      <c r="BV21" s="5">
        <v>308</v>
      </c>
      <c r="BW21" s="5"/>
      <c r="BX21" s="5"/>
      <c r="BY21" s="5">
        <v>263</v>
      </c>
      <c r="BZ21" s="5"/>
      <c r="CA21" s="5"/>
      <c r="CB21" s="5">
        <v>256</v>
      </c>
      <c r="CC21" s="5"/>
      <c r="CD21" s="5"/>
      <c r="CE21" s="5">
        <v>300</v>
      </c>
      <c r="CF21" s="5"/>
      <c r="CG21" s="5"/>
      <c r="CH21" s="5">
        <v>276</v>
      </c>
      <c r="CI21" s="5"/>
      <c r="CJ21" s="5"/>
      <c r="CK21" s="5">
        <v>278</v>
      </c>
      <c r="CL21" s="5"/>
      <c r="CM21" s="5"/>
      <c r="CN21" s="5">
        <v>306</v>
      </c>
      <c r="CO21" s="5"/>
      <c r="CP21" s="5"/>
      <c r="CQ21" s="5">
        <v>298</v>
      </c>
      <c r="CR21" s="5"/>
      <c r="CS21" s="5"/>
      <c r="CT21" s="5">
        <v>290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5</v>
      </c>
      <c r="F22" s="100">
        <v>9.75</v>
      </c>
      <c r="G22" s="101">
        <v>101.66666666666667</v>
      </c>
      <c r="H22" s="102">
        <v>10.75</v>
      </c>
      <c r="I22" s="100">
        <v>8.5</v>
      </c>
      <c r="J22" s="101">
        <v>86.666666666666671</v>
      </c>
      <c r="K22" s="102">
        <v>5.25</v>
      </c>
      <c r="L22" s="100">
        <v>9.25</v>
      </c>
      <c r="M22" s="101">
        <v>101</v>
      </c>
      <c r="N22" s="102">
        <v>3.5</v>
      </c>
      <c r="O22" s="100">
        <v>10.25</v>
      </c>
      <c r="P22" s="101">
        <v>102.66666666666667</v>
      </c>
      <c r="Q22" s="102">
        <v>7</v>
      </c>
      <c r="R22" s="100">
        <v>8.5</v>
      </c>
      <c r="S22" s="101">
        <v>87.666666666666671</v>
      </c>
      <c r="T22" s="102">
        <v>8.25</v>
      </c>
      <c r="U22" s="100">
        <v>9.75</v>
      </c>
      <c r="V22" s="101">
        <v>85.333333333333329</v>
      </c>
      <c r="W22" s="102">
        <v>4</v>
      </c>
      <c r="X22" s="100">
        <v>9.75</v>
      </c>
      <c r="Y22" s="101">
        <v>100</v>
      </c>
      <c r="Z22" s="102">
        <v>8</v>
      </c>
      <c r="AA22" s="100">
        <v>8.5</v>
      </c>
      <c r="AB22" s="101">
        <v>92</v>
      </c>
      <c r="AC22" s="102">
        <v>8</v>
      </c>
      <c r="AD22" s="100">
        <v>9.5</v>
      </c>
      <c r="AE22" s="101">
        <v>92.666666666666671</v>
      </c>
      <c r="AF22" s="102">
        <v>3.75</v>
      </c>
      <c r="AG22" s="100">
        <v>9.75</v>
      </c>
      <c r="AH22" s="101">
        <v>102</v>
      </c>
      <c r="AI22" s="102">
        <v>6.5</v>
      </c>
      <c r="AJ22" s="100">
        <v>10</v>
      </c>
      <c r="AK22" s="101">
        <v>99.333333333333329</v>
      </c>
      <c r="AL22" s="102">
        <v>5.25</v>
      </c>
      <c r="AM22" s="100">
        <v>10</v>
      </c>
      <c r="AN22" s="103">
        <v>96.666666666666671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 t="s">
        <v>0</v>
      </c>
      <c r="I23" s="257"/>
      <c r="J23" s="258"/>
      <c r="K23" s="259" t="s">
        <v>0</v>
      </c>
      <c r="L23" s="257"/>
      <c r="M23" s="258"/>
      <c r="N23" s="259">
        <v>1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 t="s">
        <v>0</v>
      </c>
      <c r="X23" s="257"/>
      <c r="Y23" s="258"/>
      <c r="Z23" s="259" t="s">
        <v>0</v>
      </c>
      <c r="AA23" s="257"/>
      <c r="AB23" s="258"/>
      <c r="AC23" s="259" t="s">
        <v>0</v>
      </c>
      <c r="AD23" s="257"/>
      <c r="AE23" s="258"/>
      <c r="AF23" s="259">
        <v>1</v>
      </c>
      <c r="AG23" s="257"/>
      <c r="AH23" s="258"/>
      <c r="AI23" s="259">
        <v>1</v>
      </c>
      <c r="AJ23" s="257"/>
      <c r="AK23" s="258"/>
      <c r="AL23" s="259">
        <v>1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1</v>
      </c>
      <c r="F24" s="265"/>
      <c r="G24" s="266"/>
      <c r="H24" s="267" t="s">
        <v>0</v>
      </c>
      <c r="I24" s="265"/>
      <c r="J24" s="266"/>
      <c r="K24" s="267">
        <v>1</v>
      </c>
      <c r="L24" s="265"/>
      <c r="M24" s="266"/>
      <c r="N24" s="267" t="s">
        <v>0</v>
      </c>
      <c r="O24" s="265"/>
      <c r="P24" s="266"/>
      <c r="Q24" s="267">
        <v>1</v>
      </c>
      <c r="R24" s="265"/>
      <c r="S24" s="266"/>
      <c r="T24" s="267" t="s">
        <v>0</v>
      </c>
      <c r="U24" s="265"/>
      <c r="V24" s="266"/>
      <c r="W24" s="267">
        <v>3</v>
      </c>
      <c r="X24" s="265"/>
      <c r="Y24" s="266"/>
      <c r="Z24" s="267" t="s">
        <v>0</v>
      </c>
      <c r="AA24" s="265"/>
      <c r="AB24" s="266"/>
      <c r="AC24" s="267" t="s">
        <v>0</v>
      </c>
      <c r="AD24" s="265"/>
      <c r="AE24" s="266"/>
      <c r="AF24" s="267" t="s">
        <v>0</v>
      </c>
      <c r="AG24" s="265"/>
      <c r="AH24" s="266"/>
      <c r="AI24" s="267" t="s">
        <v>0</v>
      </c>
      <c r="AJ24" s="265"/>
      <c r="AK24" s="266"/>
      <c r="AL24" s="267" t="s">
        <v>0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1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1</v>
      </c>
      <c r="O25" s="265"/>
      <c r="P25" s="266"/>
      <c r="Q25" s="267">
        <v>1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 t="s">
        <v>0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2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1</v>
      </c>
      <c r="R26" s="265"/>
      <c r="S26" s="266"/>
      <c r="T26" s="267">
        <v>1</v>
      </c>
      <c r="U26" s="265"/>
      <c r="V26" s="266"/>
      <c r="W26" s="267" t="s">
        <v>0</v>
      </c>
      <c r="X26" s="265"/>
      <c r="Y26" s="266"/>
      <c r="Z26" s="267" t="s">
        <v>0</v>
      </c>
      <c r="AA26" s="265"/>
      <c r="AB26" s="266"/>
      <c r="AC26" s="267" t="s">
        <v>0</v>
      </c>
      <c r="AD26" s="265"/>
      <c r="AE26" s="266"/>
      <c r="AF26" s="267" t="s">
        <v>0</v>
      </c>
      <c r="AG26" s="265"/>
      <c r="AH26" s="266"/>
      <c r="AI26" s="267" t="s">
        <v>0</v>
      </c>
      <c r="AJ26" s="265"/>
      <c r="AK26" s="266"/>
      <c r="AL26" s="267" t="s">
        <v>0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 t="s">
        <v>0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 t="s">
        <v>0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 t="s">
        <v>0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 t="s">
        <v>0</v>
      </c>
      <c r="BM28" s="5"/>
      <c r="BN28" s="5"/>
      <c r="BO28" s="5" t="s">
        <v>0</v>
      </c>
      <c r="BP28" s="5"/>
      <c r="BQ28" s="5"/>
      <c r="BR28" s="5" t="s">
        <v>0</v>
      </c>
      <c r="BS28" s="5"/>
      <c r="BT28" s="5"/>
      <c r="BU28" s="5" t="s">
        <v>0</v>
      </c>
      <c r="BV28" s="5"/>
      <c r="BW28" s="5"/>
      <c r="BX28" s="5" t="s">
        <v>0</v>
      </c>
      <c r="BY28" s="5"/>
      <c r="BZ28" s="5"/>
      <c r="CA28" s="5" t="s">
        <v>0</v>
      </c>
      <c r="CB28" s="5"/>
      <c r="CC28" s="5"/>
      <c r="CD28" s="5" t="s">
        <v>0</v>
      </c>
      <c r="CE28" s="5"/>
      <c r="CF28" s="5"/>
      <c r="CG28" s="5" t="s">
        <v>0</v>
      </c>
      <c r="CH28" s="5"/>
      <c r="CI28" s="5"/>
      <c r="CJ28" s="5" t="s">
        <v>0</v>
      </c>
      <c r="CK28" s="5"/>
      <c r="CL28" s="5"/>
      <c r="CM28" s="5" t="s">
        <v>0</v>
      </c>
      <c r="CN28" s="5"/>
      <c r="CO28" s="5"/>
      <c r="CP28" s="5" t="s">
        <v>0</v>
      </c>
      <c r="CQ28" s="5"/>
      <c r="CR28" s="5"/>
      <c r="CS28" s="5" t="s">
        <v>0</v>
      </c>
      <c r="CT28" s="5"/>
      <c r="CU28" s="5"/>
    </row>
    <row r="29" spans="2:99" ht="18" customHeight="1" thickTop="1" thickBot="1" x14ac:dyDescent="0.25">
      <c r="AT29" s="281" t="s">
        <v>136</v>
      </c>
      <c r="AU29" s="282"/>
      <c r="AV29" s="282"/>
      <c r="AW29" s="282"/>
      <c r="AX29" s="282"/>
      <c r="AY29" s="282"/>
      <c r="AZ29" s="282"/>
      <c r="BA29" s="282"/>
      <c r="BB29" s="282"/>
      <c r="BC29" s="282"/>
      <c r="BD29" s="282"/>
      <c r="BE29" s="282"/>
      <c r="BF29" s="282"/>
      <c r="BG29" s="282"/>
      <c r="BH29" s="282"/>
      <c r="BI29" s="283"/>
      <c r="BJ29" s="5"/>
      <c r="BK29" s="5"/>
      <c r="BL29" s="5" t="s">
        <v>0</v>
      </c>
      <c r="BM29" s="5"/>
      <c r="BN29" s="5"/>
      <c r="BO29" s="5" t="s">
        <v>0</v>
      </c>
      <c r="BP29" s="5"/>
      <c r="BQ29" s="5"/>
      <c r="BR29" s="5" t="s">
        <v>0</v>
      </c>
      <c r="BS29" s="5"/>
      <c r="BT29" s="5"/>
      <c r="BU29" s="5" t="s">
        <v>0</v>
      </c>
      <c r="BV29" s="5"/>
      <c r="BW29" s="5"/>
      <c r="BX29" s="5" t="s">
        <v>0</v>
      </c>
      <c r="BY29" s="5"/>
      <c r="BZ29" s="5"/>
      <c r="CA29" s="5" t="s">
        <v>0</v>
      </c>
      <c r="CB29" s="5"/>
      <c r="CC29" s="5"/>
      <c r="CD29" s="5" t="s">
        <v>0</v>
      </c>
      <c r="CE29" s="5"/>
      <c r="CF29" s="5"/>
      <c r="CG29" s="5" t="s">
        <v>0</v>
      </c>
      <c r="CH29" s="5"/>
      <c r="CI29" s="5"/>
      <c r="CJ29" s="5" t="s">
        <v>0</v>
      </c>
      <c r="CK29" s="5"/>
      <c r="CL29" s="5"/>
      <c r="CM29" s="5" t="s">
        <v>0</v>
      </c>
      <c r="CN29" s="5"/>
      <c r="CO29" s="5"/>
      <c r="CP29" s="5" t="s">
        <v>0</v>
      </c>
      <c r="CQ29" s="5"/>
      <c r="CR29" s="5"/>
      <c r="CS29" s="5" t="s">
        <v>0</v>
      </c>
      <c r="CT29" s="5"/>
      <c r="CU29" s="5"/>
    </row>
    <row r="30" spans="2:99" ht="18" customHeight="1" thickTop="1" thickBot="1" x14ac:dyDescent="0.25">
      <c r="AT30" s="291" t="s">
        <v>7</v>
      </c>
      <c r="AU30" s="294" t="s">
        <v>58</v>
      </c>
      <c r="AV30" s="297" t="s">
        <v>59</v>
      </c>
      <c r="AW30" s="298"/>
      <c r="AX30" s="298"/>
      <c r="AY30" s="298"/>
      <c r="AZ30" s="298"/>
      <c r="BA30" s="298"/>
      <c r="BB30" s="299"/>
      <c r="BC30" s="298" t="s">
        <v>60</v>
      </c>
      <c r="BD30" s="298"/>
      <c r="BE30" s="298"/>
      <c r="BF30" s="298"/>
      <c r="BG30" s="298"/>
      <c r="BH30" s="298"/>
      <c r="BI30" s="299"/>
      <c r="BJ30" s="5"/>
      <c r="BK30" s="5"/>
      <c r="BL30" s="5" t="s">
        <v>0</v>
      </c>
      <c r="BM30" s="5"/>
      <c r="BN30" s="5"/>
      <c r="BO30" s="5" t="s">
        <v>0</v>
      </c>
      <c r="BP30" s="5"/>
      <c r="BQ30" s="5"/>
      <c r="BR30" s="5" t="s">
        <v>0</v>
      </c>
      <c r="BS30" s="5"/>
      <c r="BT30" s="5"/>
      <c r="BU30" s="5" t="s">
        <v>0</v>
      </c>
      <c r="BV30" s="5"/>
      <c r="BW30" s="5"/>
      <c r="BX30" s="5" t="s">
        <v>0</v>
      </c>
      <c r="BY30" s="5"/>
      <c r="BZ30" s="5"/>
      <c r="CA30" s="5" t="s">
        <v>0</v>
      </c>
      <c r="CB30" s="5"/>
      <c r="CC30" s="5"/>
      <c r="CD30" s="5" t="s">
        <v>0</v>
      </c>
      <c r="CE30" s="5"/>
      <c r="CF30" s="5"/>
      <c r="CG30" s="5" t="s">
        <v>0</v>
      </c>
      <c r="CH30" s="5"/>
      <c r="CI30" s="5"/>
      <c r="CJ30" s="5" t="s">
        <v>0</v>
      </c>
      <c r="CK30" s="5"/>
      <c r="CL30" s="5"/>
      <c r="CM30" s="5" t="s">
        <v>0</v>
      </c>
      <c r="CN30" s="5"/>
      <c r="CO30" s="5"/>
      <c r="CP30" s="5" t="s">
        <v>0</v>
      </c>
      <c r="CQ30" s="5"/>
      <c r="CR30" s="5"/>
      <c r="CS30" s="5" t="s">
        <v>0</v>
      </c>
      <c r="CT30" s="5"/>
      <c r="CU30" s="5"/>
    </row>
    <row r="31" spans="2:99" ht="12.95" customHeight="1" x14ac:dyDescent="0.2">
      <c r="AT31" s="292"/>
      <c r="AU31" s="295"/>
      <c r="AV31" s="300" t="s">
        <v>47</v>
      </c>
      <c r="AW31" s="302" t="s">
        <v>48</v>
      </c>
      <c r="AX31" s="302" t="s">
        <v>47</v>
      </c>
      <c r="AY31" s="302" t="s">
        <v>49</v>
      </c>
      <c r="AZ31" s="302"/>
      <c r="BA31" s="302" t="s">
        <v>50</v>
      </c>
      <c r="BB31" s="304"/>
      <c r="BC31" s="306" t="s">
        <v>51</v>
      </c>
      <c r="BD31" s="302" t="s">
        <v>48</v>
      </c>
      <c r="BE31" s="302"/>
      <c r="BF31" s="302" t="s">
        <v>52</v>
      </c>
      <c r="BG31" s="302"/>
      <c r="BH31" s="302" t="s">
        <v>53</v>
      </c>
      <c r="BI31" s="304"/>
      <c r="BJ31" s="5"/>
      <c r="BK31" s="5"/>
      <c r="BL31" s="5" t="s">
        <v>0</v>
      </c>
      <c r="BM31" s="5"/>
      <c r="BN31" s="5"/>
      <c r="BO31" s="5" t="s">
        <v>0</v>
      </c>
      <c r="BP31" s="5"/>
      <c r="BQ31" s="5"/>
      <c r="BR31" s="5" t="s">
        <v>0</v>
      </c>
      <c r="BS31" s="5"/>
      <c r="BT31" s="5"/>
      <c r="BU31" s="5" t="s">
        <v>0</v>
      </c>
      <c r="BV31" s="5"/>
      <c r="BW31" s="5"/>
      <c r="BX31" s="5" t="s">
        <v>0</v>
      </c>
      <c r="BY31" s="5"/>
      <c r="BZ31" s="5"/>
      <c r="CA31" s="5" t="s">
        <v>0</v>
      </c>
      <c r="CB31" s="5"/>
      <c r="CC31" s="5"/>
      <c r="CD31" s="5" t="s">
        <v>0</v>
      </c>
      <c r="CE31" s="5"/>
      <c r="CF31" s="5"/>
      <c r="CG31" s="5" t="s">
        <v>0</v>
      </c>
      <c r="CH31" s="5"/>
      <c r="CI31" s="5"/>
      <c r="CJ31" s="5" t="s">
        <v>0</v>
      </c>
      <c r="CK31" s="5"/>
      <c r="CL31" s="5"/>
      <c r="CM31" s="5" t="s">
        <v>0</v>
      </c>
      <c r="CN31" s="5"/>
      <c r="CO31" s="5"/>
      <c r="CP31" s="5" t="s">
        <v>0</v>
      </c>
      <c r="CQ31" s="5"/>
      <c r="CR31" s="5"/>
      <c r="CS31" s="5" t="s">
        <v>0</v>
      </c>
      <c r="CT31" s="5"/>
      <c r="CU31" s="5"/>
    </row>
    <row r="32" spans="2:99" ht="12.95" customHeight="1" thickBot="1" x14ac:dyDescent="0.25">
      <c r="AT32" s="293"/>
      <c r="AU32" s="296"/>
      <c r="AV32" s="301"/>
      <c r="AW32" s="303"/>
      <c r="AX32" s="303"/>
      <c r="AY32" s="303"/>
      <c r="AZ32" s="303"/>
      <c r="BA32" s="303"/>
      <c r="BB32" s="305"/>
      <c r="BC32" s="307"/>
      <c r="BD32" s="303"/>
      <c r="BE32" s="303"/>
      <c r="BF32" s="303"/>
      <c r="BG32" s="303"/>
      <c r="BH32" s="303"/>
      <c r="BI32" s="305"/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46:99" ht="15" customHeight="1" x14ac:dyDescent="0.2">
      <c r="AT33" s="308" t="s">
        <v>64</v>
      </c>
      <c r="AU33" s="105">
        <v>31</v>
      </c>
      <c r="AV33" s="106">
        <v>-12</v>
      </c>
      <c r="AW33" s="107">
        <v>1</v>
      </c>
      <c r="AX33" s="108">
        <v>31</v>
      </c>
      <c r="AY33" s="109" t="s">
        <v>57</v>
      </c>
      <c r="AZ33" s="108">
        <v>12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46:99" ht="15" customHeight="1" x14ac:dyDescent="0.2">
      <c r="AT34" s="104" t="s">
        <v>70</v>
      </c>
      <c r="AU34" s="113">
        <v>27</v>
      </c>
      <c r="AV34" s="114">
        <v>-12</v>
      </c>
      <c r="AW34" s="115">
        <v>1</v>
      </c>
      <c r="AX34" s="116">
        <v>31</v>
      </c>
      <c r="AY34" s="117" t="s">
        <v>0</v>
      </c>
      <c r="AZ34" s="116" t="s">
        <v>0</v>
      </c>
      <c r="BA34" s="118" t="s">
        <v>57</v>
      </c>
      <c r="BB34" s="119">
        <v>8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46:99" ht="15" customHeight="1" x14ac:dyDescent="0.2">
      <c r="AT35" s="309" t="s">
        <v>105</v>
      </c>
      <c r="AU35" s="113">
        <v>19</v>
      </c>
      <c r="AV35" s="114">
        <v>-12</v>
      </c>
      <c r="AW35" s="115">
        <v>1</v>
      </c>
      <c r="AX35" s="116">
        <v>31</v>
      </c>
      <c r="AY35" s="117" t="s">
        <v>0</v>
      </c>
      <c r="AZ35" s="116" t="s">
        <v>0</v>
      </c>
      <c r="BA35" s="118" t="s">
        <v>0</v>
      </c>
      <c r="BB35" s="119" t="s">
        <v>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104" t="s">
        <v>71</v>
      </c>
      <c r="AU36" s="113">
        <v>19</v>
      </c>
      <c r="AV36" s="114">
        <v>-12</v>
      </c>
      <c r="AW36" s="115">
        <v>1</v>
      </c>
      <c r="AX36" s="116">
        <v>31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4" t="s">
        <v>61</v>
      </c>
      <c r="AU37" s="113">
        <v>-12</v>
      </c>
      <c r="AV37" s="114">
        <v>-12</v>
      </c>
      <c r="AW37" s="115" t="s">
        <v>0</v>
      </c>
      <c r="AX37" s="116" t="s">
        <v>0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104" t="s">
        <v>62</v>
      </c>
      <c r="AU38" s="113">
        <v>-12</v>
      </c>
      <c r="AV38" s="114">
        <v>-12</v>
      </c>
      <c r="AW38" s="115" t="s">
        <v>0</v>
      </c>
      <c r="AX38" s="116" t="s">
        <v>0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104" t="s">
        <v>63</v>
      </c>
      <c r="AU39" s="113">
        <v>-12</v>
      </c>
      <c r="AV39" s="114">
        <v>-12</v>
      </c>
      <c r="AW39" s="115" t="s">
        <v>0</v>
      </c>
      <c r="AX39" s="116" t="s">
        <v>0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65</v>
      </c>
      <c r="AU40" s="113">
        <v>-12</v>
      </c>
      <c r="AV40" s="114">
        <v>-12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66</v>
      </c>
      <c r="AU41" s="113">
        <v>-12</v>
      </c>
      <c r="AV41" s="114">
        <v>-12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39</v>
      </c>
      <c r="BM41" s="5"/>
      <c r="BN41" s="5"/>
      <c r="BO41" s="5">
        <v>34</v>
      </c>
      <c r="BP41" s="5"/>
      <c r="BQ41" s="5"/>
      <c r="BR41" s="5">
        <v>37</v>
      </c>
      <c r="BS41" s="5"/>
      <c r="BT41" s="5"/>
      <c r="BU41" s="5">
        <v>41</v>
      </c>
      <c r="BV41" s="5"/>
      <c r="BW41" s="5"/>
      <c r="BX41" s="5">
        <v>34</v>
      </c>
      <c r="BY41" s="5"/>
      <c r="BZ41" s="5"/>
      <c r="CA41" s="5">
        <v>39</v>
      </c>
      <c r="CB41" s="5"/>
      <c r="CC41" s="5"/>
      <c r="CD41" s="5">
        <v>39</v>
      </c>
      <c r="CE41" s="5"/>
      <c r="CF41" s="5"/>
      <c r="CG41" s="5">
        <v>34</v>
      </c>
      <c r="CH41" s="5"/>
      <c r="CI41" s="5"/>
      <c r="CJ41" s="5">
        <v>38</v>
      </c>
      <c r="CK41" s="5"/>
      <c r="CL41" s="5"/>
      <c r="CM41" s="5">
        <v>39</v>
      </c>
      <c r="CN41" s="5"/>
      <c r="CO41" s="5"/>
      <c r="CP41" s="5">
        <v>40</v>
      </c>
      <c r="CQ41" s="5"/>
      <c r="CR41" s="5"/>
      <c r="CS41" s="5">
        <v>40</v>
      </c>
      <c r="CT41" s="5"/>
      <c r="CU41" s="5"/>
    </row>
    <row r="42" spans="46:99" ht="15" customHeight="1" x14ac:dyDescent="0.2">
      <c r="AT42" s="104" t="s">
        <v>67</v>
      </c>
      <c r="AU42" s="113">
        <v>-12</v>
      </c>
      <c r="AV42" s="114">
        <v>-12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5</v>
      </c>
      <c r="BL42" s="19"/>
      <c r="BM42" s="19"/>
      <c r="BN42" s="19">
        <v>10.75</v>
      </c>
      <c r="BO42" s="19"/>
      <c r="BP42" s="19"/>
      <c r="BQ42" s="19">
        <v>5.25</v>
      </c>
      <c r="BR42" s="19"/>
      <c r="BS42" s="19"/>
      <c r="BT42" s="19">
        <v>3.5</v>
      </c>
      <c r="BU42" s="19"/>
      <c r="BV42" s="19"/>
      <c r="BW42" s="19">
        <v>7</v>
      </c>
      <c r="BX42" s="19"/>
      <c r="BY42" s="19"/>
      <c r="BZ42" s="19">
        <v>8.25</v>
      </c>
      <c r="CA42" s="19"/>
      <c r="CB42" s="19"/>
      <c r="CC42" s="19">
        <v>4</v>
      </c>
      <c r="CD42" s="19"/>
      <c r="CE42" s="19"/>
      <c r="CF42" s="19">
        <v>8</v>
      </c>
      <c r="CG42" s="19"/>
      <c r="CH42" s="19"/>
      <c r="CI42" s="19">
        <v>8</v>
      </c>
      <c r="CJ42" s="19"/>
      <c r="CK42" s="19"/>
      <c r="CL42" s="19">
        <v>3.75</v>
      </c>
      <c r="CM42" s="19"/>
      <c r="CN42" s="19"/>
      <c r="CO42" s="19">
        <v>6.5</v>
      </c>
      <c r="CP42" s="19"/>
      <c r="CQ42" s="19"/>
      <c r="CR42" s="19">
        <v>5.25</v>
      </c>
      <c r="CS42" s="19"/>
      <c r="CT42" s="19"/>
      <c r="CU42" s="19"/>
    </row>
    <row r="43" spans="46:99" ht="15" customHeight="1" x14ac:dyDescent="0.2">
      <c r="AT43" s="104" t="s">
        <v>68</v>
      </c>
      <c r="AU43" s="113">
        <v>-12</v>
      </c>
      <c r="AV43" s="114">
        <v>-12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-12</v>
      </c>
      <c r="AV44" s="122">
        <v>-12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2019-10-03T04:11:47Z</dcterms:modified>
</cp:coreProperties>
</file>