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20" windowWidth="9720" windowHeight="7320" tabRatio="236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I21" i="1"/>
  <c r="BH21" i="1"/>
  <c r="BF21" i="1"/>
  <c r="BD21" i="1"/>
  <c r="BH16" i="1"/>
  <c r="BI16" i="1" s="1"/>
  <c r="BF16" i="1"/>
  <c r="BD16" i="1"/>
  <c r="BH15" i="1"/>
  <c r="BI15" i="1" s="1"/>
  <c r="BK15" i="1" s="1"/>
  <c r="BL15" i="1" s="1"/>
  <c r="BF15" i="1"/>
  <c r="BD15" i="1"/>
  <c r="BH14" i="1"/>
  <c r="BI14" i="1" s="1"/>
  <c r="BF14" i="1"/>
  <c r="BD14" i="1"/>
  <c r="BH13" i="1"/>
  <c r="BI13" i="1" s="1"/>
  <c r="BK13" i="1" s="1"/>
  <c r="BL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7" i="1" l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88" i="1"/>
  <c r="DD88" i="1" s="1"/>
  <c r="CU96" i="1"/>
  <c r="CU97" i="1"/>
  <c r="DD97" i="1" s="1"/>
  <c r="CU89" i="1"/>
  <c r="DD89" i="1" s="1"/>
  <c r="CU90" i="1"/>
  <c r="DD90" i="1" s="1"/>
  <c r="CU91" i="1"/>
  <c r="CU87" i="1"/>
  <c r="DD87" i="1" s="1"/>
  <c r="CU86" i="1"/>
  <c r="DD86" i="1" s="1"/>
  <c r="CU93" i="1"/>
  <c r="DD93" i="1" s="1"/>
  <c r="CU94" i="1"/>
  <c r="CU92" i="1"/>
  <c r="DD92" i="1" s="1"/>
  <c r="CU95" i="1"/>
  <c r="DD95" i="1" s="1"/>
  <c r="DD94" i="1" l="1"/>
  <c r="DD96" i="1"/>
  <c r="DD91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78" i="1"/>
  <c r="CM78" i="1" s="1"/>
  <c r="CK77" i="1"/>
  <c r="CM77" i="1" s="1"/>
  <c r="CK69" i="1"/>
  <c r="CM69" i="1" s="1"/>
  <c r="CK76" i="1"/>
  <c r="CM76" i="1" s="1"/>
  <c r="CK75" i="1"/>
  <c r="CM75" i="1" s="1"/>
  <c r="CK74" i="1"/>
  <c r="CK73" i="1"/>
  <c r="CM73" i="1" s="1"/>
  <c r="CK72" i="1"/>
  <c r="CM72" i="1" s="1"/>
  <c r="CK71" i="1"/>
  <c r="CM71" i="1" s="1"/>
  <c r="CK70" i="1"/>
  <c r="CM70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J18" i="1" s="1"/>
  <c r="AY50" i="1"/>
  <c r="DL13" i="1"/>
  <c r="J14" i="1"/>
  <c r="K51" i="1"/>
  <c r="DL14" i="1"/>
  <c r="J15" i="1"/>
  <c r="N15" i="1"/>
  <c r="R15" i="1"/>
  <c r="R18" i="1" s="1"/>
  <c r="V15" i="1"/>
  <c r="Z15" i="1"/>
  <c r="Z18" i="1" s="1"/>
  <c r="AD15" i="1"/>
  <c r="AH15" i="1"/>
  <c r="AL15" i="1"/>
  <c r="AP15" i="1"/>
  <c r="AT15" i="1"/>
  <c r="AT18" i="1" s="1"/>
  <c r="AX15" i="1"/>
  <c r="BB15" i="1"/>
  <c r="BB18" i="1" s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P18" i="1" s="1"/>
  <c r="AT16" i="1"/>
  <c r="AX16" i="1"/>
  <c r="BB16" i="1"/>
  <c r="AE53" i="1"/>
  <c r="DL16" i="1"/>
  <c r="N18" i="1"/>
  <c r="AD18" i="1"/>
  <c r="AH18" i="1"/>
  <c r="AX18" i="1"/>
  <c r="AX39" i="1" s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4" i="1"/>
  <c r="AQ50" i="1"/>
  <c r="G53" i="1"/>
  <c r="S53" i="1"/>
  <c r="W53" i="1"/>
  <c r="AM53" i="1"/>
  <c r="W50" i="1"/>
  <c r="BO45" i="1"/>
  <c r="J10" i="1" l="1"/>
  <c r="BB10" i="1"/>
  <c r="BB37" i="1" s="1"/>
  <c r="AT10" i="1"/>
  <c r="Z10" i="1"/>
  <c r="AX10" i="1"/>
  <c r="N10" i="1"/>
  <c r="AL10" i="1"/>
  <c r="V10" i="1"/>
  <c r="AD10" i="1"/>
  <c r="AP10" i="1"/>
  <c r="AH10" i="1"/>
  <c r="R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BB17" i="1"/>
  <c r="BB58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R17" i="1"/>
  <c r="R58" i="1" s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X17" i="1"/>
  <c r="AX58" i="1" s="1"/>
  <c r="AI56" i="1"/>
  <c r="AA48" i="1"/>
  <c r="S56" i="1"/>
  <c r="BB41" i="1"/>
  <c r="AP41" i="1"/>
  <c r="AY48" i="1"/>
  <c r="O48" i="1"/>
  <c r="W48" i="1"/>
  <c r="AA56" i="1"/>
  <c r="AE48" i="1"/>
  <c r="AA52" i="1"/>
  <c r="AD17" i="1"/>
  <c r="AD58" i="1" s="1"/>
  <c r="K56" i="1"/>
  <c r="AI48" i="1"/>
  <c r="N41" i="1"/>
  <c r="J37" i="1"/>
  <c r="K48" i="1"/>
  <c r="AQ48" i="1"/>
  <c r="S48" i="1"/>
  <c r="AT39" i="1"/>
  <c r="AS18" i="1" s="1"/>
  <c r="AT38" i="1" s="1"/>
  <c r="AT43" i="1"/>
  <c r="AG29" i="1"/>
  <c r="AH42" i="1" s="1"/>
  <c r="Z28" i="1"/>
  <c r="Z60" i="1" s="1"/>
  <c r="Z43" i="1"/>
  <c r="J43" i="1"/>
  <c r="J28" i="1"/>
  <c r="J60" i="1" s="1"/>
  <c r="AD23" i="1"/>
  <c r="AD59" i="1" s="1"/>
  <c r="Z17" i="1"/>
  <c r="Z58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AP17" i="1"/>
  <c r="AP58" i="1" s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T17" i="1"/>
  <c r="AT58" i="1" s="1"/>
  <c r="AX43" i="1"/>
  <c r="J39" i="1"/>
  <c r="AP23" i="1"/>
  <c r="AP59" i="1" s="1"/>
  <c r="BL23" i="1"/>
  <c r="AD43" i="1"/>
  <c r="AX23" i="1"/>
  <c r="AX59" i="1" s="1"/>
  <c r="J17" i="1"/>
  <c r="J58" i="1" s="1"/>
  <c r="AM56" i="1"/>
  <c r="G56" i="1"/>
  <c r="AY51" i="1"/>
  <c r="S51" i="1"/>
  <c r="AP39" i="1"/>
  <c r="AI53" i="1"/>
  <c r="AL17" i="1"/>
  <c r="AL58" i="1" s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BL10" i="1"/>
  <c r="AE50" i="1"/>
  <c r="AH37" i="1"/>
  <c r="V17" i="1"/>
  <c r="V58" i="1" s="1"/>
  <c r="AD41" i="1"/>
  <c r="S50" i="1"/>
  <c r="AA50" i="1"/>
  <c r="AM52" i="1"/>
  <c r="K52" i="1"/>
  <c r="BO7" i="1"/>
  <c r="N17" i="1"/>
  <c r="N58" i="1" s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H17" i="1"/>
  <c r="AH58" i="1" s="1"/>
  <c r="AE52" i="1"/>
  <c r="BI52" i="1"/>
  <c r="V39" i="1"/>
  <c r="AI50" i="1"/>
  <c r="G52" i="1"/>
  <c r="AU52" i="1"/>
  <c r="J41" i="1"/>
  <c r="J23" i="1"/>
  <c r="J59" i="1" s="1"/>
  <c r="BA18" i="1" l="1"/>
  <c r="BB38" i="1" s="1"/>
  <c r="Y18" i="1"/>
  <c r="Z38" i="1" s="1"/>
  <c r="AC18" i="1"/>
  <c r="AD38" i="1" s="1"/>
  <c r="I18" i="1"/>
  <c r="J38" i="1" s="1"/>
  <c r="U18" i="1"/>
  <c r="V38" i="1" s="1"/>
  <c r="M18" i="1"/>
  <c r="N38" i="1" s="1"/>
  <c r="AK18" i="1"/>
  <c r="AL38" i="1" s="1"/>
  <c r="AO18" i="1"/>
  <c r="AP38" i="1" s="1"/>
  <c r="Q18" i="1"/>
  <c r="R38" i="1" s="1"/>
  <c r="AW18" i="1"/>
  <c r="AX38" i="1" s="1"/>
  <c r="AG18" i="1"/>
  <c r="AH38" i="1" s="1"/>
  <c r="AT37" i="1"/>
  <c r="Z37" i="1"/>
  <c r="AX37" i="1"/>
  <c r="N37" i="1"/>
  <c r="AL37" i="1"/>
  <c r="V37" i="1"/>
  <c r="AD37" i="1"/>
  <c r="AD9" i="1" s="1"/>
  <c r="AD57" i="1" s="1"/>
  <c r="AP37" i="1"/>
  <c r="AP9" i="1" s="1"/>
  <c r="AP57" i="1" s="1"/>
  <c r="R37" i="1"/>
  <c r="DO8" i="1"/>
  <c r="DO9" i="1"/>
  <c r="BO31" i="1"/>
  <c r="BO46" i="1"/>
  <c r="AP32" i="1" s="1"/>
  <c r="CD75" i="1" s="1"/>
  <c r="CC75" i="1" s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N9" i="1"/>
  <c r="N57" i="1" s="1"/>
  <c r="V9" i="1"/>
  <c r="V57" i="1" s="1"/>
  <c r="R9" i="1"/>
  <c r="R57" i="1" s="1"/>
  <c r="AL9" i="1"/>
  <c r="AL57" i="1" s="1"/>
  <c r="Z9" i="1"/>
  <c r="Z57" i="1" s="1"/>
  <c r="J9" i="1"/>
  <c r="J57" i="1" s="1"/>
  <c r="AT9" i="1"/>
  <c r="AT57" i="1" s="1"/>
  <c r="AH9" i="1"/>
  <c r="AH57" i="1" s="1"/>
  <c r="BB9" i="1"/>
  <c r="BB57" i="1" s="1"/>
  <c r="AX9" i="1"/>
  <c r="AX57" i="1" s="1"/>
  <c r="BK10" i="1"/>
  <c r="BL36" i="1" s="1"/>
  <c r="AS10" i="1"/>
  <c r="AT36" i="1" s="1"/>
  <c r="AG10" i="1"/>
  <c r="AH36" i="1" s="1"/>
  <c r="BA10" i="1"/>
  <c r="BB36" i="1" s="1"/>
  <c r="Y10" i="1"/>
  <c r="Z36" i="1" s="1"/>
  <c r="AC10" i="1"/>
  <c r="AD36" i="1" s="1"/>
  <c r="U10" i="1"/>
  <c r="V36" i="1" s="1"/>
  <c r="Q10" i="1"/>
  <c r="R36" i="1" s="1"/>
  <c r="AK10" i="1"/>
  <c r="AL36" i="1" s="1"/>
  <c r="M10" i="1"/>
  <c r="N36" i="1" s="1"/>
  <c r="I10" i="1"/>
  <c r="J36" i="1" s="1"/>
  <c r="AW10" i="1"/>
  <c r="AX36" i="1" s="1"/>
  <c r="AO10" i="1"/>
  <c r="AP36" i="1" s="1"/>
  <c r="CN71" i="1"/>
  <c r="CO71" i="1" s="1"/>
  <c r="J32" i="1"/>
  <c r="I33" i="1" s="1"/>
  <c r="CN78" i="1"/>
  <c r="CO78" i="1" s="1"/>
  <c r="BP37" i="1"/>
  <c r="B2" i="1" s="1"/>
  <c r="BB32" i="1"/>
  <c r="CH73" i="1" s="1"/>
  <c r="CG73" i="1" s="1"/>
  <c r="CN75" i="1"/>
  <c r="CO75" i="1" s="1"/>
  <c r="CN74" i="1"/>
  <c r="CO74" i="1" s="1"/>
  <c r="CN79" i="1"/>
  <c r="CO79" i="1" s="1"/>
  <c r="AT32" i="1"/>
  <c r="CH72" i="1" s="1"/>
  <c r="CG72" i="1" s="1"/>
  <c r="DE93" i="1"/>
  <c r="DF93" i="1" s="1"/>
  <c r="Z32" i="1"/>
  <c r="Y33" i="1" s="1"/>
  <c r="AL32" i="1"/>
  <c r="AK33" i="1" s="1"/>
  <c r="AX32" i="1"/>
  <c r="AW33" i="1" s="1"/>
  <c r="CN69" i="1"/>
  <c r="DE96" i="1"/>
  <c r="DF96" i="1" s="1"/>
  <c r="DE94" i="1"/>
  <c r="DF94" i="1" s="1"/>
  <c r="DE92" i="1"/>
  <c r="DF92" i="1" s="1"/>
  <c r="DE91" i="1"/>
  <c r="DF91" i="1" s="1"/>
  <c r="DE97" i="1"/>
  <c r="DF97" i="1" s="1"/>
  <c r="N32" i="1"/>
  <c r="N45" i="1" s="1"/>
  <c r="AH32" i="1"/>
  <c r="CH80" i="1" s="1"/>
  <c r="CG80" i="1" s="1"/>
  <c r="CN72" i="1"/>
  <c r="CO72" i="1" s="1"/>
  <c r="CN73" i="1"/>
  <c r="CO73" i="1" s="1"/>
  <c r="DE95" i="1"/>
  <c r="DF95" i="1" s="1"/>
  <c r="DE87" i="1"/>
  <c r="DF87" i="1" s="1"/>
  <c r="V32" i="1"/>
  <c r="R32" i="1"/>
  <c r="CH71" i="1" s="1"/>
  <c r="CG71" i="1" s="1"/>
  <c r="AD32" i="1"/>
  <c r="AC33" i="1" s="1"/>
  <c r="BL32" i="1"/>
  <c r="BK33" i="1" s="1"/>
  <c r="CN77" i="1"/>
  <c r="CO77" i="1" s="1"/>
  <c r="CN80" i="1"/>
  <c r="CO80" i="1" s="1"/>
  <c r="DE90" i="1"/>
  <c r="DF90" i="1" s="1"/>
  <c r="DE89" i="1"/>
  <c r="DF89" i="1" s="1"/>
  <c r="DE86" i="1"/>
  <c r="AO33" i="1"/>
  <c r="AP33" i="1" s="1"/>
  <c r="AP45" i="1"/>
  <c r="CH75" i="1"/>
  <c r="CG75" i="1" s="1"/>
  <c r="CH70" i="1" l="1"/>
  <c r="CG70" i="1" s="1"/>
  <c r="CN76" i="1"/>
  <c r="CO76" i="1" s="1"/>
  <c r="DE88" i="1"/>
  <c r="DF88" i="1" s="1"/>
  <c r="CN70" i="1"/>
  <c r="CO70" i="1" s="1"/>
  <c r="J33" i="1"/>
  <c r="BO12" i="1"/>
  <c r="DF86" i="1" s="1"/>
  <c r="CD70" i="1"/>
  <c r="CC70" i="1" s="1"/>
  <c r="J45" i="1"/>
  <c r="BB45" i="1"/>
  <c r="CD73" i="1"/>
  <c r="CC73" i="1" s="1"/>
  <c r="BA33" i="1"/>
  <c r="BB33" i="1" s="1"/>
  <c r="CD71" i="1"/>
  <c r="CC71" i="1" s="1"/>
  <c r="CH74" i="1"/>
  <c r="CG74" i="1" s="1"/>
  <c r="Z33" i="1"/>
  <c r="CH78" i="1"/>
  <c r="CG78" i="1" s="1"/>
  <c r="Z45" i="1"/>
  <c r="AX33" i="1"/>
  <c r="AT45" i="1"/>
  <c r="CD74" i="1"/>
  <c r="CC74" i="1" s="1"/>
  <c r="AX45" i="1"/>
  <c r="CD69" i="1"/>
  <c r="CC69" i="1" s="1"/>
  <c r="CD72" i="1"/>
  <c r="CC72" i="1" s="1"/>
  <c r="AS33" i="1"/>
  <c r="AT33" i="1" s="1"/>
  <c r="CH79" i="1"/>
  <c r="CG79" i="1" s="1"/>
  <c r="CH69" i="1"/>
  <c r="CG69" i="1" s="1"/>
  <c r="V45" i="1"/>
  <c r="M33" i="1"/>
  <c r="N33" i="1" s="1"/>
  <c r="AL45" i="1"/>
  <c r="AL33" i="1"/>
  <c r="CD79" i="1"/>
  <c r="CC79" i="1" s="1"/>
  <c r="CD78" i="1"/>
  <c r="CC78" i="1" s="1"/>
  <c r="AH45" i="1"/>
  <c r="Q33" i="1"/>
  <c r="R33" i="1" s="1"/>
  <c r="R45" i="1"/>
  <c r="CD80" i="1"/>
  <c r="CC80" i="1" s="1"/>
  <c r="AG33" i="1"/>
  <c r="AH33" i="1" s="1"/>
  <c r="U33" i="1"/>
  <c r="V33" i="1" s="1"/>
  <c r="CD76" i="1"/>
  <c r="CC76" i="1" s="1"/>
  <c r="CH76" i="1"/>
  <c r="CG76" i="1" s="1"/>
  <c r="AD45" i="1"/>
  <c r="CD77" i="1"/>
  <c r="CC77" i="1" s="1"/>
  <c r="AD33" i="1"/>
  <c r="BL33" i="1"/>
  <c r="BL45" i="1"/>
  <c r="CH77" i="1"/>
  <c r="CG77" i="1" s="1"/>
  <c r="CO69" i="1" l="1"/>
  <c r="BK32" i="1"/>
  <c r="BL44" i="1" s="1"/>
  <c r="AC32" i="1"/>
  <c r="CB77" i="1" s="1"/>
  <c r="CF72" i="1"/>
  <c r="BA32" i="1"/>
  <c r="CP80" i="1" s="1"/>
  <c r="I32" i="1"/>
  <c r="CR70" i="1" s="1"/>
  <c r="AS32" i="1"/>
  <c r="CB72" i="1" s="1"/>
  <c r="AO32" i="1"/>
  <c r="AP44" i="1" s="1"/>
  <c r="CF80" i="1"/>
  <c r="CF74" i="1"/>
  <c r="CF71" i="1"/>
  <c r="U32" i="1"/>
  <c r="DG89" i="1" s="1"/>
  <c r="AG32" i="1"/>
  <c r="CR76" i="1" s="1"/>
  <c r="M32" i="1"/>
  <c r="DG96" i="1" s="1"/>
  <c r="AK32" i="1"/>
  <c r="CB69" i="1" s="1"/>
  <c r="AW32" i="1"/>
  <c r="CB78" i="1" s="1"/>
  <c r="Q32" i="1"/>
  <c r="DG97" i="1" s="1"/>
  <c r="Y32" i="1"/>
  <c r="Z44" i="1" s="1"/>
  <c r="CF78" i="1"/>
  <c r="CF77" i="1"/>
  <c r="CF73" i="1"/>
  <c r="CF76" i="1"/>
  <c r="CF69" i="1"/>
  <c r="CF70" i="1"/>
  <c r="CF75" i="1"/>
  <c r="CF79" i="1"/>
  <c r="DG94" i="1"/>
  <c r="CB70" i="1"/>
  <c r="DI91" i="1" l="1"/>
  <c r="CP75" i="1"/>
  <c r="CR79" i="1"/>
  <c r="CP78" i="1"/>
  <c r="CP71" i="1"/>
  <c r="DI88" i="1"/>
  <c r="CP70" i="1"/>
  <c r="J44" i="1"/>
  <c r="DG88" i="1"/>
  <c r="DI96" i="1"/>
  <c r="DJ96" i="1" s="1"/>
  <c r="DG90" i="1"/>
  <c r="AD44" i="1"/>
  <c r="CB74" i="1"/>
  <c r="CR71" i="1"/>
  <c r="CS71" i="1" s="1"/>
  <c r="CB79" i="1"/>
  <c r="N44" i="1"/>
  <c r="CR69" i="1"/>
  <c r="CS69" i="1" s="1"/>
  <c r="CP74" i="1"/>
  <c r="DG91" i="1"/>
  <c r="AL44" i="1"/>
  <c r="CR75" i="1"/>
  <c r="DI97" i="1"/>
  <c r="CB71" i="1"/>
  <c r="DI95" i="1"/>
  <c r="DJ95" i="1" s="1"/>
  <c r="CB76" i="1"/>
  <c r="DI86" i="1"/>
  <c r="DJ86" i="1" s="1"/>
  <c r="DI87" i="1"/>
  <c r="AH44" i="1"/>
  <c r="CB80" i="1"/>
  <c r="CR80" i="1"/>
  <c r="CS80" i="1" s="1"/>
  <c r="BB44" i="1"/>
  <c r="CB73" i="1"/>
  <c r="CP72" i="1"/>
  <c r="DG87" i="1"/>
  <c r="AX44" i="1"/>
  <c r="R44" i="1"/>
  <c r="CR72" i="1"/>
  <c r="DG95" i="1"/>
  <c r="CR73" i="1"/>
  <c r="CS73" i="1" s="1"/>
  <c r="CP76" i="1"/>
  <c r="DG93" i="1"/>
  <c r="CP77" i="1"/>
  <c r="DI93" i="1"/>
  <c r="DI94" i="1"/>
  <c r="DJ94" i="1" s="1"/>
  <c r="CB75" i="1"/>
  <c r="DI92" i="1"/>
  <c r="CR77" i="1"/>
  <c r="AT44" i="1"/>
  <c r="CR78" i="1"/>
  <c r="CS78" i="1" s="1"/>
  <c r="DG92" i="1"/>
  <c r="DI89" i="1"/>
  <c r="DJ89" i="1" s="1"/>
  <c r="CP73" i="1"/>
  <c r="CP69" i="1"/>
  <c r="V44" i="1"/>
  <c r="CR74" i="1"/>
  <c r="DI90" i="1"/>
  <c r="CP79" i="1"/>
  <c r="DG86" i="1"/>
  <c r="DJ91" i="1" l="1"/>
  <c r="BP33" i="1"/>
  <c r="DJ88" i="1" s="1"/>
  <c r="BO33" i="1"/>
  <c r="DH93" i="1" s="1"/>
  <c r="CS77" i="1" l="1"/>
  <c r="DJ93" i="1"/>
  <c r="CV93" i="1" s="1"/>
  <c r="R2" i="1"/>
  <c r="CS79" i="1"/>
  <c r="DJ92" i="1"/>
  <c r="Z2" i="1"/>
  <c r="AX2" i="1"/>
  <c r="J2" i="1"/>
  <c r="V2" i="1"/>
  <c r="AT2" i="1"/>
  <c r="AL2" i="1"/>
  <c r="AD2" i="1"/>
  <c r="AP2" i="1"/>
  <c r="N2" i="1"/>
  <c r="AH2" i="1"/>
  <c r="BB2" i="1"/>
  <c r="CS74" i="1"/>
  <c r="DJ87" i="1"/>
  <c r="DJ90" i="1"/>
  <c r="CS75" i="1"/>
  <c r="CS76" i="1"/>
  <c r="CS70" i="1"/>
  <c r="CS72" i="1"/>
  <c r="DJ97" i="1"/>
  <c r="CQ77" i="1"/>
  <c r="CL77" i="1" s="1"/>
  <c r="DH90" i="1"/>
  <c r="CQ73" i="1"/>
  <c r="CL73" i="1" s="1"/>
  <c r="DH92" i="1"/>
  <c r="DH88" i="1"/>
  <c r="CV88" i="1" s="1"/>
  <c r="CQ79" i="1"/>
  <c r="DH89" i="1"/>
  <c r="CV89" i="1" s="1"/>
  <c r="CQ71" i="1"/>
  <c r="CL71" i="1" s="1"/>
  <c r="CQ74" i="1"/>
  <c r="CL74" i="1" s="1"/>
  <c r="CQ80" i="1"/>
  <c r="CL80" i="1" s="1"/>
  <c r="DH97" i="1"/>
  <c r="DH96" i="1"/>
  <c r="CV96" i="1" s="1"/>
  <c r="CQ75" i="1"/>
  <c r="DH94" i="1"/>
  <c r="CV94" i="1" s="1"/>
  <c r="DH87" i="1"/>
  <c r="CQ76" i="1"/>
  <c r="CQ70" i="1"/>
  <c r="DH91" i="1"/>
  <c r="CV91" i="1" s="1"/>
  <c r="DH86" i="1"/>
  <c r="CV86" i="1" s="1"/>
  <c r="CQ78" i="1"/>
  <c r="CL78" i="1" s="1"/>
  <c r="DH95" i="1"/>
  <c r="CV95" i="1" s="1"/>
  <c r="CQ69" i="1"/>
  <c r="CL69" i="1" s="1"/>
  <c r="CQ72" i="1"/>
  <c r="CL72" i="1" s="1"/>
  <c r="CL79" i="1" l="1"/>
  <c r="CV92" i="1"/>
  <c r="CL75" i="1"/>
  <c r="CV87" i="1"/>
  <c r="CV97" i="1"/>
  <c r="CV90" i="1"/>
  <c r="CL70" i="1"/>
  <c r="CL76" i="1"/>
  <c r="CJ80" i="1" l="1"/>
  <c r="CJ76" i="1"/>
  <c r="CJ73" i="1"/>
  <c r="CJ75" i="1"/>
  <c r="CJ71" i="1"/>
  <c r="CJ74" i="1"/>
  <c r="CJ72" i="1"/>
  <c r="CJ77" i="1"/>
  <c r="CJ79" i="1"/>
  <c r="CJ70" i="1"/>
  <c r="CJ69" i="1"/>
  <c r="CJ78" i="1"/>
</calcChain>
</file>

<file path=xl/sharedStrings.xml><?xml version="1.0" encoding="utf-8"?>
<sst xmlns="http://schemas.openxmlformats.org/spreadsheetml/2006/main" count="778" uniqueCount="155">
  <si>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</si>
  <si>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</si>
  <si>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</si>
  <si>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</si>
  <si>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</si>
  <si>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</si>
  <si>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</si>
  <si>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</si>
  <si>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</si>
  <si>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</si>
  <si>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</si>
  <si>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</si>
  <si>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</si>
  <si>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</si>
  <si>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</si>
  <si>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</si>
  <si>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</si>
  <si>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</si>
  <si>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</si>
  <si>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</si>
  <si>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</si>
  <si>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</si>
  <si>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</si>
  <si>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</si>
  <si>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</si>
  <si>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</si>
  <si>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</si>
  <si>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</si>
  <si>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</si>
  <si>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</si>
  <si>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</si>
  <si>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</si>
  <si>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</si>
  <si>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</si>
  <si>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</si>
  <si>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</si>
  <si>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</si>
  <si>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</si>
  <si>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</si>
  <si>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</si>
  <si>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</si>
  <si>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</si>
  <si>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</si>
  <si>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</si>
  <si>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</si>
  <si>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</si>
  <si>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</si>
  <si>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</si>
  <si>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</si>
  <si>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</si>
  <si>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</si>
  <si>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</si>
  <si>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</si>
  <si>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</si>
  <si>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</si>
  <si>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</si>
  <si>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</si>
  <si>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</si>
  <si>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</si>
  <si>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</si>
  <si>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</si>
  <si>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</si>
  <si>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</si>
  <si>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</si>
  <si>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</si>
  <si>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</si>
  <si>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</si>
  <si>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</si>
  <si>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</si>
  <si>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</si>
  <si>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</si>
  <si>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</si>
  <si>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</si>
  <si>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</si>
  <si>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</si>
  <si>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</si>
  <si>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</si>
  <si>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</si>
  <si>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</si>
  <si>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</si>
  <si>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</si>
  <si>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</si>
  <si>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</si>
  <si>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</si>
  <si>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</si>
  <si>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</si>
  <si>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</si>
  <si>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</si>
  <si>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</si>
  <si>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</si>
  <si>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</si>
  <si>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</si>
  <si>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</si>
  <si>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</si>
  <si>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</si>
  <si>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</si>
  <si>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</si>
  <si>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</si>
  <si>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</si>
  <si>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</si>
  <si>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</si>
  <si>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</si>
  <si>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</si>
  <si>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</si>
  <si>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</si>
  <si>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</si>
  <si>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</si>
  <si>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</si>
  <si>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</si>
  <si>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</si>
  <si>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</si>
  <si>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</si>
  <si>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</si>
  <si>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</si>
  <si>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</si>
  <si>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</si>
  <si>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</si>
  <si>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</si>
  <si>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</si>
  <si>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</si>
  <si>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</si>
  <si>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</si>
  <si>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</si>
  <si>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</si>
  <si>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</si>
  <si>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</si>
  <si>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</si>
  <si>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</si>
  <si>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2017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</si>
  <si>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</si>
  <si>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</si>
  <si>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</si>
  <si>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</si>
  <si>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</si>
  <si>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</si>
  <si>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</si>
  <si>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</si>
  <si>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</si>
  <si>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</si>
  <si>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</si>
  <si>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</si>
  <si>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✓</t>
  </si>
  <si>
    <t/>
  </si>
  <si>
    <t>Titans</t>
  </si>
  <si>
    <t>Chiefs</t>
  </si>
  <si>
    <t>Falcons</t>
  </si>
  <si>
    <t>Rams</t>
  </si>
  <si>
    <t>Bills</t>
  </si>
  <si>
    <t>Jaguars</t>
  </si>
  <si>
    <t>Panthers</t>
  </si>
  <si>
    <t>Saints</t>
  </si>
  <si>
    <t>Eagles</t>
  </si>
  <si>
    <t>Patriots</t>
  </si>
  <si>
    <t>Steelers</t>
  </si>
  <si>
    <t>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</si>
</sst>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7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  <protection locked="0"/>
    </xf>
    <xf numFmtId="0" fontId="29" fillId="0" borderId="24" xfId="1" applyNumberFormat="1" applyFont="1" applyFill="1" applyBorder="1" applyAlignment="1" applyProtection="1">
      <alignment horizontal="center" vertical="center"/>
      <protection locked="0"/>
    </xf>
    <xf numFmtId="0" fontId="29" fillId="0" borderId="18" xfId="1" applyNumberFormat="1" applyFont="1" applyBorder="1" applyAlignment="1" applyProtection="1">
      <alignment horizontal="center" vertical="center"/>
      <protection locked="0"/>
    </xf>
    <xf numFmtId="0" fontId="29" fillId="0" borderId="0" xfId="1" applyNumberFormat="1" applyFont="1" applyBorder="1" applyAlignment="1" applyProtection="1">
      <alignment horizontal="center" vertical="center"/>
      <protection locked="0"/>
    </xf>
    <xf numFmtId="0" fontId="29" fillId="0" borderId="28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40" xfId="1" applyNumberFormat="1" applyFont="1" applyBorder="1" applyAlignment="1" applyProtection="1">
      <alignment horizontal="center" vertical="center"/>
      <protection locked="0"/>
    </xf>
    <xf numFmtId="0" fontId="29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3" sqref="B13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6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5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6"/>
      <c r="DM1" s="199"/>
      <c r="DN1" s="200"/>
    </row>
    <row r="2" spans="1:124" s="6" customFormat="1" ht="21" customHeight="1" thickTop="1" thickBot="1" x14ac:dyDescent="0.25">
      <c r="A2" s="10"/>
      <c r="B2" s="289" t="str">
        <f>$BP$37</f>
        <v>Week 2 Preliminary</v>
      </c>
      <c r="C2" s="290"/>
      <c r="D2" s="290"/>
      <c r="E2" s="290"/>
      <c r="F2" s="291"/>
      <c r="G2" s="276" t="s">
        <v>129</v>
      </c>
      <c r="H2" s="276"/>
      <c r="I2" s="276"/>
      <c r="J2" s="252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10</v>
      </c>
      <c r="K2" s="275" t="s">
        <v>130</v>
      </c>
      <c r="L2" s="276"/>
      <c r="M2" s="276"/>
      <c r="N2" s="252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5" t="s">
        <v>131</v>
      </c>
      <c r="P2" s="276"/>
      <c r="Q2" s="276"/>
      <c r="R2" s="252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75" t="s">
        <v>132</v>
      </c>
      <c r="T2" s="276"/>
      <c r="U2" s="276"/>
      <c r="V2" s="252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75" t="s">
        <v>133</v>
      </c>
      <c r="X2" s="276"/>
      <c r="Y2" s="276"/>
      <c r="Z2" s="252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5" t="s">
        <v>134</v>
      </c>
      <c r="AB2" s="276"/>
      <c r="AC2" s="276"/>
      <c r="AD2" s="252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75" t="s">
        <v>135</v>
      </c>
      <c r="AF2" s="276"/>
      <c r="AG2" s="276"/>
      <c r="AH2" s="252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5" t="s">
        <v>136</v>
      </c>
      <c r="AJ2" s="276"/>
      <c r="AK2" s="276"/>
      <c r="AL2" s="252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60</v>
      </c>
      <c r="AM2" s="275" t="s">
        <v>137</v>
      </c>
      <c r="AN2" s="276"/>
      <c r="AO2" s="276"/>
      <c r="AP2" s="252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5" t="s">
        <v>138</v>
      </c>
      <c r="AR2" s="276"/>
      <c r="AS2" s="276"/>
      <c r="AT2" s="252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5" t="s">
        <v>139</v>
      </c>
      <c r="AV2" s="276"/>
      <c r="AW2" s="276"/>
      <c r="AX2" s="252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5" t="s">
        <v>140</v>
      </c>
      <c r="AZ2" s="276"/>
      <c r="BA2" s="276"/>
      <c r="BB2" s="253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78"/>
      <c r="BD2" s="177"/>
      <c r="BE2" s="177"/>
      <c r="BF2" s="177"/>
      <c r="BG2" s="177"/>
      <c r="BH2" s="7"/>
      <c r="BI2" s="285" t="s">
        <v>59</v>
      </c>
      <c r="BJ2" s="276"/>
      <c r="BK2" s="276"/>
      <c r="BL2" s="286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01"/>
    </row>
    <row r="3" spans="1:124" s="6" customFormat="1" ht="8.1" customHeight="1" thickBot="1" x14ac:dyDescent="0.25">
      <c r="A3" s="10"/>
      <c r="B3" s="179"/>
      <c r="C3" s="102"/>
      <c r="D3" s="102"/>
      <c r="E3" s="170"/>
      <c r="F3" s="180"/>
      <c r="G3" s="175"/>
      <c r="H3" s="156"/>
      <c r="I3" s="175"/>
      <c r="J3" s="181"/>
      <c r="K3" s="175"/>
      <c r="L3" s="156"/>
      <c r="M3" s="175"/>
      <c r="N3" s="181"/>
      <c r="O3" s="175"/>
      <c r="P3" s="156"/>
      <c r="Q3" s="175"/>
      <c r="R3" s="181"/>
      <c r="S3" s="175"/>
      <c r="T3" s="156"/>
      <c r="U3" s="175"/>
      <c r="V3" s="181"/>
      <c r="W3" s="175"/>
      <c r="X3" s="156"/>
      <c r="Y3" s="175"/>
      <c r="Z3" s="181"/>
      <c r="AA3" s="175"/>
      <c r="AB3" s="156"/>
      <c r="AC3" s="175"/>
      <c r="AD3" s="181"/>
      <c r="AE3" s="175"/>
      <c r="AF3" s="156"/>
      <c r="AG3" s="175"/>
      <c r="AH3" s="181"/>
      <c r="AI3" s="175"/>
      <c r="AJ3" s="156"/>
      <c r="AK3" s="175"/>
      <c r="AL3" s="181"/>
      <c r="AM3" s="175"/>
      <c r="AN3" s="156"/>
      <c r="AO3" s="175"/>
      <c r="AP3" s="181"/>
      <c r="AQ3" s="175"/>
      <c r="AR3" s="156"/>
      <c r="AS3" s="175"/>
      <c r="AT3" s="181"/>
      <c r="AU3" s="175"/>
      <c r="AV3" s="156"/>
      <c r="AW3" s="175"/>
      <c r="AX3" s="181"/>
      <c r="AY3" s="175"/>
      <c r="AZ3" s="156"/>
      <c r="BA3" s="175"/>
      <c r="BB3" s="157"/>
      <c r="BC3" s="117"/>
      <c r="BD3" s="117"/>
      <c r="BE3" s="117"/>
      <c r="BF3" s="117"/>
      <c r="BG3" s="117"/>
      <c r="BH3" s="30"/>
      <c r="BI3" s="155"/>
      <c r="BJ3" s="156"/>
      <c r="BK3" s="175"/>
      <c r="BL3" s="15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2"/>
    </row>
    <row r="4" spans="1:124" s="6" customFormat="1" ht="18" customHeight="1" thickBot="1" x14ac:dyDescent="0.25">
      <c r="A4" s="15"/>
      <c r="B4" s="282" t="s">
        <v>123</v>
      </c>
      <c r="C4" s="283"/>
      <c r="D4" s="283"/>
      <c r="E4" s="283"/>
      <c r="F4" s="284"/>
      <c r="G4" s="239"/>
      <c r="H4" s="239" t="s">
        <v>127</v>
      </c>
      <c r="I4" s="240"/>
      <c r="J4" s="241" t="s">
        <v>1</v>
      </c>
      <c r="K4" s="242"/>
      <c r="L4" s="239" t="s">
        <v>127</v>
      </c>
      <c r="M4" s="240"/>
      <c r="N4" s="241" t="s">
        <v>1</v>
      </c>
      <c r="O4" s="242"/>
      <c r="P4" s="239" t="s">
        <v>127</v>
      </c>
      <c r="Q4" s="240"/>
      <c r="R4" s="241" t="s">
        <v>1</v>
      </c>
      <c r="S4" s="242"/>
      <c r="T4" s="239" t="s">
        <v>127</v>
      </c>
      <c r="U4" s="240"/>
      <c r="V4" s="241" t="s">
        <v>1</v>
      </c>
      <c r="W4" s="242"/>
      <c r="X4" s="239" t="s">
        <v>127</v>
      </c>
      <c r="Y4" s="240"/>
      <c r="Z4" s="241" t="s">
        <v>1</v>
      </c>
      <c r="AA4" s="242"/>
      <c r="AB4" s="239" t="s">
        <v>127</v>
      </c>
      <c r="AC4" s="240"/>
      <c r="AD4" s="241" t="s">
        <v>1</v>
      </c>
      <c r="AE4" s="242"/>
      <c r="AF4" s="239" t="s">
        <v>127</v>
      </c>
      <c r="AG4" s="240"/>
      <c r="AH4" s="241" t="s">
        <v>1</v>
      </c>
      <c r="AI4" s="242"/>
      <c r="AJ4" s="239" t="s">
        <v>127</v>
      </c>
      <c r="AK4" s="240"/>
      <c r="AL4" s="241" t="s">
        <v>1</v>
      </c>
      <c r="AM4" s="242"/>
      <c r="AN4" s="239" t="s">
        <v>127</v>
      </c>
      <c r="AO4" s="240"/>
      <c r="AP4" s="241" t="s">
        <v>1</v>
      </c>
      <c r="AQ4" s="242"/>
      <c r="AR4" s="239" t="s">
        <v>127</v>
      </c>
      <c r="AS4" s="240"/>
      <c r="AT4" s="241" t="s">
        <v>1</v>
      </c>
      <c r="AU4" s="242"/>
      <c r="AV4" s="239" t="s">
        <v>127</v>
      </c>
      <c r="AW4" s="240"/>
      <c r="AX4" s="241" t="s">
        <v>1</v>
      </c>
      <c r="AY4" s="242"/>
      <c r="AZ4" s="239" t="s">
        <v>127</v>
      </c>
      <c r="BA4" s="240"/>
      <c r="BB4" s="243" t="s">
        <v>1</v>
      </c>
      <c r="BC4" s="287" t="s">
        <v>119</v>
      </c>
      <c r="BD4" s="288"/>
      <c r="BE4" s="288"/>
      <c r="BF4" s="288"/>
      <c r="BG4" s="288"/>
      <c r="BH4" s="7"/>
      <c r="BI4" s="244"/>
      <c r="BJ4" s="239" t="s">
        <v>127</v>
      </c>
      <c r="BK4" s="240"/>
      <c r="BL4" s="243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54" t="s">
        <v>61</v>
      </c>
    </row>
    <row r="5" spans="1:124" s="6" customFormat="1" ht="15" customHeight="1" x14ac:dyDescent="0.2">
      <c r="A5" s="19"/>
      <c r="B5" s="263">
        <v>22</v>
      </c>
      <c r="C5" s="109" t="s">
        <v>143</v>
      </c>
      <c r="D5" s="109" t="s">
        <v>3</v>
      </c>
      <c r="E5" s="257" t="s">
        <v>144</v>
      </c>
      <c r="F5" s="266">
        <v>21</v>
      </c>
      <c r="G5" s="120" t="s">
        <v>9</v>
      </c>
      <c r="H5" s="120" t="s">
        <v>0</v>
      </c>
      <c r="I5" s="121">
        <v>7</v>
      </c>
      <c r="J5" s="115">
        <f>IF(OR(G$2="",G5="",I5=""),"",IF($BD5="","",IF(G5=$BD5,ABS(I5-$BF5),ABS(I5+$BF5))+IF(G5&lt;&gt;$BD5,$BO$5,0)))</f>
        <v>15</v>
      </c>
      <c r="K5" s="260" t="s">
        <v>9</v>
      </c>
      <c r="L5" s="120" t="s">
        <v>0</v>
      </c>
      <c r="M5" s="121">
        <v>10</v>
      </c>
      <c r="N5" s="115">
        <f>IF(OR(K$2="",K5="",M5=""),"",IF($BD5="","",IF(K5=$BD5,ABS(M5-$BF5),ABS(M5+$BF5))+IF(K5&lt;&gt;$BD5,$BO$5,0)))</f>
        <v>18</v>
      </c>
      <c r="O5" s="260" t="s">
        <v>9</v>
      </c>
      <c r="P5" s="120" t="s">
        <v>0</v>
      </c>
      <c r="Q5" s="121">
        <v>7</v>
      </c>
      <c r="R5" s="115">
        <f>IF(OR(O$2="",O5="",Q5=""),"",IF($BD5="","",IF(O5=$BD5,ABS(Q5-$BF5),ABS(Q5+$BF5))+IF(O5&lt;&gt;$BD5,$BO$5,0)))</f>
        <v>15</v>
      </c>
      <c r="S5" s="260" t="s">
        <v>9</v>
      </c>
      <c r="T5" s="120" t="s">
        <v>0</v>
      </c>
      <c r="U5" s="121">
        <v>12</v>
      </c>
      <c r="V5" s="115">
        <f>IF(OR(S$2="",S5="",U5=""),"",IF($BD5="","",IF(S5=$BD5,ABS(U5-$BF5),ABS(U5+$BF5))+IF(S5&lt;&gt;$BD5,$BO$5,0)))</f>
        <v>20</v>
      </c>
      <c r="W5" s="260" t="s">
        <v>9</v>
      </c>
      <c r="X5" s="120" t="s">
        <v>0</v>
      </c>
      <c r="Y5" s="121">
        <v>7</v>
      </c>
      <c r="Z5" s="115">
        <f>IF(OR(W$2="",W5="",Y5=""),"",IF($BD5="","",IF(W5=$BD5,ABS(Y5-$BF5),ABS(Y5+$BF5))+IF(W5&lt;&gt;$BD5,$BO$5,0)))</f>
        <v>15</v>
      </c>
      <c r="AA5" s="260" t="s">
        <v>9</v>
      </c>
      <c r="AB5" s="120" t="s">
        <v>0</v>
      </c>
      <c r="AC5" s="121">
        <v>7</v>
      </c>
      <c r="AD5" s="115">
        <f>IF(OR(AA$2="",AA5="",AC5=""),"",IF($BD5="","",IF(AA5=$BD5,ABS(AC5-$BF5),ABS(AC5+$BF5))+IF(AA5&lt;&gt;$BD5,$BO$5,0)))</f>
        <v>15</v>
      </c>
      <c r="AE5" s="260" t="s">
        <v>9</v>
      </c>
      <c r="AF5" s="120" t="s">
        <v>0</v>
      </c>
      <c r="AG5" s="121">
        <v>7</v>
      </c>
      <c r="AH5" s="115">
        <f>IF(OR(AE$2="",AE5="",AG5=""),"",IF($BD5="","",IF(AE5=$BD5,ABS(AG5-$BF5),ABS(AG5+$BF5))+IF(AE5&lt;&gt;$BD5,$BO$5,0)))</f>
        <v>15</v>
      </c>
      <c r="AI5" s="260" t="s">
        <v>9</v>
      </c>
      <c r="AJ5" s="120" t="s">
        <v>0</v>
      </c>
      <c r="AK5" s="121">
        <v>6</v>
      </c>
      <c r="AL5" s="115">
        <f>IF(OR(AI$2="",AI5="",AK5=""),"",IF($BD5="","",IF(AI5=$BD5,ABS(AK5-$BF5),ABS(AK5+$BF5))+IF(AI5&lt;&gt;$BD5,$BO$5,0)))</f>
        <v>14</v>
      </c>
      <c r="AM5" s="260" t="s">
        <v>9</v>
      </c>
      <c r="AN5" s="120" t="s">
        <v>0</v>
      </c>
      <c r="AO5" s="121">
        <v>8</v>
      </c>
      <c r="AP5" s="115">
        <f>IF(OR(AM$2="",AM5="",AO5=""),"",IF($BD5="","",IF(AM5=$BD5,ABS(AO5-$BF5),ABS(AO5+$BF5))+IF(AM5&lt;&gt;$BD5,$BO$5,0)))</f>
        <v>16</v>
      </c>
      <c r="AQ5" s="260" t="s">
        <v>9</v>
      </c>
      <c r="AR5" s="120" t="s">
        <v>0</v>
      </c>
      <c r="AS5" s="121">
        <v>8</v>
      </c>
      <c r="AT5" s="115">
        <f>IF(OR(AQ$2="",AQ5="",AS5=""),"",IF($BD5="","",IF(AQ5=$BD5,ABS(AS5-$BF5),ABS(AS5+$BF5))+IF(AQ5&lt;&gt;$BD5,$BO$5,0)))</f>
        <v>16</v>
      </c>
      <c r="AU5" s="260" t="s">
        <v>9</v>
      </c>
      <c r="AV5" s="120" t="s">
        <v>0</v>
      </c>
      <c r="AW5" s="121">
        <v>10</v>
      </c>
      <c r="AX5" s="115">
        <f>IF(OR(AU$2="",AU5="",AW5=""),"",IF($BD5="","",IF(AU5=$BD5,ABS(AW5-$BF5),ABS(AW5+$BF5))+IF(AU5&lt;&gt;$BD5,$BO$5,0)))</f>
        <v>18</v>
      </c>
      <c r="AY5" s="260" t="s">
        <v>9</v>
      </c>
      <c r="AZ5" s="120" t="s">
        <v>0</v>
      </c>
      <c r="BA5" s="121">
        <v>14</v>
      </c>
      <c r="BB5" s="116">
        <f>IF(OR(AY$2="",AY5="",BA5=""),"",IF($BD5="","",IF(AY5=$BD5,ABS(BA5-$BF5),ABS(BA5+$BF5))+IF(AY5&lt;&gt;$BD5,$BO$5,0)))</f>
        <v>22</v>
      </c>
      <c r="BC5" s="117"/>
      <c r="BD5" s="118" t="str">
        <f>IF(OR(B5="",F5="",B5=F5),"",IF(B5&gt;F5,"V","H"))</f>
        <v>V</v>
      </c>
      <c r="BE5" s="118" t="s">
        <v>0</v>
      </c>
      <c r="BF5" s="118">
        <f>IF(OR(B5="",F5="",B5=F5),"",ABS(B5-F5))</f>
        <v>1</v>
      </c>
      <c r="BG5" s="118"/>
      <c r="BH5" s="233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103</v>
      </c>
      <c r="BI5" s="119" t="str">
        <f>IF(COUNTA(G5,K5,O5,S5,W5,AA5,AE5,AI5,AM5,AQ5,AU5,AY5)&gt;0,IF(BH5&lt;0,"V","H"),"")</f>
        <v>H</v>
      </c>
      <c r="BJ5" s="120" t="s">
        <v>0</v>
      </c>
      <c r="BK5" s="121">
        <f>IF(BI5="","",IF(ABS(BH5)&lt;(COUNTA(G5,K5,O5,S5,W5,AA5,AE5,AI5,AM5,AQ5,AU5,AY5)/2),1,ROUND(ABS(BH5)/COUNTA(G5,K5,O5,S5,W5,AA5,AE5,AI5,AM5,AQ5,AU5,AY5),0)))</f>
        <v>9</v>
      </c>
      <c r="BL5" s="116">
        <f>IF(OR(BI5="",BK5=""),"",IF($BD5="","",IF(BI5=$BD5,ABS(BK5-$BF5),ABS(BK5+$BF5))+IF(BI5&lt;&gt;$BD5,$BO$5,0)))</f>
        <v>17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4">
        <v>26</v>
      </c>
      <c r="C6" s="120" t="s">
        <v>145</v>
      </c>
      <c r="D6" s="120" t="s">
        <v>3</v>
      </c>
      <c r="E6" s="258" t="s">
        <v>146</v>
      </c>
      <c r="F6" s="267">
        <v>13</v>
      </c>
      <c r="G6" s="120" t="s">
        <v>8</v>
      </c>
      <c r="H6" s="120" t="s">
        <v>0</v>
      </c>
      <c r="I6" s="125">
        <v>3</v>
      </c>
      <c r="J6" s="115">
        <f>IF(OR(G$2="",G6="",I6=""),"",IF($BD6="","",IF(G6=$BD6,ABS(I6-$BF6),ABS(I6+$BF6))+IF(G6&lt;&gt;$BD6,$BO$5,0)))</f>
        <v>10</v>
      </c>
      <c r="K6" s="260" t="s">
        <v>9</v>
      </c>
      <c r="L6" s="120" t="s">
        <v>0</v>
      </c>
      <c r="M6" s="125">
        <v>17</v>
      </c>
      <c r="N6" s="115">
        <f>IF(OR(K$2="",K6="",M6=""),"",IF($BD6="","",IF(K6=$BD6,ABS(M6-$BF6),ABS(M6+$BF6))+IF(K6&lt;&gt;$BD6,$BO$5,0)))</f>
        <v>37</v>
      </c>
      <c r="O6" s="260" t="s">
        <v>9</v>
      </c>
      <c r="P6" s="120" t="s">
        <v>0</v>
      </c>
      <c r="Q6" s="125">
        <v>6</v>
      </c>
      <c r="R6" s="115">
        <f>IF(OR(O$2="",O6="",Q6=""),"",IF($BD6="","",IF(O6=$BD6,ABS(Q6-$BF6),ABS(Q6+$BF6))+IF(O6&lt;&gt;$BD6,$BO$5,0)))</f>
        <v>26</v>
      </c>
      <c r="S6" s="260" t="s">
        <v>9</v>
      </c>
      <c r="T6" s="120" t="s">
        <v>0</v>
      </c>
      <c r="U6" s="125">
        <v>2</v>
      </c>
      <c r="V6" s="115">
        <f>IF(OR(S$2="",S6="",U6=""),"",IF($BD6="","",IF(S6=$BD6,ABS(U6-$BF6),ABS(U6+$BF6))+IF(S6&lt;&gt;$BD6,$BO$5,0)))</f>
        <v>22</v>
      </c>
      <c r="W6" s="260" t="s">
        <v>9</v>
      </c>
      <c r="X6" s="120" t="s">
        <v>0</v>
      </c>
      <c r="Y6" s="125">
        <v>10</v>
      </c>
      <c r="Z6" s="115">
        <f>IF(OR(W$2="",W6="",Y6=""),"",IF($BD6="","",IF(W6=$BD6,ABS(Y6-$BF6),ABS(Y6+$BF6))+IF(W6&lt;&gt;$BD6,$BO$5,0)))</f>
        <v>30</v>
      </c>
      <c r="AA6" s="260" t="s">
        <v>9</v>
      </c>
      <c r="AB6" s="120" t="s">
        <v>0</v>
      </c>
      <c r="AC6" s="125">
        <v>10</v>
      </c>
      <c r="AD6" s="115">
        <f>IF(OR(AA$2="",AA6="",AC6=""),"",IF($BD6="","",IF(AA6=$BD6,ABS(AC6-$BF6),ABS(AC6+$BF6))+IF(AA6&lt;&gt;$BD6,$BO$5,0)))</f>
        <v>30</v>
      </c>
      <c r="AE6" s="260" t="s">
        <v>9</v>
      </c>
      <c r="AF6" s="120" t="s">
        <v>0</v>
      </c>
      <c r="AG6" s="125">
        <v>7</v>
      </c>
      <c r="AH6" s="115">
        <f>IF(OR(AE$2="",AE6="",AG6=""),"",IF($BD6="","",IF(AE6=$BD6,ABS(AG6-$BF6),ABS(AG6+$BF6))+IF(AE6&lt;&gt;$BD6,$BO$5,0)))</f>
        <v>27</v>
      </c>
      <c r="AI6" s="260" t="s">
        <v>8</v>
      </c>
      <c r="AJ6" s="120" t="s">
        <v>0</v>
      </c>
      <c r="AK6" s="125">
        <v>4</v>
      </c>
      <c r="AL6" s="115">
        <f>IF(OR(AI$2="",AI6="",AK6=""),"",IF($BD6="","",IF(AI6=$BD6,ABS(AK6-$BF6),ABS(AK6+$BF6))+IF(AI6&lt;&gt;$BD6,$BO$5,0)))</f>
        <v>9</v>
      </c>
      <c r="AM6" s="260" t="s">
        <v>9</v>
      </c>
      <c r="AN6" s="120" t="s">
        <v>0</v>
      </c>
      <c r="AO6" s="125">
        <v>1</v>
      </c>
      <c r="AP6" s="115">
        <f>IF(OR(AM$2="",AM6="",AO6=""),"",IF($BD6="","",IF(AM6=$BD6,ABS(AO6-$BF6),ABS(AO6+$BF6))+IF(AM6&lt;&gt;$BD6,$BO$5,0)))</f>
        <v>21</v>
      </c>
      <c r="AQ6" s="260" t="s">
        <v>9</v>
      </c>
      <c r="AR6" s="120" t="s">
        <v>0</v>
      </c>
      <c r="AS6" s="125">
        <v>6</v>
      </c>
      <c r="AT6" s="115">
        <f>IF(OR(AQ$2="",AQ6="",AS6=""),"",IF($BD6="","",IF(AQ6=$BD6,ABS(AS6-$BF6),ABS(AS6+$BF6))+IF(AQ6&lt;&gt;$BD6,$BO$5,0)))</f>
        <v>26</v>
      </c>
      <c r="AU6" s="260" t="s">
        <v>9</v>
      </c>
      <c r="AV6" s="120" t="s">
        <v>0</v>
      </c>
      <c r="AW6" s="125">
        <v>10</v>
      </c>
      <c r="AX6" s="115">
        <f>IF(OR(AU$2="",AU6="",AW6=""),"",IF($BD6="","",IF(AU6=$BD6,ABS(AW6-$BF6),ABS(AW6+$BF6))+IF(AU6&lt;&gt;$BD6,$BO$5,0)))</f>
        <v>30</v>
      </c>
      <c r="AY6" s="260" t="s">
        <v>9</v>
      </c>
      <c r="AZ6" s="120" t="s">
        <v>0</v>
      </c>
      <c r="BA6" s="125">
        <v>3</v>
      </c>
      <c r="BB6" s="124">
        <f>IF(OR(AY$2="",AY6="",BA6=""),"",IF($BD6="","",IF(AY6=$BD6,ABS(BA6-$BF6),ABS(BA6+$BF6))+IF(AY6&lt;&gt;$BD6,$BO$5,0)))</f>
        <v>23</v>
      </c>
      <c r="BC6" s="117"/>
      <c r="BD6" s="118" t="str">
        <f>IF(OR(B6="",F6="",B6=F6),"",IF(B6&gt;F6,"V","H"))</f>
        <v>V</v>
      </c>
      <c r="BE6" s="118" t="s">
        <v>0</v>
      </c>
      <c r="BF6" s="118">
        <f>IF(OR(B6="",F6="",B6=F6),"",ABS(B6-F6))</f>
        <v>13</v>
      </c>
      <c r="BG6" s="118"/>
      <c r="BH6" s="233">
        <f t="shared" si="0"/>
        <v>65</v>
      </c>
      <c r="BI6" s="119" t="str">
        <f>IF(COUNTA(G6,K6,O6,S6,W6,AA6,AE6,AI6,AM6,AQ6,AU6,AY6)&gt;0,IF(BH6&lt;0,"V","H"),"")</f>
        <v>H</v>
      </c>
      <c r="BJ6" s="120" t="s">
        <v>0</v>
      </c>
      <c r="BK6" s="125">
        <f>IF(BI6="","",IF(ABS(BH6)&lt;(COUNTA(G6,K6,O6,S6,W6,AA6,AE6,AI6,AM6,AQ6,AU6,AY6)/2),1,ROUND(ABS(BH6)/COUNTA(G6,K6,O6,S6,W6,AA6,AE6,AI6,AM6,AQ6,AU6,AY6),0)))</f>
        <v>5</v>
      </c>
      <c r="BL6" s="124">
        <f>IF(OR(BI6="",BK6=""),"",IF($BD6="","",IF(BI6=$BD6,ABS(BK6-$BF6),ABS(BK6+$BF6))+IF(BI6&lt;&gt;$BD6,$BO$5,0)))</f>
        <v>25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64">
        <v>3</v>
      </c>
      <c r="C7" s="120" t="s">
        <v>147</v>
      </c>
      <c r="D7" s="120" t="s">
        <v>3</v>
      </c>
      <c r="E7" s="258" t="s">
        <v>148</v>
      </c>
      <c r="F7" s="267">
        <v>10</v>
      </c>
      <c r="G7" s="120" t="s">
        <v>9</v>
      </c>
      <c r="H7" s="120" t="s">
        <v>0</v>
      </c>
      <c r="I7" s="125">
        <v>10</v>
      </c>
      <c r="J7" s="115">
        <f>IF(OR(G$2="",G7="",I7=""),"",IF($BD7="","",IF(G7=$BD7,ABS(I7-$BF7),ABS(I7+$BF7))+IF(G7&lt;&gt;$BD7,$BO$5,0)))</f>
        <v>3</v>
      </c>
      <c r="K7" s="260" t="s">
        <v>9</v>
      </c>
      <c r="L7" s="120" t="s">
        <v>0</v>
      </c>
      <c r="M7" s="125">
        <v>4</v>
      </c>
      <c r="N7" s="115">
        <f>IF(OR(K$2="",K7="",M7=""),"",IF($BD7="","",IF(K7=$BD7,ABS(M7-$BF7),ABS(M7+$BF7))+IF(K7&lt;&gt;$BD7,$BO$5,0)))</f>
        <v>3</v>
      </c>
      <c r="O7" s="260" t="s">
        <v>9</v>
      </c>
      <c r="P7" s="120" t="s">
        <v>0</v>
      </c>
      <c r="Q7" s="125">
        <v>7</v>
      </c>
      <c r="R7" s="115">
        <f>IF(OR(O$2="",O7="",Q7=""),"",IF($BD7="","",IF(O7=$BD7,ABS(Q7-$BF7),ABS(Q7+$BF7))+IF(O7&lt;&gt;$BD7,$BO$5,0)))</f>
        <v>0</v>
      </c>
      <c r="S7" s="260" t="s">
        <v>9</v>
      </c>
      <c r="T7" s="120" t="s">
        <v>0</v>
      </c>
      <c r="U7" s="125">
        <v>2</v>
      </c>
      <c r="V7" s="115">
        <f>IF(OR(S$2="",S7="",U7=""),"",IF($BD7="","",IF(S7=$BD7,ABS(U7-$BF7),ABS(U7+$BF7))+IF(S7&lt;&gt;$BD7,$BO$5,0)))</f>
        <v>5</v>
      </c>
      <c r="W7" s="260" t="s">
        <v>9</v>
      </c>
      <c r="X7" s="120" t="s">
        <v>0</v>
      </c>
      <c r="Y7" s="125">
        <v>10</v>
      </c>
      <c r="Z7" s="115">
        <f>IF(OR(W$2="",W7="",Y7=""),"",IF($BD7="","",IF(W7=$BD7,ABS(Y7-$BF7),ABS(Y7+$BF7))+IF(W7&lt;&gt;$BD7,$BO$5,0)))</f>
        <v>3</v>
      </c>
      <c r="AA7" s="260" t="s">
        <v>9</v>
      </c>
      <c r="AB7" s="120" t="s">
        <v>0</v>
      </c>
      <c r="AC7" s="125">
        <v>10</v>
      </c>
      <c r="AD7" s="115">
        <f>IF(OR(AA$2="",AA7="",AC7=""),"",IF($BD7="","",IF(AA7=$BD7,ABS(AC7-$BF7),ABS(AC7+$BF7))+IF(AA7&lt;&gt;$BD7,$BO$5,0)))</f>
        <v>3</v>
      </c>
      <c r="AE7" s="260" t="s">
        <v>8</v>
      </c>
      <c r="AF7" s="120" t="s">
        <v>0</v>
      </c>
      <c r="AG7" s="125">
        <v>3</v>
      </c>
      <c r="AH7" s="115">
        <f>IF(OR(AE$2="",AE7="",AG7=""),"",IF($BD7="","",IF(AE7=$BD7,ABS(AG7-$BF7),ABS(AG7+$BF7))+IF(AE7&lt;&gt;$BD7,$BO$5,0)))</f>
        <v>17</v>
      </c>
      <c r="AI7" s="260" t="s">
        <v>9</v>
      </c>
      <c r="AJ7" s="120" t="s">
        <v>0</v>
      </c>
      <c r="AK7" s="125">
        <v>5</v>
      </c>
      <c r="AL7" s="115">
        <f>IF(OR(AI$2="",AI7="",AK7=""),"",IF($BD7="","",IF(AI7=$BD7,ABS(AK7-$BF7),ABS(AK7+$BF7))+IF(AI7&lt;&gt;$BD7,$BO$5,0)))</f>
        <v>2</v>
      </c>
      <c r="AM7" s="260" t="s">
        <v>8</v>
      </c>
      <c r="AN7" s="120" t="s">
        <v>0</v>
      </c>
      <c r="AO7" s="125">
        <v>1</v>
      </c>
      <c r="AP7" s="115">
        <f>IF(OR(AM$2="",AM7="",AO7=""),"",IF($BD7="","",IF(AM7=$BD7,ABS(AO7-$BF7),ABS(AO7+$BF7))+IF(AM7&lt;&gt;$BD7,$BO$5,0)))</f>
        <v>15</v>
      </c>
      <c r="AQ7" s="260" t="s">
        <v>9</v>
      </c>
      <c r="AR7" s="120" t="s">
        <v>0</v>
      </c>
      <c r="AS7" s="125">
        <v>8</v>
      </c>
      <c r="AT7" s="115">
        <f>IF(OR(AQ$2="",AQ7="",AS7=""),"",IF($BD7="","",IF(AQ7=$BD7,ABS(AS7-$BF7),ABS(AS7+$BF7))+IF(AQ7&lt;&gt;$BD7,$BO$5,0)))</f>
        <v>1</v>
      </c>
      <c r="AU7" s="260" t="s">
        <v>9</v>
      </c>
      <c r="AV7" s="120" t="s">
        <v>0</v>
      </c>
      <c r="AW7" s="125">
        <v>7</v>
      </c>
      <c r="AX7" s="115">
        <f>IF(OR(AU$2="",AU7="",AW7=""),"",IF($BD7="","",IF(AU7=$BD7,ABS(AW7-$BF7),ABS(AW7+$BF7))+IF(AU7&lt;&gt;$BD7,$BO$5,0)))</f>
        <v>0</v>
      </c>
      <c r="AY7" s="260" t="s">
        <v>9</v>
      </c>
      <c r="AZ7" s="120" t="s">
        <v>0</v>
      </c>
      <c r="BA7" s="125">
        <v>7</v>
      </c>
      <c r="BB7" s="124">
        <f>IF(OR(AY$2="",AY7="",BA7=""),"",IF($BD7="","",IF(AY7=$BD7,ABS(BA7-$BF7),ABS(BA7+$BF7))+IF(AY7&lt;&gt;$BD7,$BO$5,0)))</f>
        <v>0</v>
      </c>
      <c r="BC7" s="117"/>
      <c r="BD7" s="118" t="str">
        <f>IF(OR(B7="",F7="",B7=F7),"",IF(B7&gt;F7,"V","H"))</f>
        <v>H</v>
      </c>
      <c r="BE7" s="118" t="s">
        <v>0</v>
      </c>
      <c r="BF7" s="118">
        <f>IF(OR(B7="",F7="",B7=F7),"",ABS(B7-F7))</f>
        <v>7</v>
      </c>
      <c r="BG7" s="118"/>
      <c r="BH7" s="233">
        <f t="shared" si="0"/>
        <v>66</v>
      </c>
      <c r="BI7" s="119" t="str">
        <f>IF(COUNTA(G7,K7,O7,S7,W7,AA7,AE7,AI7,AM7,AQ7,AU7,AY7)&gt;0,IF(BH7&lt;0,"V","H"),"")</f>
        <v>H</v>
      </c>
      <c r="BJ7" s="120" t="s">
        <v>0</v>
      </c>
      <c r="BK7" s="125">
        <f>IF(BI7="","",IF(ABS(BH7)&lt;(COUNTA(G7,K7,O7,S7,W7,AA7,AE7,AI7,AM7,AQ7,AU7,AY7)/2),1,ROUND(ABS(BH7)/COUNTA(G7,K7,O7,S7,W7,AA7,AE7,AI7,AM7,AQ7,AU7,AY7),0)))</f>
        <v>6</v>
      </c>
      <c r="BL7" s="124">
        <f>IF(OR(BI7="",BK7=""),"",IF($BD7="","",IF(BI7=$BD7,ABS(BK7-$BF7),ABS(BK7+$BF7))+IF(BI7&lt;&gt;$BD7,$BO$5,0)))</f>
        <v>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65">
        <v>26</v>
      </c>
      <c r="C8" s="128" t="s">
        <v>149</v>
      </c>
      <c r="D8" s="128" t="s">
        <v>3</v>
      </c>
      <c r="E8" s="259" t="s">
        <v>150</v>
      </c>
      <c r="F8" s="268">
        <v>31</v>
      </c>
      <c r="G8" s="128" t="s">
        <v>9</v>
      </c>
      <c r="H8" s="128" t="s">
        <v>0</v>
      </c>
      <c r="I8" s="136">
        <v>3</v>
      </c>
      <c r="J8" s="133">
        <f>IF(OR(G$2="",G8="",I8=""),"",IF($BD8="","",IF(G8=$BD8,ABS(I8-$BF8),ABS(I8+$BF8))+IF(G8&lt;&gt;$BD8,$BO$5,0)))</f>
        <v>2</v>
      </c>
      <c r="K8" s="261" t="s">
        <v>9</v>
      </c>
      <c r="L8" s="128" t="s">
        <v>0</v>
      </c>
      <c r="M8" s="136">
        <v>7</v>
      </c>
      <c r="N8" s="133">
        <f>IF(OR(K$2="",K8="",M8=""),"",IF($BD8="","",IF(K8=$BD8,ABS(M8-$BF8),ABS(M8+$BF8))+IF(K8&lt;&gt;$BD8,$BO$5,0)))</f>
        <v>2</v>
      </c>
      <c r="O8" s="261" t="s">
        <v>9</v>
      </c>
      <c r="P8" s="128" t="s">
        <v>0</v>
      </c>
      <c r="Q8" s="136">
        <v>6</v>
      </c>
      <c r="R8" s="133">
        <f>IF(OR(O$2="",O8="",Q8=""),"",IF($BD8="","",IF(O8=$BD8,ABS(Q8-$BF8),ABS(Q8+$BF8))+IF(O8&lt;&gt;$BD8,$BO$5,0)))</f>
        <v>1</v>
      </c>
      <c r="S8" s="261" t="s">
        <v>9</v>
      </c>
      <c r="T8" s="128" t="s">
        <v>0</v>
      </c>
      <c r="U8" s="136">
        <v>12</v>
      </c>
      <c r="V8" s="133">
        <f>IF(OR(S$2="",S8="",U8=""),"",IF($BD8="","",IF(S8=$BD8,ABS(U8-$BF8),ABS(U8+$BF8))+IF(S8&lt;&gt;$BD8,$BO$5,0)))</f>
        <v>7</v>
      </c>
      <c r="W8" s="261" t="s">
        <v>9</v>
      </c>
      <c r="X8" s="128" t="s">
        <v>0</v>
      </c>
      <c r="Y8" s="136">
        <v>3</v>
      </c>
      <c r="Z8" s="133">
        <f>IF(OR(W$2="",W8="",Y8=""),"",IF($BD8="","",IF(W8=$BD8,ABS(Y8-$BF8),ABS(Y8+$BF8))+IF(W8&lt;&gt;$BD8,$BO$5,0)))</f>
        <v>2</v>
      </c>
      <c r="AA8" s="261" t="s">
        <v>9</v>
      </c>
      <c r="AB8" s="128" t="s">
        <v>0</v>
      </c>
      <c r="AC8" s="136">
        <v>14</v>
      </c>
      <c r="AD8" s="133">
        <f>IF(OR(AA$2="",AA8="",AC8=""),"",IF($BD8="","",IF(AA8=$BD8,ABS(AC8-$BF8),ABS(AC8+$BF8))+IF(AA8&lt;&gt;$BD8,$BO$5,0)))</f>
        <v>9</v>
      </c>
      <c r="AE8" s="261" t="s">
        <v>9</v>
      </c>
      <c r="AF8" s="128" t="s">
        <v>0</v>
      </c>
      <c r="AG8" s="136">
        <v>7</v>
      </c>
      <c r="AH8" s="133">
        <f>IF(OR(AE$2="",AE8="",AG8=""),"",IF($BD8="","",IF(AE8=$BD8,ABS(AG8-$BF8),ABS(AG8+$BF8))+IF(AE8&lt;&gt;$BD8,$BO$5,0)))</f>
        <v>2</v>
      </c>
      <c r="AI8" s="261" t="s">
        <v>9</v>
      </c>
      <c r="AJ8" s="128" t="s">
        <v>0</v>
      </c>
      <c r="AK8" s="136">
        <v>3</v>
      </c>
      <c r="AL8" s="133">
        <f>IF(OR(AI$2="",AI8="",AK8=""),"",IF($BD8="","",IF(AI8=$BD8,ABS(AK8-$BF8),ABS(AK8+$BF8))+IF(AI8&lt;&gt;$BD8,$BO$5,0)))</f>
        <v>2</v>
      </c>
      <c r="AM8" s="261" t="s">
        <v>9</v>
      </c>
      <c r="AN8" s="128" t="s">
        <v>0</v>
      </c>
      <c r="AO8" s="136">
        <v>4</v>
      </c>
      <c r="AP8" s="133">
        <f>IF(OR(AM$2="",AM8="",AO8=""),"",IF($BD8="","",IF(AM8=$BD8,ABS(AO8-$BF8),ABS(AO8+$BF8))+IF(AM8&lt;&gt;$BD8,$BO$5,0)))</f>
        <v>1</v>
      </c>
      <c r="AQ8" s="261" t="s">
        <v>9</v>
      </c>
      <c r="AR8" s="128" t="s">
        <v>0</v>
      </c>
      <c r="AS8" s="136">
        <v>7</v>
      </c>
      <c r="AT8" s="133">
        <f>IF(OR(AQ$2="",AQ8="",AS8=""),"",IF($BD8="","",IF(AQ8=$BD8,ABS(AS8-$BF8),ABS(AS8+$BF8))+IF(AQ8&lt;&gt;$BD8,$BO$5,0)))</f>
        <v>2</v>
      </c>
      <c r="AU8" s="261" t="s">
        <v>9</v>
      </c>
      <c r="AV8" s="128" t="s">
        <v>0</v>
      </c>
      <c r="AW8" s="136">
        <v>14</v>
      </c>
      <c r="AX8" s="133">
        <f>IF(OR(AU$2="",AU8="",AW8=""),"",IF($BD8="","",IF(AU8=$BD8,ABS(AW8-$BF8),ABS(AW8+$BF8))+IF(AU8&lt;&gt;$BD8,$BO$5,0)))</f>
        <v>9</v>
      </c>
      <c r="AY8" s="261" t="s">
        <v>9</v>
      </c>
      <c r="AZ8" s="128" t="s">
        <v>0</v>
      </c>
      <c r="BA8" s="136">
        <v>3</v>
      </c>
      <c r="BB8" s="134">
        <f>IF(OR(AY$2="",AY8="",BA8=""),"",IF($BD8="","",IF(AY8=$BD8,ABS(BA8-$BF8),ABS(BA8+$BF8))+IF(AY8&lt;&gt;$BD8,$BO$5,0)))</f>
        <v>2</v>
      </c>
      <c r="BC8" s="117"/>
      <c r="BD8" s="118" t="str">
        <f>IF(OR(B8="",F8="",B8=F8),"",IF(B8&gt;F8,"V","H"))</f>
        <v>H</v>
      </c>
      <c r="BE8" s="118" t="s">
        <v>0</v>
      </c>
      <c r="BF8" s="118">
        <f>IF(OR(B8="",F8="",B8=F8),"",ABS(B8-F8))</f>
        <v>5</v>
      </c>
      <c r="BG8" s="118"/>
      <c r="BH8" s="233">
        <f t="shared" si="0"/>
        <v>83</v>
      </c>
      <c r="BI8" s="135" t="str">
        <f>IF(COUNTA(G8,K8,O8,S8,W8,AA8,AE8,AI8,AM8,AQ8,AU8,AY8)&gt;0,IF(BH8&lt;0,"V","H"),"")</f>
        <v>H</v>
      </c>
      <c r="BJ8" s="128" t="s">
        <v>0</v>
      </c>
      <c r="BK8" s="136">
        <f>IF(BI8="","",IF(ABS(BH8)&lt;(COUNTA(G8,K8,O8,S8,W8,AA8,AE8,AI8,AM8,AQ8,AU8,AY8)/2),1,ROUND(ABS(BH8)/COUNTA(G8,K8,O8,S8,W8,AA8,AE8,AI8,AM8,AQ8,AU8,AY8),0)))</f>
        <v>7</v>
      </c>
      <c r="BL8" s="134">
        <f>IF(OR(BI8="",BK8=""),"",IF($BD8="","",IF(BI8=$BD8,ABS(BK8-$BF8),ABS(BK8+$BF8))+IF(BI8&lt;&gt;$BD8,$BO$5,0)))</f>
        <v>2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["Falcons","Titans","Jaguars","Saints"];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57</v>
      </c>
      <c r="G9" s="94"/>
      <c r="H9" s="95" t="s">
        <v>62</v>
      </c>
      <c r="I9" s="101">
        <v>48</v>
      </c>
      <c r="J9" s="104" t="str">
        <f>IF(OR($F9="",I9="",J10=""),"",IF(AND(COUNTIF($J37:$BB37,J37)&gt;1,RANK(J37,$J37:$BB37,1)=1),$F9-I9,""))</f>
        <v/>
      </c>
      <c r="K9" s="262"/>
      <c r="L9" s="95" t="s">
        <v>62</v>
      </c>
      <c r="M9" s="101">
        <v>60</v>
      </c>
      <c r="N9" s="104" t="str">
        <f>IF(OR($F9="",M9="",N10=""),"",IF(AND(COUNTIF($J37:$BB37,N37)&gt;1,RANK(N37,$J37:$BB37,1)=1),$F9-M9,""))</f>
        <v/>
      </c>
      <c r="O9" s="262"/>
      <c r="P9" s="95" t="s">
        <v>62</v>
      </c>
      <c r="Q9" s="101">
        <v>50</v>
      </c>
      <c r="R9" s="104" t="str">
        <f>IF(OR($F9="",Q9="",R10=""),"",IF(AND(COUNTIF($J37:$BB37,R37)&gt;1,RANK(R37,$J37:$BB37,1)=1),$F9-Q9,""))</f>
        <v/>
      </c>
      <c r="S9" s="262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62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62"/>
      <c r="AB9" s="95" t="s">
        <v>62</v>
      </c>
      <c r="AC9" s="101">
        <v>54</v>
      </c>
      <c r="AD9" s="104" t="str">
        <f>IF(OR($F9="",AC9="",AD10=""),"",IF(AND(COUNTIF($J37:$BB37,AD37)&gt;1,RANK(AD37,$J37:$BB37,1)=1),$F9-AC9,""))</f>
        <v/>
      </c>
      <c r="AE9" s="262"/>
      <c r="AF9" s="95" t="s">
        <v>62</v>
      </c>
      <c r="AG9" s="101">
        <v>38</v>
      </c>
      <c r="AH9" s="104" t="str">
        <f>IF(OR($F9="",AG9="",AH10=""),"",IF(AND(COUNTIF($J37:$BB37,AH37)&gt;1,RANK(AH37,$J37:$BB37,1)=1),$F9-AG9,""))</f>
        <v/>
      </c>
      <c r="AI9" s="262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62"/>
      <c r="AN9" s="95" t="s">
        <v>62</v>
      </c>
      <c r="AO9" s="101">
        <v>47</v>
      </c>
      <c r="AP9" s="104" t="str">
        <f>IF(OR($F9="",AO9="",AP10=""),"",IF(AND(COUNTIF($J37:$BB37,AP37)&gt;1,RANK(AP37,$J37:$BB37,1)=1),$F9-AO9,""))</f>
        <v/>
      </c>
      <c r="AQ9" s="262"/>
      <c r="AR9" s="95" t="s">
        <v>62</v>
      </c>
      <c r="AS9" s="101">
        <v>48</v>
      </c>
      <c r="AT9" s="104" t="str">
        <f>IF(OR($F9="",AS9="",AT10=""),"",IF(AND(COUNTIF($J37:$BB37,AT37)&gt;1,RANK(AT37,$J37:$BB37,1)=1),$F9-AS9,""))</f>
        <v/>
      </c>
      <c r="AU9" s="262"/>
      <c r="AV9" s="95" t="s">
        <v>62</v>
      </c>
      <c r="AW9" s="101">
        <v>54</v>
      </c>
      <c r="AX9" s="104" t="str">
        <f>IF(OR($F9="",AW9="",AX10=""),"",IF(AND(COUNTIF($J37:$BB37,AX37)&gt;1,RANK(AX37,$J37:$BB37,1)=1),$F9-AW9,""))</f>
        <v/>
      </c>
      <c r="AY9" s="262"/>
      <c r="AZ9" s="95" t="s">
        <v>62</v>
      </c>
      <c r="BA9" s="101">
        <v>42</v>
      </c>
      <c r="BB9" s="105" t="str">
        <f>IF(OR($F9="",BA9="",BB10=""),"",IF(AND(COUNTIF($J37:$BB37,BB37)&gt;1,RANK(BB37,$J37:$BB37,1)=1),$F9-BA9,""))</f>
        <v/>
      </c>
      <c r="BC9" s="117"/>
      <c r="BD9" s="118"/>
      <c r="BE9" s="118"/>
      <c r="BF9" s="118"/>
      <c r="BG9" s="118"/>
      <c r="BH9" s="234"/>
      <c r="BI9" s="106"/>
      <c r="BJ9" s="95" t="s">
        <v>62</v>
      </c>
      <c r="BK9" s="101">
        <f>IF(SUM(I9,M9,Q9,U9,Y9,AC9,AG9,AK9,AO9,AS9,AW9,BA9)=0,"",ROUND(AVERAGE(I9,M9,Q9,U9,Y9,AC9,AG9,AK9,AO9,AS9,AW9,BA9),0))</f>
        <v>48</v>
      </c>
      <c r="BL9" s="105">
        <f>IF(OR($F9="",BK9=""),"",$F9-BK9)</f>
        <v>9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["Eagles","Patriots","Steelers","Vikings"];</v>
      </c>
    </row>
    <row r="10" spans="1:124" s="6" customFormat="1" ht="18" customHeight="1" thickBot="1" x14ac:dyDescent="0.25">
      <c r="A10" s="19"/>
      <c r="B10" s="168"/>
      <c r="C10" s="167"/>
      <c r="D10" s="167"/>
      <c r="E10" s="169"/>
      <c r="F10" s="238" t="s">
        <v>76</v>
      </c>
      <c r="G10" s="174"/>
      <c r="H10" s="148" t="s">
        <v>2</v>
      </c>
      <c r="I10" s="149">
        <f>IF(J10="","",IF(OR(RANK(J37,$J37:$BB37,1)&gt;1,AND(RANK(J37,$J37:$BB37,1)=1,COUNTIF($J37:$BB37,J37)=1)),RANK(J37,$J37:$BB37,1),IF(MIN($J57:$BB57)=J57,1,COUNTIF($J57:$BB57,MIN($J57:$BB57))+1)))</f>
        <v>2</v>
      </c>
      <c r="J10" s="246">
        <f>IF(G$2="","",(IF(AND(COUNTBLANK(G5:G8)=0,COUNTBLANK(I5:I8)=0),(SUM(J5:J8))*$BO$10,"")))</f>
        <v>30</v>
      </c>
      <c r="K10" s="147"/>
      <c r="L10" s="148" t="s">
        <v>2</v>
      </c>
      <c r="M10" s="149">
        <f>IF(N10="","",IF(OR(RANK(N37,$J37:$BB37,1)&gt;1,AND(RANK(N37,$J37:$BB37,1)=1,COUNTIF($J37:$BB37,N37)=1)),RANK(N37,$J37:$BB37,1),IF(MIN($J57:$BB57)=N57,1,COUNTIF($J57:$BB57,MIN($J57:$BB57))+1)))</f>
        <v>11</v>
      </c>
      <c r="N10" s="246">
        <f>IF(K$2="","",(IF(AND(COUNTBLANK(K5:K8)=0,COUNTBLANK(M5:M8)=0),(SUM(N5:N8))*$BO$10,"")))</f>
        <v>60</v>
      </c>
      <c r="O10" s="147"/>
      <c r="P10" s="148" t="s">
        <v>2</v>
      </c>
      <c r="Q10" s="149">
        <f>IF(R10="","",IF(OR(RANK(R37,$J37:$BB37,1)&gt;1,AND(RANK(R37,$J37:$BB37,1)=1,COUNTIF($J37:$BB37,R37)=1)),RANK(R37,$J37:$BB37,1),IF(MIN($J57:$BB57)=R57,1,COUNTIF($J57:$BB57,MIN($J57:$BB57))+1)))</f>
        <v>3</v>
      </c>
      <c r="R10" s="246">
        <f>IF(O$2="","",(IF(AND(COUNTBLANK(O5:O8)=0,COUNTBLANK(Q5:Q8)=0),(SUM(R5:R8))*$BO$10,"")))</f>
        <v>42</v>
      </c>
      <c r="S10" s="147"/>
      <c r="T10" s="148" t="s">
        <v>2</v>
      </c>
      <c r="U10" s="149">
        <f>IF(V10="","",IF(OR(RANK(V37,$J37:$BB37,1)&gt;1,AND(RANK(V37,$J37:$BB37,1)=1,COUNTIF($J37:$BB37,V37)=1)),RANK(V37,$J37:$BB37,1),IF(MIN($J57:$BB57)=V57,1,COUNTIF($J57:$BB57,MIN($J57:$BB57))+1)))</f>
        <v>8</v>
      </c>
      <c r="V10" s="246">
        <f>IF(S$2="","",(IF(AND(COUNTBLANK(S5:S8)=0,COUNTBLANK(U5:U8)=0),(SUM(V5:V8))*$BO$10,"")))</f>
        <v>54</v>
      </c>
      <c r="W10" s="147"/>
      <c r="X10" s="148" t="s">
        <v>2</v>
      </c>
      <c r="Y10" s="149">
        <f>IF(Z10="","",IF(OR(RANK(Z37,$J37:$BB37,1)&gt;1,AND(RANK(Z37,$J37:$BB37,1)=1,COUNTIF($J37:$BB37,Z37)=1)),RANK(Z37,$J37:$BB37,1),IF(MIN($J57:$BB57)=Z57,1,COUNTIF($J57:$BB57,MIN($J57:$BB57))+1)))</f>
        <v>6</v>
      </c>
      <c r="Z10" s="246">
        <f>IF(W$2="","",(IF(AND(COUNTBLANK(W5:W8)=0,COUNTBLANK(Y5:Y8)=0),(SUM(Z5:Z8))*$BO$10,"")))</f>
        <v>50</v>
      </c>
      <c r="AA10" s="147"/>
      <c r="AB10" s="148" t="s">
        <v>2</v>
      </c>
      <c r="AC10" s="149">
        <f>IF(AD10="","",IF(OR(RANK(AD37,$J37:$BB37,1)&gt;1,AND(RANK(AD37,$J37:$BB37,1)=1,COUNTIF($J37:$BB37,AD37)=1)),RANK(AD37,$J37:$BB37,1),IF(MIN($J57:$BB57)=AD57,1,COUNTIF($J57:$BB57,MIN($J57:$BB57))+1)))</f>
        <v>9</v>
      </c>
      <c r="AD10" s="246">
        <f>IF(AA$2="","",(IF(AND(COUNTBLANK(AA5:AA8)=0,COUNTBLANK(AC5:AC8)=0),(SUM(AD5:AD8))*$BO$10,"")))</f>
        <v>57</v>
      </c>
      <c r="AE10" s="147"/>
      <c r="AF10" s="148" t="s">
        <v>2</v>
      </c>
      <c r="AG10" s="149">
        <f>IF(AH10="","",IF(OR(RANK(AH37,$J37:$BB37,1)&gt;1,AND(RANK(AH37,$J37:$BB37,1)=1,COUNTIF($J37:$BB37,AH37)=1)),RANK(AH37,$J37:$BB37,1),IF(MIN($J57:$BB57)=AH57,1,COUNTIF($J57:$BB57,MIN($J57:$BB57))+1)))</f>
        <v>12</v>
      </c>
      <c r="AH10" s="246">
        <f>IF(AE$2="","",(IF(AND(COUNTBLANK(AE5:AE8)=0,COUNTBLANK(AG5:AG8)=0),(SUM(AH5:AH8))*$BO$10,"")))</f>
        <v>61</v>
      </c>
      <c r="AI10" s="147"/>
      <c r="AJ10" s="148" t="s">
        <v>2</v>
      </c>
      <c r="AK10" s="149">
        <f>IF(AL10="","",IF(OR(RANK(AL37,$J37:$BB37,1)&gt;1,AND(RANK(AL37,$J37:$BB37,1)=1,COUNTIF($J37:$BB37,AL37)=1)),RANK(AL37,$J37:$BB37,1),IF(MIN($J57:$BB57)=AL57,1,COUNTIF($J57:$BB57,MIN($J57:$BB57))+1)))</f>
        <v>1</v>
      </c>
      <c r="AL10" s="246">
        <f>IF(AI$2="","",(IF(AND(COUNTBLANK(AI5:AI8)=0,COUNTBLANK(AK5:AK8)=0),(SUM(AL5:AL8))*$BO$10,"")))</f>
        <v>27</v>
      </c>
      <c r="AM10" s="147"/>
      <c r="AN10" s="148" t="s">
        <v>2</v>
      </c>
      <c r="AO10" s="149">
        <f>IF(AP10="","",IF(OR(RANK(AP37,$J37:$BB37,1)&gt;1,AND(RANK(AP37,$J37:$BB37,1)=1,COUNTIF($J37:$BB37,AP37)=1)),RANK(AP37,$J37:$BB37,1),IF(MIN($J57:$BB57)=AP57,1,COUNTIF($J57:$BB57,MIN($J57:$BB57))+1)))</f>
        <v>7</v>
      </c>
      <c r="AP10" s="246">
        <f>IF(AM$2="","",(IF(AND(COUNTBLANK(AM5:AM8)=0,COUNTBLANK(AO5:AO8)=0),(SUM(AP5:AP8))*$BO$10,"")))</f>
        <v>53</v>
      </c>
      <c r="AQ10" s="147"/>
      <c r="AR10" s="148" t="s">
        <v>2</v>
      </c>
      <c r="AS10" s="149">
        <f>IF(AT10="","",IF(OR(RANK(AT37,$J37:$BB37,1)&gt;1,AND(RANK(AT37,$J37:$BB37,1)=1,COUNTIF($J37:$BB37,AT37)=1)),RANK(AT37,$J37:$BB37,1),IF(MIN($J57:$BB57)=AT57,1,COUNTIF($J57:$BB57,MIN($J57:$BB57))+1)))</f>
        <v>4</v>
      </c>
      <c r="AT10" s="246">
        <f>IF(AQ$2="","",(IF(AND(COUNTBLANK(AQ5:AQ8)=0,COUNTBLANK(AS5:AS8)=0),(SUM(AT5:AT8))*$BO$10,"")))</f>
        <v>45</v>
      </c>
      <c r="AU10" s="147"/>
      <c r="AV10" s="148" t="s">
        <v>2</v>
      </c>
      <c r="AW10" s="149">
        <f>IF(AX10="","",IF(OR(RANK(AX37,$J37:$BB37,1)&gt;1,AND(RANK(AX37,$J37:$BB37,1)=1,COUNTIF($J37:$BB37,AX37)=1)),RANK(AX37,$J37:$BB37,1),IF(MIN($J57:$BB57)=AX57,1,COUNTIF($J57:$BB57,MIN($J57:$BB57))+1)))</f>
        <v>9</v>
      </c>
      <c r="AX10" s="246">
        <f>IF(AU$2="","",(IF(AND(COUNTBLANK(AU5:AU8)=0,COUNTBLANK(AW5:AW8)=0),(SUM(AX5:AX8))*$BO$10,"")))</f>
        <v>57</v>
      </c>
      <c r="AY10" s="147"/>
      <c r="AZ10" s="148" t="s">
        <v>2</v>
      </c>
      <c r="BA10" s="149">
        <f>IF(BB10="","",IF(OR(RANK(BB37,$J37:$BB37,1)&gt;1,AND(RANK(BB37,$J37:$BB37,1)=1,COUNTIF($J37:$BB37,BB37)=1)),RANK(BB37,$J37:$BB37,1),IF(MIN($J57:$BB57)=BB57,1,COUNTIF($J57:$BB57,MIN($J57:$BB57))+1)))</f>
        <v>5</v>
      </c>
      <c r="BB10" s="245">
        <f>IF(AY$2="","",(IF(AND(COUNTBLANK(AY5:AY8)=0,COUNTBLANK(BA5:BA8)=0),(SUM(BB5:BB8))*$BO$10,"")))</f>
        <v>47</v>
      </c>
      <c r="BC10" s="117"/>
      <c r="BD10" s="117"/>
      <c r="BE10" s="117"/>
      <c r="BF10" s="117"/>
      <c r="BG10" s="117"/>
      <c r="BH10" s="234"/>
      <c r="BI10" s="150"/>
      <c r="BJ10" s="148" t="s">
        <v>2</v>
      </c>
      <c r="BK10" s="149">
        <f>IF(BL10="","",RANK(BL37,$J37:$BL37,1))</f>
        <v>4</v>
      </c>
      <c r="BL10" s="245">
        <f>IF(AND(COUNTBLANK(BI5:BI8)=0,COUNTBLANK(BK5:BK8)=0),(SUM(BL5:BL8))*$BO$10,"")</f>
        <v>45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79"/>
      <c r="C11" s="102"/>
      <c r="D11" s="102"/>
      <c r="E11" s="170"/>
      <c r="F11" s="180"/>
      <c r="G11" s="175"/>
      <c r="H11" s="156"/>
      <c r="I11" s="175"/>
      <c r="J11" s="181"/>
      <c r="K11" s="175"/>
      <c r="L11" s="156"/>
      <c r="M11" s="175"/>
      <c r="N11" s="181"/>
      <c r="O11" s="175"/>
      <c r="P11" s="156"/>
      <c r="Q11" s="175"/>
      <c r="R11" s="181"/>
      <c r="S11" s="175"/>
      <c r="T11" s="156"/>
      <c r="U11" s="175"/>
      <c r="V11" s="181"/>
      <c r="W11" s="175"/>
      <c r="X11" s="156"/>
      <c r="Y11" s="175"/>
      <c r="Z11" s="181"/>
      <c r="AA11" s="175"/>
      <c r="AB11" s="156"/>
      <c r="AC11" s="175"/>
      <c r="AD11" s="181"/>
      <c r="AE11" s="175"/>
      <c r="AF11" s="156"/>
      <c r="AG11" s="175"/>
      <c r="AH11" s="181"/>
      <c r="AI11" s="175"/>
      <c r="AJ11" s="156"/>
      <c r="AK11" s="175"/>
      <c r="AL11" s="181"/>
      <c r="AM11" s="175"/>
      <c r="AN11" s="156"/>
      <c r="AO11" s="175"/>
      <c r="AP11" s="181"/>
      <c r="AQ11" s="175"/>
      <c r="AR11" s="156"/>
      <c r="AS11" s="175"/>
      <c r="AT11" s="181"/>
      <c r="AU11" s="175"/>
      <c r="AV11" s="156"/>
      <c r="AW11" s="175"/>
      <c r="AX11" s="181"/>
      <c r="AY11" s="175"/>
      <c r="AZ11" s="156"/>
      <c r="BA11" s="175"/>
      <c r="BB11" s="157"/>
      <c r="BC11" s="117"/>
      <c r="BD11" s="117"/>
      <c r="BE11" s="117"/>
      <c r="BF11" s="117"/>
      <c r="BG11" s="117"/>
      <c r="BH11" s="235"/>
      <c r="BI11" s="155"/>
      <c r="BJ11" s="156"/>
      <c r="BK11" s="175"/>
      <c r="BL11" s="15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82" t="s">
        <v>124</v>
      </c>
      <c r="C12" s="283"/>
      <c r="D12" s="283"/>
      <c r="E12" s="283"/>
      <c r="F12" s="284"/>
      <c r="G12" s="239"/>
      <c r="H12" s="239" t="s">
        <v>127</v>
      </c>
      <c r="I12" s="240"/>
      <c r="J12" s="241" t="s">
        <v>1</v>
      </c>
      <c r="K12" s="242"/>
      <c r="L12" s="239" t="s">
        <v>127</v>
      </c>
      <c r="M12" s="240"/>
      <c r="N12" s="241" t="s">
        <v>1</v>
      </c>
      <c r="O12" s="242"/>
      <c r="P12" s="239" t="s">
        <v>127</v>
      </c>
      <c r="Q12" s="240"/>
      <c r="R12" s="241" t="s">
        <v>1</v>
      </c>
      <c r="S12" s="242"/>
      <c r="T12" s="239" t="s">
        <v>127</v>
      </c>
      <c r="U12" s="240"/>
      <c r="V12" s="241" t="s">
        <v>1</v>
      </c>
      <c r="W12" s="242"/>
      <c r="X12" s="239" t="s">
        <v>127</v>
      </c>
      <c r="Y12" s="240"/>
      <c r="Z12" s="241" t="s">
        <v>1</v>
      </c>
      <c r="AA12" s="242"/>
      <c r="AB12" s="239" t="s">
        <v>127</v>
      </c>
      <c r="AC12" s="240"/>
      <c r="AD12" s="241" t="s">
        <v>1</v>
      </c>
      <c r="AE12" s="242"/>
      <c r="AF12" s="239" t="s">
        <v>127</v>
      </c>
      <c r="AG12" s="240"/>
      <c r="AH12" s="241" t="s">
        <v>1</v>
      </c>
      <c r="AI12" s="242"/>
      <c r="AJ12" s="239" t="s">
        <v>127</v>
      </c>
      <c r="AK12" s="240"/>
      <c r="AL12" s="241" t="s">
        <v>1</v>
      </c>
      <c r="AM12" s="242"/>
      <c r="AN12" s="239" t="s">
        <v>127</v>
      </c>
      <c r="AO12" s="240"/>
      <c r="AP12" s="241" t="s">
        <v>1</v>
      </c>
      <c r="AQ12" s="242"/>
      <c r="AR12" s="239" t="s">
        <v>127</v>
      </c>
      <c r="AS12" s="240"/>
      <c r="AT12" s="241" t="s">
        <v>1</v>
      </c>
      <c r="AU12" s="242"/>
      <c r="AV12" s="239" t="s">
        <v>127</v>
      </c>
      <c r="AW12" s="240"/>
      <c r="AX12" s="241" t="s">
        <v>1</v>
      </c>
      <c r="AY12" s="242"/>
      <c r="AZ12" s="239" t="s">
        <v>127</v>
      </c>
      <c r="BA12" s="240"/>
      <c r="BB12" s="243" t="s">
        <v>1</v>
      </c>
      <c r="BC12" s="117"/>
      <c r="BD12" s="146"/>
      <c r="BE12" s="146"/>
      <c r="BF12" s="146"/>
      <c r="BG12" s="146"/>
      <c r="BH12" s="235"/>
      <c r="BI12" s="242"/>
      <c r="BJ12" s="239" t="s">
        <v>127</v>
      </c>
      <c r="BK12" s="240"/>
      <c r="BL12" s="243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107"/>
      <c r="C13" s="109" t="s">
        <v>145</v>
      </c>
      <c r="D13" s="109" t="s">
        <v>3</v>
      </c>
      <c r="E13" s="257" t="s">
        <v>151</v>
      </c>
      <c r="F13" s="111"/>
      <c r="G13" s="120" t="s">
        <v>8</v>
      </c>
      <c r="H13" s="120" t="s">
        <v>0</v>
      </c>
      <c r="I13" s="121">
        <v>7</v>
      </c>
      <c r="J13" s="115" t="str">
        <f>IF(OR(G$2="",G13="",I13=""),"",IF($BD13="","",IF(G13=$BD13,ABS(I13-$BF13),ABS(I13+$BF13))+IF(G13&lt;&gt;$BD13,$BO$5,0)))</f>
        <v/>
      </c>
      <c r="K13" s="260" t="s">
        <v>8</v>
      </c>
      <c r="L13" s="120" t="s">
        <v>0</v>
      </c>
      <c r="M13" s="121">
        <v>4</v>
      </c>
      <c r="N13" s="115" t="str">
        <f>IF(OR(K$2="",K13="",M13=""),"",IF($BD13="","",IF(K13=$BD13,ABS(M13-$BF13),ABS(M13+$BF13))+IF(K13&lt;&gt;$BD13,$BO$5,0)))</f>
        <v/>
      </c>
      <c r="O13" s="260" t="s">
        <v>8</v>
      </c>
      <c r="P13" s="120" t="s">
        <v>0</v>
      </c>
      <c r="Q13" s="121">
        <v>6</v>
      </c>
      <c r="R13" s="115" t="str">
        <f>IF(OR(O$2="",O13="",Q13=""),"",IF($BD13="","",IF(O13=$BD13,ABS(Q13-$BF13),ABS(Q13+$BF13))+IF(O13&lt;&gt;$BD13,$BO$5,0)))</f>
        <v/>
      </c>
      <c r="S13" s="260" t="s">
        <v>8</v>
      </c>
      <c r="T13" s="120" t="s">
        <v>0</v>
      </c>
      <c r="U13" s="121">
        <v>4</v>
      </c>
      <c r="V13" s="115" t="str">
        <f>IF(OR(S$2="",S13="",U13=""),"",IF($BD13="","",IF(S13=$BD13,ABS(U13-$BF13),ABS(U13+$BF13))+IF(S13&lt;&gt;$BD13,$BO$5,0)))</f>
        <v/>
      </c>
      <c r="W13" s="260" t="s">
        <v>9</v>
      </c>
      <c r="X13" s="120" t="s">
        <v>0</v>
      </c>
      <c r="Y13" s="121">
        <v>7</v>
      </c>
      <c r="Z13" s="115" t="str">
        <f>IF(OR(W$2="",W13="",Y13=""),"",IF($BD13="","",IF(W13=$BD13,ABS(Y13-$BF13),ABS(Y13+$BF13))+IF(W13&lt;&gt;$BD13,$BO$5,0)))</f>
        <v/>
      </c>
      <c r="AA13" s="260" t="s">
        <v>8</v>
      </c>
      <c r="AB13" s="120" t="s">
        <v>0</v>
      </c>
      <c r="AC13" s="121">
        <v>14</v>
      </c>
      <c r="AD13" s="115" t="str">
        <f>IF(OR(AA$2="",AA13="",AC13=""),"",IF($BD13="","",IF(AA13=$BD13,ABS(AC13-$BF13),ABS(AC13+$BF13))+IF(AA13&lt;&gt;$BD13,$BO$5,0)))</f>
        <v/>
      </c>
      <c r="AE13" s="260" t="s">
        <v>9</v>
      </c>
      <c r="AF13" s="120" t="s">
        <v>0</v>
      </c>
      <c r="AG13" s="121">
        <v>7</v>
      </c>
      <c r="AH13" s="115" t="str">
        <f>IF(OR(AE$2="",AE13="",AG13=""),"",IF($BD13="","",IF(AE13=$BD13,ABS(AG13-$BF13),ABS(AG13+$BF13))+IF(AE13&lt;&gt;$BD13,$BO$5,0)))</f>
        <v/>
      </c>
      <c r="AI13" s="260" t="s">
        <v>9</v>
      </c>
      <c r="AJ13" s="120" t="s">
        <v>0</v>
      </c>
      <c r="AK13" s="121">
        <v>3</v>
      </c>
      <c r="AL13" s="115" t="str">
        <f>IF(OR(AI$2="",AI13="",AK13=""),"",IF($BD13="","",IF(AI13=$BD13,ABS(AK13-$BF13),ABS(AK13+$BF13))+IF(AI13&lt;&gt;$BD13,$BO$5,0)))</f>
        <v/>
      </c>
      <c r="AM13" s="260" t="s">
        <v>8</v>
      </c>
      <c r="AN13" s="120" t="s">
        <v>0</v>
      </c>
      <c r="AO13" s="121">
        <v>7</v>
      </c>
      <c r="AP13" s="115" t="str">
        <f>IF(OR(AM$2="",AM13="",AO13=""),"",IF($BD13="","",IF(AM13=$BD13,ABS(AO13-$BF13),ABS(AO13+$BF13))+IF(AM13&lt;&gt;$BD13,$BO$5,0)))</f>
        <v/>
      </c>
      <c r="AQ13" s="260" t="s">
        <v>8</v>
      </c>
      <c r="AR13" s="120" t="s">
        <v>0</v>
      </c>
      <c r="AS13" s="121">
        <v>3</v>
      </c>
      <c r="AT13" s="115" t="str">
        <f>IF(OR(AQ$2="",AQ13="",AS13=""),"",IF($BD13="","",IF(AQ13=$BD13,ABS(AS13-$BF13),ABS(AS13+$BF13))+IF(AQ13&lt;&gt;$BD13,$BO$5,0)))</f>
        <v/>
      </c>
      <c r="AU13" s="260" t="s">
        <v>8</v>
      </c>
      <c r="AV13" s="120" t="s">
        <v>0</v>
      </c>
      <c r="AW13" s="121">
        <v>7</v>
      </c>
      <c r="AX13" s="115" t="str">
        <f>IF(OR(AU$2="",AU13="",AW13=""),"",IF($BD13="","",IF(AU13=$BD13,ABS(AW13-$BF13),ABS(AW13+$BF13))+IF(AU13&lt;&gt;$BD13,$BO$5,0)))</f>
        <v/>
      </c>
      <c r="AY13" s="260" t="s">
        <v>9</v>
      </c>
      <c r="AZ13" s="120" t="s">
        <v>0</v>
      </c>
      <c r="BA13" s="121">
        <v>3</v>
      </c>
      <c r="BB13" s="116" t="str">
        <f>IF(OR(AY$2="",AY13="",BA13=""),"",IF($BD13="","",IF(AY13=$BD13,ABS(BA13-$BF13),ABS(BA13+$BF13))+IF(AY13&lt;&gt;$BD13,$BO$5,0)))</f>
        <v/>
      </c>
      <c r="BC13" s="117"/>
      <c r="BD13" s="118" t="str">
        <f t="shared" ref="BD13:BD16" si="1">IF(OR(B13="",F13="",B13=F13),"",IF(B13&gt;F13,"V","H"))</f>
        <v/>
      </c>
      <c r="BE13" s="118" t="s">
        <v>0</v>
      </c>
      <c r="BF13" s="118" t="str">
        <f t="shared" ref="BF13:BF16" si="2">IF(OR(B13="",F13="",B13=F13),"",ABS(B13-F13))</f>
        <v/>
      </c>
      <c r="BG13" s="118"/>
      <c r="BH13" s="233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-32</v>
      </c>
      <c r="BI13" s="119" t="str">
        <f t="shared" ref="BI13:BI16" si="4">IF(COUNTA(G13,K13,O13,S13,W13,AA13,AE13,AI13,AM13,AQ13,AU13,AY13)&gt;0,IF(BH13&lt;0,"V","H"),"")</f>
        <v>V</v>
      </c>
      <c r="BJ13" s="120" t="s">
        <v>0</v>
      </c>
      <c r="BK13" s="121">
        <f t="shared" ref="BK13:BK16" si="5">IF(BI13="","",IF(ABS(BH13)&lt;(COUNTA(G13,K13,O13,S13,W13,AA13,AE13,AI13,AM13,AQ13,AU13,AY13)/2),1,ROUND(ABS(BH13)/COUNTA(G13,K13,O13,S13,W13,AA13,AE13,AI13,AM13,AQ13,AU13,AY13),0)))</f>
        <v>3</v>
      </c>
      <c r="BL13" s="116" t="str">
        <f t="shared" ref="BL13:BL16" si="6">IF(OR(BI13="",BK13=""),"",IF($BD13="","",IF(BI13=$BD13,ABS(BK13-$BF13),ABS(BK13+$BF13))+IF(BI13&lt;&gt;$BD13,$BO$5,0)))</f>
        <v/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122"/>
      <c r="C14" s="120" t="s">
        <v>143</v>
      </c>
      <c r="D14" s="120" t="s">
        <v>3</v>
      </c>
      <c r="E14" s="258" t="s">
        <v>152</v>
      </c>
      <c r="F14" s="123"/>
      <c r="G14" s="120" t="s">
        <v>9</v>
      </c>
      <c r="H14" s="120" t="s">
        <v>0</v>
      </c>
      <c r="I14" s="125">
        <v>6</v>
      </c>
      <c r="J14" s="115" t="str">
        <f>IF(OR(G$2="",G14="",I14=""),"",IF($BD14="","",IF(G14=$BD14,ABS(I14-$BF14),ABS(I14+$BF14))+IF(G14&lt;&gt;$BD14,$BO$5,0)))</f>
        <v/>
      </c>
      <c r="K14" s="260" t="s">
        <v>9</v>
      </c>
      <c r="L14" s="120" t="s">
        <v>0</v>
      </c>
      <c r="M14" s="125">
        <v>17</v>
      </c>
      <c r="N14" s="115" t="str">
        <f>IF(OR(K$2="",K14="",M14=""),"",IF($BD14="","",IF(K14=$BD14,ABS(M14-$BF14),ABS(M14+$BF14))+IF(K14&lt;&gt;$BD14,$BO$5,0)))</f>
        <v/>
      </c>
      <c r="O14" s="260" t="s">
        <v>9</v>
      </c>
      <c r="P14" s="120" t="s">
        <v>0</v>
      </c>
      <c r="Q14" s="125">
        <v>13</v>
      </c>
      <c r="R14" s="115" t="str">
        <f>IF(OR(O$2="",O14="",Q14=""),"",IF($BD14="","",IF(O14=$BD14,ABS(Q14-$BF14),ABS(Q14+$BF14))+IF(O14&lt;&gt;$BD14,$BO$5,0)))</f>
        <v/>
      </c>
      <c r="S14" s="260" t="s">
        <v>9</v>
      </c>
      <c r="T14" s="120" t="s">
        <v>0</v>
      </c>
      <c r="U14" s="125">
        <v>11</v>
      </c>
      <c r="V14" s="115" t="str">
        <f>IF(OR(S$2="",S14="",U14=""),"",IF($BD14="","",IF(S14=$BD14,ABS(U14-$BF14),ABS(U14+$BF14))+IF(S14&lt;&gt;$BD14,$BO$5,0)))</f>
        <v/>
      </c>
      <c r="W14" s="260" t="s">
        <v>9</v>
      </c>
      <c r="X14" s="120" t="s">
        <v>0</v>
      </c>
      <c r="Y14" s="125">
        <v>10</v>
      </c>
      <c r="Z14" s="115" t="str">
        <f>IF(OR(W$2="",W14="",Y14=""),"",IF($BD14="","",IF(W14=$BD14,ABS(Y14-$BF14),ABS(Y14+$BF14))+IF(W14&lt;&gt;$BD14,$BO$5,0)))</f>
        <v/>
      </c>
      <c r="AA14" s="260" t="s">
        <v>9</v>
      </c>
      <c r="AB14" s="120" t="s">
        <v>0</v>
      </c>
      <c r="AC14" s="125">
        <v>14</v>
      </c>
      <c r="AD14" s="115" t="str">
        <f>IF(OR(AA$2="",AA14="",AC14=""),"",IF($BD14="","",IF(AA14=$BD14,ABS(AC14-$BF14),ABS(AC14+$BF14))+IF(AA14&lt;&gt;$BD14,$BO$5,0)))</f>
        <v/>
      </c>
      <c r="AE14" s="260" t="s">
        <v>9</v>
      </c>
      <c r="AF14" s="120" t="s">
        <v>0</v>
      </c>
      <c r="AG14" s="125">
        <v>3</v>
      </c>
      <c r="AH14" s="115" t="str">
        <f>IF(OR(AE$2="",AE14="",AG14=""),"",IF($BD14="","",IF(AE14=$BD14,ABS(AG14-$BF14),ABS(AG14+$BF14))+IF(AE14&lt;&gt;$BD14,$BO$5,0)))</f>
        <v/>
      </c>
      <c r="AI14" s="260" t="s">
        <v>9</v>
      </c>
      <c r="AJ14" s="120" t="s">
        <v>0</v>
      </c>
      <c r="AK14" s="125">
        <v>9</v>
      </c>
      <c r="AL14" s="115" t="str">
        <f>IF(OR(AI$2="",AI14="",AK14=""),"",IF($BD14="","",IF(AI14=$BD14,ABS(AK14-$BF14),ABS(AK14+$BF14))+IF(AI14&lt;&gt;$BD14,$BO$5,0)))</f>
        <v/>
      </c>
      <c r="AM14" s="260" t="s">
        <v>9</v>
      </c>
      <c r="AN14" s="120" t="s">
        <v>0</v>
      </c>
      <c r="AO14" s="125">
        <v>13</v>
      </c>
      <c r="AP14" s="115" t="str">
        <f>IF(OR(AM$2="",AM14="",AO14=""),"",IF($BD14="","",IF(AM14=$BD14,ABS(AO14-$BF14),ABS(AO14+$BF14))+IF(AM14&lt;&gt;$BD14,$BO$5,0)))</f>
        <v/>
      </c>
      <c r="AQ14" s="260" t="s">
        <v>9</v>
      </c>
      <c r="AR14" s="120" t="s">
        <v>0</v>
      </c>
      <c r="AS14" s="125">
        <v>13</v>
      </c>
      <c r="AT14" s="115" t="str">
        <f>IF(OR(AQ$2="",AQ14="",AS14=""),"",IF($BD14="","",IF(AQ14=$BD14,ABS(AS14-$BF14),ABS(AS14+$BF14))+IF(AQ14&lt;&gt;$BD14,$BO$5,0)))</f>
        <v/>
      </c>
      <c r="AU14" s="260" t="s">
        <v>9</v>
      </c>
      <c r="AV14" s="120" t="s">
        <v>0</v>
      </c>
      <c r="AW14" s="125">
        <v>21</v>
      </c>
      <c r="AX14" s="115" t="str">
        <f>IF(OR(AU$2="",AU14="",AW14=""),"",IF($BD14="","",IF(AU14=$BD14,ABS(AW14-$BF14),ABS(AW14+$BF14))+IF(AU14&lt;&gt;$BD14,$BO$5,0)))</f>
        <v/>
      </c>
      <c r="AY14" s="260" t="s">
        <v>9</v>
      </c>
      <c r="AZ14" s="120" t="s">
        <v>0</v>
      </c>
      <c r="BA14" s="125">
        <v>14</v>
      </c>
      <c r="BB14" s="124" t="str">
        <f>IF(OR(AY$2="",AY14="",BA14=""),"",IF($BD14="","",IF(AY14=$BD14,ABS(BA14-$BF14),ABS(BA14+$BF14))+IF(AY14&lt;&gt;$BD14,$BO$5,0)))</f>
        <v/>
      </c>
      <c r="BC14" s="117"/>
      <c r="BD14" s="118" t="str">
        <f t="shared" si="1"/>
        <v/>
      </c>
      <c r="BE14" s="118" t="s">
        <v>0</v>
      </c>
      <c r="BF14" s="118" t="str">
        <f t="shared" si="2"/>
        <v/>
      </c>
      <c r="BG14" s="118"/>
      <c r="BH14" s="233">
        <f t="shared" si="3"/>
        <v>144</v>
      </c>
      <c r="BI14" s="119" t="str">
        <f t="shared" si="4"/>
        <v>H</v>
      </c>
      <c r="BJ14" s="120" t="s">
        <v>0</v>
      </c>
      <c r="BK14" s="125">
        <f t="shared" si="5"/>
        <v>12</v>
      </c>
      <c r="BL14" s="124" t="str">
        <f t="shared" si="6"/>
        <v/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"Titans","Falcons","Bills","Panthers"</v>
      </c>
      <c r="DT14" s="6" t="str">
        <f>CONCATENATE(CHAR(34),$E$5,CHAR(34),",",CHAR(34),$E$6,CHAR(34),",",CHAR(34),$E$7,CHAR(34),",",CHAR(34),$E$8,CHAR(34))</f>
        <v>"Chiefs","Rams","Jaguars","Saints"</v>
      </c>
    </row>
    <row r="15" spans="1:124" s="6" customFormat="1" ht="15" customHeight="1" x14ac:dyDescent="0.2">
      <c r="A15" s="19"/>
      <c r="B15" s="122"/>
      <c r="C15" s="120" t="s">
        <v>148</v>
      </c>
      <c r="D15" s="120" t="s">
        <v>3</v>
      </c>
      <c r="E15" s="258" t="s">
        <v>153</v>
      </c>
      <c r="F15" s="123"/>
      <c r="G15" s="120" t="s">
        <v>9</v>
      </c>
      <c r="H15" s="120" t="s">
        <v>0</v>
      </c>
      <c r="I15" s="125">
        <v>13</v>
      </c>
      <c r="J15" s="115" t="str">
        <f>IF(OR(G$2="",G15="",I15=""),"",IF($BD15="","",IF(G15=$BD15,ABS(I15-$BF15),ABS(I15+$BF15))+IF(G15&lt;&gt;$BD15,$BO$5,0)))</f>
        <v/>
      </c>
      <c r="K15" s="260" t="s">
        <v>9</v>
      </c>
      <c r="L15" s="120" t="s">
        <v>0</v>
      </c>
      <c r="M15" s="125">
        <v>4</v>
      </c>
      <c r="N15" s="115" t="str">
        <f>IF(OR(K$2="",K15="",M15=""),"",IF($BD15="","",IF(K15=$BD15,ABS(M15-$BF15),ABS(M15+$BF15))+IF(K15&lt;&gt;$BD15,$BO$5,0)))</f>
        <v/>
      </c>
      <c r="O15" s="260" t="s">
        <v>9</v>
      </c>
      <c r="P15" s="120" t="s">
        <v>0</v>
      </c>
      <c r="Q15" s="125">
        <v>7</v>
      </c>
      <c r="R15" s="115" t="str">
        <f>IF(OR(O$2="",O15="",Q15=""),"",IF($BD15="","",IF(O15=$BD15,ABS(Q15-$BF15),ABS(Q15+$BF15))+IF(O15&lt;&gt;$BD15,$BO$5,0)))</f>
        <v/>
      </c>
      <c r="S15" s="260" t="s">
        <v>8</v>
      </c>
      <c r="T15" s="120" t="s">
        <v>0</v>
      </c>
      <c r="U15" s="125">
        <v>2</v>
      </c>
      <c r="V15" s="115" t="str">
        <f>IF(OR(S$2="",S15="",U15=""),"",IF($BD15="","",IF(S15=$BD15,ABS(U15-$BF15),ABS(U15+$BF15))+IF(S15&lt;&gt;$BD15,$BO$5,0)))</f>
        <v/>
      </c>
      <c r="W15" s="260" t="s">
        <v>9</v>
      </c>
      <c r="X15" s="120" t="s">
        <v>0</v>
      </c>
      <c r="Y15" s="125">
        <v>10</v>
      </c>
      <c r="Z15" s="115" t="str">
        <f>IF(OR(W$2="",W15="",Y15=""),"",IF($BD15="","",IF(W15=$BD15,ABS(Y15-$BF15),ABS(Y15+$BF15))+IF(W15&lt;&gt;$BD15,$BO$5,0)))</f>
        <v/>
      </c>
      <c r="AA15" s="260" t="s">
        <v>8</v>
      </c>
      <c r="AB15" s="120" t="s">
        <v>0</v>
      </c>
      <c r="AC15" s="125">
        <v>14</v>
      </c>
      <c r="AD15" s="115" t="str">
        <f>IF(OR(AA$2="",AA15="",AC15=""),"",IF($BD15="","",IF(AA15=$BD15,ABS(AC15-$BF15),ABS(AC15+$BF15))+IF(AA15&lt;&gt;$BD15,$BO$5,0)))</f>
        <v/>
      </c>
      <c r="AE15" s="260" t="s">
        <v>9</v>
      </c>
      <c r="AF15" s="120" t="s">
        <v>0</v>
      </c>
      <c r="AG15" s="125">
        <v>7</v>
      </c>
      <c r="AH15" s="115" t="str">
        <f>IF(OR(AE$2="",AE15="",AG15=""),"",IF($BD15="","",IF(AE15=$BD15,ABS(AG15-$BF15),ABS(AG15+$BF15))+IF(AE15&lt;&gt;$BD15,$BO$5,0)))</f>
        <v/>
      </c>
      <c r="AI15" s="260" t="s">
        <v>9</v>
      </c>
      <c r="AJ15" s="120" t="s">
        <v>0</v>
      </c>
      <c r="AK15" s="125">
        <v>5</v>
      </c>
      <c r="AL15" s="115" t="str">
        <f>IF(OR(AI$2="",AI15="",AK15=""),"",IF($BD15="","",IF(AI15=$BD15,ABS(AK15-$BF15),ABS(AK15+$BF15))+IF(AI15&lt;&gt;$BD15,$BO$5,0)))</f>
        <v/>
      </c>
      <c r="AM15" s="260" t="s">
        <v>9</v>
      </c>
      <c r="AN15" s="120" t="s">
        <v>0</v>
      </c>
      <c r="AO15" s="125">
        <v>1</v>
      </c>
      <c r="AP15" s="115" t="str">
        <f>IF(OR(AM$2="",AM15="",AO15=""),"",IF($BD15="","",IF(AM15=$BD15,ABS(AO15-$BF15),ABS(AO15+$BF15))+IF(AM15&lt;&gt;$BD15,$BO$5,0)))</f>
        <v/>
      </c>
      <c r="AQ15" s="260" t="s">
        <v>9</v>
      </c>
      <c r="AR15" s="120" t="s">
        <v>0</v>
      </c>
      <c r="AS15" s="125">
        <v>7</v>
      </c>
      <c r="AT15" s="115" t="str">
        <f>IF(OR(AQ$2="",AQ15="",AS15=""),"",IF($BD15="","",IF(AQ15=$BD15,ABS(AS15-$BF15),ABS(AS15+$BF15))+IF(AQ15&lt;&gt;$BD15,$BO$5,0)))</f>
        <v/>
      </c>
      <c r="AU15" s="260" t="s">
        <v>9</v>
      </c>
      <c r="AV15" s="120" t="s">
        <v>0</v>
      </c>
      <c r="AW15" s="125">
        <v>17</v>
      </c>
      <c r="AX15" s="115" t="str">
        <f>IF(OR(AU$2="",AU15="",AW15=""),"",IF($BD15="","",IF(AU15=$BD15,ABS(AW15-$BF15),ABS(AW15+$BF15))+IF(AU15&lt;&gt;$BD15,$BO$5,0)))</f>
        <v/>
      </c>
      <c r="AY15" s="260" t="s">
        <v>9</v>
      </c>
      <c r="AZ15" s="120" t="s">
        <v>0</v>
      </c>
      <c r="BA15" s="125">
        <v>3</v>
      </c>
      <c r="BB15" s="124" t="str">
        <f>IF(OR(AY$2="",AY15="",BA15=""),"",IF($BD15="","",IF(AY15=$BD15,ABS(BA15-$BF15),ABS(BA15+$BF15))+IF(AY15&lt;&gt;$BD15,$BO$5,0)))</f>
        <v/>
      </c>
      <c r="BC15" s="117"/>
      <c r="BD15" s="118" t="str">
        <f t="shared" si="1"/>
        <v/>
      </c>
      <c r="BE15" s="118" t="s">
        <v>0</v>
      </c>
      <c r="BF15" s="118" t="str">
        <f t="shared" si="2"/>
        <v/>
      </c>
      <c r="BG15" s="118"/>
      <c r="BH15" s="233">
        <f t="shared" si="3"/>
        <v>58</v>
      </c>
      <c r="BI15" s="119" t="str">
        <f t="shared" si="4"/>
        <v>H</v>
      </c>
      <c r="BJ15" s="120" t="s">
        <v>0</v>
      </c>
      <c r="BK15" s="125">
        <f t="shared" si="5"/>
        <v>5</v>
      </c>
      <c r="BL15" s="124" t="str">
        <f t="shared" si="6"/>
        <v/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"Falcons","Titans","Jaguars","Saints"</v>
      </c>
      <c r="DT15" s="6" t="str">
        <f>CONCATENATE(CHAR(34),$E$13,CHAR(34),",",CHAR(34),$E$14,CHAR(34),",",CHAR(34),$E$15,CHAR(34),",",CHAR(34),$E$16,CHAR(34))</f>
        <v>"Eagles","Patriots","Steelers","Vikings"</v>
      </c>
    </row>
    <row r="16" spans="1:124" s="6" customFormat="1" ht="15" customHeight="1" x14ac:dyDescent="0.2">
      <c r="A16" s="19"/>
      <c r="B16" s="126"/>
      <c r="C16" s="128" t="s">
        <v>150</v>
      </c>
      <c r="D16" s="128" t="s">
        <v>3</v>
      </c>
      <c r="E16" s="259" t="s">
        <v>154</v>
      </c>
      <c r="F16" s="130"/>
      <c r="G16" s="128" t="s">
        <v>9</v>
      </c>
      <c r="H16" s="128" t="s">
        <v>0</v>
      </c>
      <c r="I16" s="136">
        <v>5</v>
      </c>
      <c r="J16" s="133" t="str">
        <f>IF(OR(G$2="",G16="",I16=""),"",IF($BD16="","",IF(G16=$BD16,ABS(I16-$BF16),ABS(I16+$BF16))+IF(G16&lt;&gt;$BD16,$BO$5,0)))</f>
        <v/>
      </c>
      <c r="K16" s="261" t="s">
        <v>8</v>
      </c>
      <c r="L16" s="128" t="s">
        <v>0</v>
      </c>
      <c r="M16" s="136">
        <v>7</v>
      </c>
      <c r="N16" s="133" t="str">
        <f>IF(OR(K$2="",K16="",M16=""),"",IF($BD16="","",IF(K16=$BD16,ABS(M16-$BF16),ABS(M16+$BF16))+IF(K16&lt;&gt;$BD16,$BO$5,0)))</f>
        <v/>
      </c>
      <c r="O16" s="261" t="s">
        <v>9</v>
      </c>
      <c r="P16" s="128" t="s">
        <v>0</v>
      </c>
      <c r="Q16" s="136">
        <v>5</v>
      </c>
      <c r="R16" s="133" t="str">
        <f>IF(OR(O$2="",O16="",Q16=""),"",IF($BD16="","",IF(O16=$BD16,ABS(Q16-$BF16),ABS(Q16+$BF16))+IF(O16&lt;&gt;$BD16,$BO$5,0)))</f>
        <v/>
      </c>
      <c r="S16" s="261" t="s">
        <v>8</v>
      </c>
      <c r="T16" s="128" t="s">
        <v>0</v>
      </c>
      <c r="U16" s="136">
        <v>5</v>
      </c>
      <c r="V16" s="133" t="str">
        <f>IF(OR(S$2="",S16="",U16=""),"",IF($BD16="","",IF(S16=$BD16,ABS(U16-$BF16),ABS(U16+$BF16))+IF(S16&lt;&gt;$BD16,$BO$5,0)))</f>
        <v/>
      </c>
      <c r="W16" s="261" t="s">
        <v>8</v>
      </c>
      <c r="X16" s="128" t="s">
        <v>0</v>
      </c>
      <c r="Y16" s="136">
        <v>7</v>
      </c>
      <c r="Z16" s="133" t="str">
        <f>IF(OR(W$2="",W16="",Y16=""),"",IF($BD16="","",IF(W16=$BD16,ABS(Y16-$BF16),ABS(Y16+$BF16))+IF(W16&lt;&gt;$BD16,$BO$5,0)))</f>
        <v/>
      </c>
      <c r="AA16" s="261" t="s">
        <v>8</v>
      </c>
      <c r="AB16" s="128" t="s">
        <v>0</v>
      </c>
      <c r="AC16" s="136">
        <v>14</v>
      </c>
      <c r="AD16" s="133" t="str">
        <f>IF(OR(AA$2="",AA16="",AC16=""),"",IF($BD16="","",IF(AA16=$BD16,ABS(AC16-$BF16),ABS(AC16+$BF16))+IF(AA16&lt;&gt;$BD16,$BO$5,0)))</f>
        <v/>
      </c>
      <c r="AE16" s="261" t="s">
        <v>8</v>
      </c>
      <c r="AF16" s="128" t="s">
        <v>0</v>
      </c>
      <c r="AG16" s="136">
        <v>7</v>
      </c>
      <c r="AH16" s="133" t="str">
        <f>IF(OR(AE$2="",AE16="",AG16=""),"",IF($BD16="","",IF(AE16=$BD16,ABS(AG16-$BF16),ABS(AG16+$BF16))+IF(AE16&lt;&gt;$BD16,$BO$5,0)))</f>
        <v/>
      </c>
      <c r="AI16" s="261" t="s">
        <v>9</v>
      </c>
      <c r="AJ16" s="128" t="s">
        <v>0</v>
      </c>
      <c r="AK16" s="136">
        <v>3</v>
      </c>
      <c r="AL16" s="133" t="str">
        <f>IF(OR(AI$2="",AI16="",AK16=""),"",IF($BD16="","",IF(AI16=$BD16,ABS(AK16-$BF16),ABS(AK16+$BF16))+IF(AI16&lt;&gt;$BD16,$BO$5,0)))</f>
        <v/>
      </c>
      <c r="AM16" s="261" t="s">
        <v>8</v>
      </c>
      <c r="AN16" s="128" t="s">
        <v>0</v>
      </c>
      <c r="AO16" s="136">
        <v>1</v>
      </c>
      <c r="AP16" s="133" t="str">
        <f>IF(OR(AM$2="",AM16="",AO16=""),"",IF($BD16="","",IF(AM16=$BD16,ABS(AO16-$BF16),ABS(AO16+$BF16))+IF(AM16&lt;&gt;$BD16,$BO$5,0)))</f>
        <v/>
      </c>
      <c r="AQ16" s="261" t="s">
        <v>9</v>
      </c>
      <c r="AR16" s="128" t="s">
        <v>0</v>
      </c>
      <c r="AS16" s="136">
        <v>5</v>
      </c>
      <c r="AT16" s="133" t="str">
        <f>IF(OR(AQ$2="",AQ16="",AS16=""),"",IF($BD16="","",IF(AQ16=$BD16,ABS(AS16-$BF16),ABS(AS16+$BF16))+IF(AQ16&lt;&gt;$BD16,$BO$5,0)))</f>
        <v/>
      </c>
      <c r="AU16" s="261" t="s">
        <v>8</v>
      </c>
      <c r="AV16" s="128" t="s">
        <v>0</v>
      </c>
      <c r="AW16" s="136">
        <v>7</v>
      </c>
      <c r="AX16" s="133" t="str">
        <f>IF(OR(AU$2="",AU16="",AW16=""),"",IF($BD16="","",IF(AU16=$BD16,ABS(AW16-$BF16),ABS(AW16+$BF16))+IF(AU16&lt;&gt;$BD16,$BO$5,0)))</f>
        <v/>
      </c>
      <c r="AY16" s="261" t="s">
        <v>9</v>
      </c>
      <c r="AZ16" s="128" t="s">
        <v>0</v>
      </c>
      <c r="BA16" s="136">
        <v>1</v>
      </c>
      <c r="BB16" s="134" t="str">
        <f>IF(OR(AY$2="",AY16="",BA16=""),"",IF($BD16="","",IF(AY16=$BD16,ABS(BA16-$BF16),ABS(BA16+$BF16))+IF(AY16&lt;&gt;$BD16,$BO$5,0)))</f>
        <v/>
      </c>
      <c r="BC16" s="117"/>
      <c r="BD16" s="118" t="str">
        <f t="shared" si="1"/>
        <v/>
      </c>
      <c r="BE16" s="118" t="s">
        <v>0</v>
      </c>
      <c r="BF16" s="118" t="str">
        <f t="shared" si="2"/>
        <v/>
      </c>
      <c r="BG16" s="118"/>
      <c r="BH16" s="233">
        <f t="shared" si="3"/>
        <v>-29</v>
      </c>
      <c r="BI16" s="135" t="str">
        <f t="shared" si="4"/>
        <v>V</v>
      </c>
      <c r="BJ16" s="128" t="s">
        <v>0</v>
      </c>
      <c r="BK16" s="136">
        <f t="shared" si="5"/>
        <v>2</v>
      </c>
      <c r="BL16" s="134" t="str">
        <f t="shared" si="6"/>
        <v/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 t="str">
        <f>IF(SUM(B16,F16)=0,"",SUM(B16,F16))</f>
        <v/>
      </c>
      <c r="G17" s="94"/>
      <c r="H17" s="95" t="s">
        <v>62</v>
      </c>
      <c r="I17" s="101">
        <v>44</v>
      </c>
      <c r="J17" s="104" t="str">
        <f>IF(OR($F17="",I17="",J18=""),"",IF(AND(COUNTIF($J39:$BB39,J39)&gt;1,RANK(J39,$J39:$BB39,1)=1),$F17-I17,""))</f>
        <v/>
      </c>
      <c r="K17" s="262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62"/>
      <c r="P17" s="95" t="s">
        <v>62</v>
      </c>
      <c r="Q17" s="101">
        <v>46</v>
      </c>
      <c r="R17" s="104" t="str">
        <f>IF(OR($F17="",Q17="",R18=""),"",IF(AND(COUNTIF($J39:$BB39,R39)&gt;1,RANK(R39,$J39:$BB39,1)=1),$F17-Q17,""))</f>
        <v/>
      </c>
      <c r="S17" s="262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62"/>
      <c r="X17" s="95" t="s">
        <v>62</v>
      </c>
      <c r="Y17" s="101">
        <v>51</v>
      </c>
      <c r="Z17" s="104" t="str">
        <f>IF(OR($F17="",Y17="",Z18=""),"",IF(AND(COUNTIF($J39:$BB39,Z39)&gt;1,RANK(Z39,$J39:$BB39,1)=1),$F17-Y17,""))</f>
        <v/>
      </c>
      <c r="AA17" s="262"/>
      <c r="AB17" s="95" t="s">
        <v>62</v>
      </c>
      <c r="AC17" s="101">
        <v>56</v>
      </c>
      <c r="AD17" s="104" t="str">
        <f>IF(OR($F17="",AC17="",AD18=""),"",IF(AND(COUNTIF($J39:$BB39,AD39)&gt;1,RANK(AD39,$J39:$BB39,1)=1),$F17-AC17,""))</f>
        <v/>
      </c>
      <c r="AE17" s="262"/>
      <c r="AF17" s="95" t="s">
        <v>62</v>
      </c>
      <c r="AG17" s="101">
        <v>38</v>
      </c>
      <c r="AH17" s="104" t="str">
        <f>IF(OR($F17="",AG17="",AH18=""),"",IF(AND(COUNTIF($J39:$BB39,AH39)&gt;1,RANK(AH39,$J39:$BB39,1)=1),$F17-AG17,""))</f>
        <v/>
      </c>
      <c r="AI17" s="262"/>
      <c r="AJ17" s="95" t="s">
        <v>62</v>
      </c>
      <c r="AK17" s="101">
        <v>53</v>
      </c>
      <c r="AL17" s="104" t="str">
        <f>IF(OR($F17="",AK17="",AL18=""),"",IF(AND(COUNTIF($J39:$BB39,AL39)&gt;1,RANK(AL39,$J39:$BB39,1)=1),$F17-AK17,""))</f>
        <v/>
      </c>
      <c r="AM17" s="262"/>
      <c r="AN17" s="95" t="s">
        <v>62</v>
      </c>
      <c r="AO17" s="101">
        <v>47</v>
      </c>
      <c r="AP17" s="104" t="str">
        <f>IF(OR($F17="",AO17="",AP18=""),"",IF(AND(COUNTIF($J39:$BB39,AP39)&gt;1,RANK(AP39,$J39:$BB39,1)=1),$F17-AO17,""))</f>
        <v/>
      </c>
      <c r="AQ17" s="262"/>
      <c r="AR17" s="95" t="s">
        <v>62</v>
      </c>
      <c r="AS17" s="101">
        <v>46</v>
      </c>
      <c r="AT17" s="104" t="str">
        <f>IF(OR($F17="",AS17="",AT18=""),"",IF(AND(COUNTIF($J39:$BB39,AT39)&gt;1,RANK(AT39,$J39:$BB39,1)=1),$F17-AS17,""))</f>
        <v/>
      </c>
      <c r="AU17" s="262"/>
      <c r="AV17" s="95" t="s">
        <v>62</v>
      </c>
      <c r="AW17" s="101">
        <v>48</v>
      </c>
      <c r="AX17" s="104" t="str">
        <f>IF(OR($F17="",AW17="",AX18=""),"",IF(AND(COUNTIF($J39:$BB39,AX39)&gt;1,RANK(AX39,$J39:$BB39,1)=1),$F17-AW17,""))</f>
        <v/>
      </c>
      <c r="AY17" s="262"/>
      <c r="AZ17" s="95" t="s">
        <v>62</v>
      </c>
      <c r="BA17" s="101">
        <v>38</v>
      </c>
      <c r="BB17" s="105" t="str">
        <f>IF(OR($F17="",BA17="",BB18=""),"",IF(AND(COUNTIF($J39:$BB39,BB39)&gt;1,RANK(BB39,$J39:$BB39,1)=1),$F17-BA17,""))</f>
        <v/>
      </c>
      <c r="BC17" s="145"/>
      <c r="BD17" s="118"/>
      <c r="BE17" s="118"/>
      <c r="BF17" s="118"/>
      <c r="BG17" s="118"/>
      <c r="BH17" s="234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47</v>
      </c>
      <c r="BL17" s="105" t="str">
        <f>IF(OR($F17="",BK17=""),"",$F17-BK17)</f>
        <v/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8"/>
      <c r="C18" s="167"/>
      <c r="D18" s="167"/>
      <c r="E18" s="169"/>
      <c r="F18" s="238" t="s">
        <v>78</v>
      </c>
      <c r="G18" s="174"/>
      <c r="H18" s="148" t="s">
        <v>2</v>
      </c>
      <c r="I18" s="149">
        <f>IF(J18="","",IF(OR(RANK(J39,$J39:$BB39,1)&gt;1,AND(RANK(J39,$J39:$BB39,1)=1,COUNTIF($J39:$BB39,J39)=1)),RANK(J39,$J39:$BB39,1),IF(MIN($J58:$BB58)=J58,1,COUNTIF($J58:$BB58,MIN($J58:$BB58))+1)))</f>
        <v>1</v>
      </c>
      <c r="J18" s="247">
        <f>IF(G$2="","",(IF(AND(COUNTBLANK(G13:G16)=0,COUNTBLANK(I13:I16)=0),(SUM(J13:J16))*$BO$18,"")))</f>
        <v>0</v>
      </c>
      <c r="K18" s="147"/>
      <c r="L18" s="148" t="s">
        <v>2</v>
      </c>
      <c r="M18" s="149">
        <f>IF(N18="","",IF(OR(RANK(N39,$J39:$BB39,1)&gt;1,AND(RANK(N39,$J39:$BB39,1)=1,COUNTIF($J39:$BB39,N39)=1)),RANK(N39,$J39:$BB39,1),IF(MIN($J58:$BB58)=N58,1,COUNTIF($J58:$BB58,MIN($J58:$BB58))+1)))</f>
        <v>1</v>
      </c>
      <c r="N18" s="247">
        <f>IF(K$2="","",(IF(AND(COUNTBLANK(K13:K16)=0,COUNTBLANK(M13:M16)=0),(SUM(N13:N16))*$BO$18,"")))</f>
        <v>0</v>
      </c>
      <c r="O18" s="147"/>
      <c r="P18" s="148" t="s">
        <v>2</v>
      </c>
      <c r="Q18" s="149">
        <f>IF(R18="","",IF(OR(RANK(R39,$J39:$BB39,1)&gt;1,AND(RANK(R39,$J39:$BB39,1)=1,COUNTIF($J39:$BB39,R39)=1)),RANK(R39,$J39:$BB39,1),IF(MIN($J58:$BB58)=R58,1,COUNTIF($J58:$BB58,MIN($J58:$BB58))+1)))</f>
        <v>1</v>
      </c>
      <c r="R18" s="247">
        <f>IF(O$2="","",(IF(AND(COUNTBLANK(O13:O16)=0,COUNTBLANK(Q13:Q16)=0),(SUM(R13:R16))*$BO$18,"")))</f>
        <v>0</v>
      </c>
      <c r="S18" s="147"/>
      <c r="T18" s="148" t="s">
        <v>2</v>
      </c>
      <c r="U18" s="149">
        <f>IF(V18="","",IF(OR(RANK(V39,$J39:$BB39,1)&gt;1,AND(RANK(V39,$J39:$BB39,1)=1,COUNTIF($J39:$BB39,V39)=1)),RANK(V39,$J39:$BB39,1),IF(MIN($J58:$BB58)=V58,1,COUNTIF($J58:$BB58,MIN($J58:$BB58))+1)))</f>
        <v>1</v>
      </c>
      <c r="V18" s="247">
        <f>IF(S$2="","",(IF(AND(COUNTBLANK(S13:S16)=0,COUNTBLANK(U13:U16)=0),(SUM(V13:V16))*$BO$18,"")))</f>
        <v>0</v>
      </c>
      <c r="W18" s="147"/>
      <c r="X18" s="148" t="s">
        <v>2</v>
      </c>
      <c r="Y18" s="149">
        <f>IF(Z18="","",IF(OR(RANK(Z39,$J39:$BB39,1)&gt;1,AND(RANK(Z39,$J39:$BB39,1)=1,COUNTIF($J39:$BB39,Z39)=1)),RANK(Z39,$J39:$BB39,1),IF(MIN($J58:$BB58)=Z58,1,COUNTIF($J58:$BB58,MIN($J58:$BB58))+1)))</f>
        <v>1</v>
      </c>
      <c r="Z18" s="247">
        <f>IF(W$2="","",(IF(AND(COUNTBLANK(W13:W16)=0,COUNTBLANK(Y13:Y16)=0),(SUM(Z13:Z16))*$BO$18,"")))</f>
        <v>0</v>
      </c>
      <c r="AA18" s="147"/>
      <c r="AB18" s="148" t="s">
        <v>2</v>
      </c>
      <c r="AC18" s="149">
        <f>IF(AD18="","",IF(OR(RANK(AD39,$J39:$BB39,1)&gt;1,AND(RANK(AD39,$J39:$BB39,1)=1,COUNTIF($J39:$BB39,AD39)=1)),RANK(AD39,$J39:$BB39,1),IF(MIN($J58:$BB58)=AD58,1,COUNTIF($J58:$BB58,MIN($J58:$BB58))+1)))</f>
        <v>1</v>
      </c>
      <c r="AD18" s="247">
        <f>IF(AA$2="","",(IF(AND(COUNTBLANK(AA13:AA16)=0,COUNTBLANK(AC13:AC16)=0),(SUM(AD13:AD16))*$BO$18,"")))</f>
        <v>0</v>
      </c>
      <c r="AE18" s="147"/>
      <c r="AF18" s="148" t="s">
        <v>2</v>
      </c>
      <c r="AG18" s="149">
        <f>IF(AH18="","",IF(OR(RANK(AH39,$J39:$BB39,1)&gt;1,AND(RANK(AH39,$J39:$BB39,1)=1,COUNTIF($J39:$BB39,AH39)=1)),RANK(AH39,$J39:$BB39,1),IF(MIN($J58:$BB58)=AH58,1,COUNTIF($J58:$BB58,MIN($J58:$BB58))+1)))</f>
        <v>1</v>
      </c>
      <c r="AH18" s="247">
        <f>IF(AE$2="","",(IF(AND(COUNTBLANK(AE13:AE16)=0,COUNTBLANK(AG13:AG16)=0),(SUM(AH13:AH16))*$BO$18,"")))</f>
        <v>0</v>
      </c>
      <c r="AI18" s="147"/>
      <c r="AJ18" s="148" t="s">
        <v>2</v>
      </c>
      <c r="AK18" s="149">
        <f>IF(AL18="","",IF(OR(RANK(AL39,$J39:$BB39,1)&gt;1,AND(RANK(AL39,$J39:$BB39,1)=1,COUNTIF($J39:$BB39,AL39)=1)),RANK(AL39,$J39:$BB39,1),IF(MIN($J58:$BB58)=AL58,1,COUNTIF($J58:$BB58,MIN($J58:$BB58))+1)))</f>
        <v>1</v>
      </c>
      <c r="AL18" s="247">
        <f>IF(AI$2="","",(IF(AND(COUNTBLANK(AI13:AI16)=0,COUNTBLANK(AK13:AK16)=0),(SUM(AL13:AL16))*$BO$18,"")))</f>
        <v>0</v>
      </c>
      <c r="AM18" s="147"/>
      <c r="AN18" s="148" t="s">
        <v>2</v>
      </c>
      <c r="AO18" s="149">
        <f>IF(AP18="","",IF(OR(RANK(AP39,$J39:$BB39,1)&gt;1,AND(RANK(AP39,$J39:$BB39,1)=1,COUNTIF($J39:$BB39,AP39)=1)),RANK(AP39,$J39:$BB39,1),IF(MIN($J58:$BB58)=AP58,1,COUNTIF($J58:$BB58,MIN($J58:$BB58))+1)))</f>
        <v>1</v>
      </c>
      <c r="AP18" s="247">
        <f>IF(AM$2="","",(IF(AND(COUNTBLANK(AM13:AM16)=0,COUNTBLANK(AO13:AO16)=0),(SUM(AP13:AP16))*$BO$18,"")))</f>
        <v>0</v>
      </c>
      <c r="AQ18" s="147"/>
      <c r="AR18" s="148" t="s">
        <v>2</v>
      </c>
      <c r="AS18" s="149">
        <f>IF(AT18="","",IF(OR(RANK(AT39,$J39:$BB39,1)&gt;1,AND(RANK(AT39,$J39:$BB39,1)=1,COUNTIF($J39:$BB39,AT39)=1)),RANK(AT39,$J39:$BB39,1),IF(MIN($J58:$BB58)=AT58,1,COUNTIF($J58:$BB58,MIN($J58:$BB58))+1)))</f>
        <v>1</v>
      </c>
      <c r="AT18" s="247">
        <f>IF(AQ$2="","",(IF(AND(COUNTBLANK(AQ13:AQ16)=0,COUNTBLANK(AS13:AS16)=0),(SUM(AT13:AT16))*$BO$18,"")))</f>
        <v>0</v>
      </c>
      <c r="AU18" s="147"/>
      <c r="AV18" s="148" t="s">
        <v>2</v>
      </c>
      <c r="AW18" s="149">
        <f>IF(AX18="","",IF(OR(RANK(AX39,$J39:$BB39,1)&gt;1,AND(RANK(AX39,$J39:$BB39,1)=1,COUNTIF($J39:$BB39,AX39)=1)),RANK(AX39,$J39:$BB39,1),IF(MIN($J58:$BB58)=AX58,1,COUNTIF($J58:$BB58,MIN($J58:$BB58))+1)))</f>
        <v>1</v>
      </c>
      <c r="AX18" s="247">
        <f>IF(AU$2="","",(IF(AND(COUNTBLANK(AU13:AU16)=0,COUNTBLANK(AW13:AW16)=0),(SUM(AX13:AX16))*$BO$18,"")))</f>
        <v>0</v>
      </c>
      <c r="AY18" s="154"/>
      <c r="AZ18" s="152" t="s">
        <v>2</v>
      </c>
      <c r="BA18" s="153">
        <f>IF(BB18="","",IF(OR(RANK(BB39,$J39:$BB39,1)&gt;1,AND(RANK(BB39,$J39:$BB39,1)=1,COUNTIF($J39:$BB39,BB39)=1)),RANK(BB39,$J39:$BB39,1),IF(MIN($J58:$BB58)=BB58,1,COUNTIF($J58:$BB58,MIN($J58:$BB58))+1)))</f>
        <v>1</v>
      </c>
      <c r="BB18" s="248">
        <f>IF(AY$2="","",(IF(AND(COUNTBLANK(AY13:AY16)=0,COUNTBLANK(BA13:BA16)=0),(SUM(BB13:BB16))*$BO$18,"")))</f>
        <v>0</v>
      </c>
      <c r="BC18" s="117"/>
      <c r="BD18" s="117"/>
      <c r="BE18" s="117"/>
      <c r="BF18" s="117"/>
      <c r="BG18" s="117"/>
      <c r="BH18" s="234"/>
      <c r="BI18" s="151"/>
      <c r="BJ18" s="152" t="s">
        <v>2</v>
      </c>
      <c r="BK18" s="153">
        <f>IF(BL18="","",RANK(BL39,$J39:$BL39,1))</f>
        <v>1</v>
      </c>
      <c r="BL18" s="248">
        <f>IF(AND(COUNTBLANK(BI13:BI16)=0,COUNTBLANK(BK13:BK16)=0),(SUM(BL13:BL16))*$BO$18,"")</f>
        <v>0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9"/>
      <c r="C19" s="102"/>
      <c r="D19" s="102"/>
      <c r="E19" s="170"/>
      <c r="F19" s="180"/>
      <c r="G19" s="175"/>
      <c r="H19" s="156"/>
      <c r="I19" s="175"/>
      <c r="J19" s="181"/>
      <c r="K19" s="175"/>
      <c r="L19" s="156"/>
      <c r="M19" s="175"/>
      <c r="N19" s="181"/>
      <c r="O19" s="175"/>
      <c r="P19" s="156"/>
      <c r="Q19" s="175"/>
      <c r="R19" s="181"/>
      <c r="S19" s="175"/>
      <c r="T19" s="156"/>
      <c r="U19" s="175"/>
      <c r="V19" s="181"/>
      <c r="W19" s="175"/>
      <c r="X19" s="156"/>
      <c r="Y19" s="175"/>
      <c r="Z19" s="181"/>
      <c r="AA19" s="175"/>
      <c r="AB19" s="156"/>
      <c r="AC19" s="175"/>
      <c r="AD19" s="181"/>
      <c r="AE19" s="175"/>
      <c r="AF19" s="156"/>
      <c r="AG19" s="175"/>
      <c r="AH19" s="181"/>
      <c r="AI19" s="175"/>
      <c r="AJ19" s="156"/>
      <c r="AK19" s="175"/>
      <c r="AL19" s="181"/>
      <c r="AM19" s="175"/>
      <c r="AN19" s="156"/>
      <c r="AO19" s="175"/>
      <c r="AP19" s="181"/>
      <c r="AQ19" s="175"/>
      <c r="AR19" s="156"/>
      <c r="AS19" s="175"/>
      <c r="AT19" s="181"/>
      <c r="AU19" s="175"/>
      <c r="AV19" s="156"/>
      <c r="AW19" s="175"/>
      <c r="AX19" s="181"/>
      <c r="AY19" s="175"/>
      <c r="AZ19" s="156"/>
      <c r="BA19" s="175"/>
      <c r="BB19" s="157"/>
      <c r="BC19" s="117"/>
      <c r="BD19" s="117"/>
      <c r="BE19" s="117"/>
      <c r="BF19" s="117"/>
      <c r="BG19" s="117"/>
      <c r="BH19" s="235"/>
      <c r="BI19" s="155"/>
      <c r="BJ19" s="156"/>
      <c r="BK19" s="175"/>
      <c r="BL19" s="15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82" t="s">
        <v>125</v>
      </c>
      <c r="C20" s="283"/>
      <c r="D20" s="283"/>
      <c r="E20" s="283"/>
      <c r="F20" s="284"/>
      <c r="G20" s="239"/>
      <c r="H20" s="239" t="s">
        <v>127</v>
      </c>
      <c r="I20" s="240"/>
      <c r="J20" s="241" t="s">
        <v>1</v>
      </c>
      <c r="K20" s="242"/>
      <c r="L20" s="239" t="s">
        <v>127</v>
      </c>
      <c r="M20" s="240"/>
      <c r="N20" s="241" t="s">
        <v>1</v>
      </c>
      <c r="O20" s="242"/>
      <c r="P20" s="239" t="s">
        <v>127</v>
      </c>
      <c r="Q20" s="240"/>
      <c r="R20" s="241" t="s">
        <v>1</v>
      </c>
      <c r="S20" s="242"/>
      <c r="T20" s="239" t="s">
        <v>127</v>
      </c>
      <c r="U20" s="240"/>
      <c r="V20" s="241" t="s">
        <v>1</v>
      </c>
      <c r="W20" s="242"/>
      <c r="X20" s="239" t="s">
        <v>127</v>
      </c>
      <c r="Y20" s="240"/>
      <c r="Z20" s="241" t="s">
        <v>1</v>
      </c>
      <c r="AA20" s="242"/>
      <c r="AB20" s="239" t="s">
        <v>127</v>
      </c>
      <c r="AC20" s="240"/>
      <c r="AD20" s="241" t="s">
        <v>1</v>
      </c>
      <c r="AE20" s="242"/>
      <c r="AF20" s="239" t="s">
        <v>127</v>
      </c>
      <c r="AG20" s="240"/>
      <c r="AH20" s="241" t="s">
        <v>1</v>
      </c>
      <c r="AI20" s="242"/>
      <c r="AJ20" s="239" t="s">
        <v>127</v>
      </c>
      <c r="AK20" s="240"/>
      <c r="AL20" s="241" t="s">
        <v>1</v>
      </c>
      <c r="AM20" s="242"/>
      <c r="AN20" s="239" t="s">
        <v>127</v>
      </c>
      <c r="AO20" s="240"/>
      <c r="AP20" s="241" t="s">
        <v>1</v>
      </c>
      <c r="AQ20" s="242"/>
      <c r="AR20" s="239" t="s">
        <v>127</v>
      </c>
      <c r="AS20" s="240"/>
      <c r="AT20" s="241" t="s">
        <v>1</v>
      </c>
      <c r="AU20" s="242"/>
      <c r="AV20" s="239" t="s">
        <v>127</v>
      </c>
      <c r="AW20" s="240"/>
      <c r="AX20" s="241" t="s">
        <v>1</v>
      </c>
      <c r="AY20" s="242"/>
      <c r="AZ20" s="239" t="s">
        <v>127</v>
      </c>
      <c r="BA20" s="240"/>
      <c r="BB20" s="243" t="s">
        <v>1</v>
      </c>
      <c r="BC20" s="117"/>
      <c r="BD20" s="146"/>
      <c r="BE20" s="146"/>
      <c r="BF20" s="146"/>
      <c r="BG20" s="146"/>
      <c r="BH20" s="235"/>
      <c r="BI20" s="242"/>
      <c r="BJ20" s="239" t="s">
        <v>127</v>
      </c>
      <c r="BK20" s="240"/>
      <c r="BL20" s="243" t="s">
        <v>1</v>
      </c>
      <c r="BM20" s="25"/>
      <c r="BO20" s="16">
        <f>COUNTIF(J38:BB38,1)</f>
        <v>12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"7",</v>
      </c>
      <c r="DM20" s="24"/>
      <c r="DN20" s="24"/>
    </row>
    <row r="21" spans="1:124" s="6" customFormat="1" ht="15" customHeight="1" x14ac:dyDescent="0.2">
      <c r="A21" s="19"/>
      <c r="B21" s="107"/>
      <c r="C21" s="108"/>
      <c r="D21" s="109" t="s">
        <v>3</v>
      </c>
      <c r="E21" s="110"/>
      <c r="F21" s="123"/>
      <c r="G21" s="113"/>
      <c r="H21" s="113" t="s">
        <v>0</v>
      </c>
      <c r="I21" s="114"/>
      <c r="J21" s="115" t="str">
        <f>IF(OR(G$2="",G21="",I21=""),"",IF($BD21="","",IF(G21=$BD21,ABS(I21-$BF21),ABS(I21+$BF21))+IF(G21&lt;&gt;$BD21,$BO$5,0)))</f>
        <v/>
      </c>
      <c r="K21" s="112"/>
      <c r="L21" s="113" t="s">
        <v>0</v>
      </c>
      <c r="M21" s="114"/>
      <c r="N21" s="115" t="str">
        <f>IF(OR(K$2="",K21="",M21=""),"",IF($BD21="","",IF(K21=$BD21,ABS(M21-$BF21),ABS(M21+$BF21))+IF(K21&lt;&gt;$BD21,$BO$5,0)))</f>
        <v/>
      </c>
      <c r="O21" s="112"/>
      <c r="P21" s="113" t="s">
        <v>0</v>
      </c>
      <c r="Q21" s="114"/>
      <c r="R21" s="115" t="str">
        <f>IF(OR(O$2="",O21="",Q21=""),"",IF($BD21="","",IF(O21=$BD21,ABS(Q21-$BF21),ABS(Q21+$BF21))+IF(O21&lt;&gt;$BD21,$BO$5,0)))</f>
        <v/>
      </c>
      <c r="S21" s="112"/>
      <c r="T21" s="113" t="s">
        <v>0</v>
      </c>
      <c r="U21" s="114"/>
      <c r="V21" s="115" t="str">
        <f>IF(OR(S$2="",S21="",U21=""),"",IF($BD21="","",IF(S21=$BD21,ABS(U21-$BF21),ABS(U21+$BF21))+IF(S21&lt;&gt;$BD21,$BO$5,0)))</f>
        <v/>
      </c>
      <c r="W21" s="112"/>
      <c r="X21" s="113" t="s">
        <v>0</v>
      </c>
      <c r="Y21" s="114"/>
      <c r="Z21" s="115" t="str">
        <f>IF(OR(W$2="",W21="",Y21=""),"",IF($BD21="","",IF(W21=$BD21,ABS(Y21-$BF21),ABS(Y21+$BF21))+IF(W21&lt;&gt;$BD21,$BO$5,0)))</f>
        <v/>
      </c>
      <c r="AA21" s="112"/>
      <c r="AB21" s="113" t="s">
        <v>0</v>
      </c>
      <c r="AC21" s="114"/>
      <c r="AD21" s="115" t="str">
        <f>IF(OR(AA$2="",AA21="",AC21=""),"",IF($BD21="","",IF(AA21=$BD21,ABS(AC21-$BF21),ABS(AC21+$BF21))+IF(AA21&lt;&gt;$BD21,$BO$5,0)))</f>
        <v/>
      </c>
      <c r="AE21" s="112"/>
      <c r="AF21" s="113" t="s">
        <v>0</v>
      </c>
      <c r="AG21" s="114"/>
      <c r="AH21" s="115" t="str">
        <f>IF(OR(AE$2="",AE21="",AG21=""),"",IF($BD21="","",IF(AE21=$BD21,ABS(AG21-$BF21),ABS(AG21+$BF21))+IF(AE21&lt;&gt;$BD21,$BO$5,0)))</f>
        <v/>
      </c>
      <c r="AI21" s="112"/>
      <c r="AJ21" s="113" t="s">
        <v>0</v>
      </c>
      <c r="AK21" s="114"/>
      <c r="AL21" s="115" t="str">
        <f>IF(OR(AI$2="",AI21="",AK21=""),"",IF($BD21="","",IF(AI21=$BD21,ABS(AK21-$BF21),ABS(AK21+$BF21))+IF(AI21&lt;&gt;$BD21,$BO$5,0)))</f>
        <v/>
      </c>
      <c r="AM21" s="112"/>
      <c r="AN21" s="113" t="s">
        <v>0</v>
      </c>
      <c r="AO21" s="114"/>
      <c r="AP21" s="115" t="str">
        <f>IF(OR(AM$2="",AM21="",AO21=""),"",IF($BD21="","",IF(AM21=$BD21,ABS(AO21-$BF21),ABS(AO21+$BF21))+IF(AM21&lt;&gt;$BD21,$BO$5,0)))</f>
        <v/>
      </c>
      <c r="AQ21" s="112"/>
      <c r="AR21" s="113" t="s">
        <v>0</v>
      </c>
      <c r="AS21" s="114"/>
      <c r="AT21" s="115" t="str">
        <f>IF(OR(AQ$2="",AQ21="",AS21=""),"",IF($BD21="","",IF(AQ21=$BD21,ABS(AS21-$BF21),ABS(AS21+$BF21))+IF(AQ21&lt;&gt;$BD21,$BO$5,0)))</f>
        <v/>
      </c>
      <c r="AU21" s="112"/>
      <c r="AV21" s="113" t="s">
        <v>0</v>
      </c>
      <c r="AW21" s="114"/>
      <c r="AX21" s="115" t="str">
        <f>IF(OR(AU$2="",AU21="",AW21=""),"",IF($BD21="","",IF(AU21=$BD21,ABS(AW21-$BF21),ABS(AW21+$BF21))+IF(AU21&lt;&gt;$BD21,$BO$5,0)))</f>
        <v/>
      </c>
      <c r="AY21" s="112"/>
      <c r="AZ21" s="113" t="s">
        <v>0</v>
      </c>
      <c r="BA21" s="114"/>
      <c r="BB21" s="124" t="str">
        <f>IF(OR(AY$2="",AY21="",BA21=""),"",IF($BD21="","",IF(AY21=$BD21,ABS(BA21-$BF21),ABS(BA21+$BF21))+IF(AY21&lt;&gt;$BD21,$BO$5,0)))</f>
        <v/>
      </c>
      <c r="BC21" s="117"/>
      <c r="BD21" s="118" t="str">
        <f t="shared" ref="BD21:BD22" si="7">IF(OR(B21="",F21="",B21=F21),"",IF(B21&gt;F21,"V","H"))</f>
        <v/>
      </c>
      <c r="BE21" s="118" t="s">
        <v>0</v>
      </c>
      <c r="BF21" s="118" t="str">
        <f t="shared" ref="BF21:BF22" si="8">IF(OR(B21="",F21="",B21=F21),"",ABS(B21-F21))</f>
        <v/>
      </c>
      <c r="BG21" s="118"/>
      <c r="BH21" s="233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19" t="str">
        <f t="shared" ref="BI21:BI22" si="10">IF(COUNTA(G21,K21,O21,S21,W21,AA21,AE21,AI21,AM21,AQ21,AU21,AY21)&gt;0,IF(BH21&lt;0,"V","H"),"")</f>
        <v/>
      </c>
      <c r="BJ21" s="120" t="s">
        <v>0</v>
      </c>
      <c r="BK21" s="121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4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26"/>
      <c r="C22" s="127"/>
      <c r="D22" s="128" t="s">
        <v>3</v>
      </c>
      <c r="E22" s="129"/>
      <c r="F22" s="130"/>
      <c r="G22" s="127"/>
      <c r="H22" s="127" t="s">
        <v>0</v>
      </c>
      <c r="I22" s="132"/>
      <c r="J22" s="133" t="str">
        <f>IF(OR(G$2="",G22="",I22=""),"",IF($BD22="","",IF(G22=$BD22,ABS(I22-$BF22),ABS(I22+$BF22))+IF(G22&lt;&gt;$BD22,$BO$5,0)))</f>
        <v/>
      </c>
      <c r="K22" s="131"/>
      <c r="L22" s="127" t="s">
        <v>0</v>
      </c>
      <c r="M22" s="132"/>
      <c r="N22" s="133" t="str">
        <f>IF(OR(K$2="",K22="",M22=""),"",IF($BD22="","",IF(K22=$BD22,ABS(M22-$BF22),ABS(M22+$BF22))+IF(K22&lt;&gt;$BD22,$BO$5,0)))</f>
        <v/>
      </c>
      <c r="O22" s="131"/>
      <c r="P22" s="127" t="s">
        <v>0</v>
      </c>
      <c r="Q22" s="132"/>
      <c r="R22" s="133" t="str">
        <f>IF(OR(O$2="",O22="",Q22=""),"",IF($BD22="","",IF(O22=$BD22,ABS(Q22-$BF22),ABS(Q22+$BF22))+IF(O22&lt;&gt;$BD22,$BO$5,0)))</f>
        <v/>
      </c>
      <c r="S22" s="131"/>
      <c r="T22" s="127" t="s">
        <v>0</v>
      </c>
      <c r="U22" s="132"/>
      <c r="V22" s="133" t="str">
        <f>IF(OR(S$2="",S22="",U22=""),"",IF($BD22="","",IF(S22=$BD22,ABS(U22-$BF22),ABS(U22+$BF22))+IF(S22&lt;&gt;$BD22,$BO$5,0)))</f>
        <v/>
      </c>
      <c r="W22" s="131"/>
      <c r="X22" s="127" t="s">
        <v>0</v>
      </c>
      <c r="Y22" s="132"/>
      <c r="Z22" s="133" t="str">
        <f>IF(OR(W$2="",W22="",Y22=""),"",IF($BD22="","",IF(W22=$BD22,ABS(Y22-$BF22),ABS(Y22+$BF22))+IF(W22&lt;&gt;$BD22,$BO$5,0)))</f>
        <v/>
      </c>
      <c r="AA22" s="131"/>
      <c r="AB22" s="127" t="s">
        <v>0</v>
      </c>
      <c r="AC22" s="132"/>
      <c r="AD22" s="133" t="str">
        <f>IF(OR(AA$2="",AA22="",AC22=""),"",IF($BD22="","",IF(AA22=$BD22,ABS(AC22-$BF22),ABS(AC22+$BF22))+IF(AA22&lt;&gt;$BD22,$BO$5,0)))</f>
        <v/>
      </c>
      <c r="AE22" s="131"/>
      <c r="AF22" s="127" t="s">
        <v>0</v>
      </c>
      <c r="AG22" s="132"/>
      <c r="AH22" s="133" t="str">
        <f>IF(OR(AE$2="",AE22="",AG22=""),"",IF($BD22="","",IF(AE22=$BD22,ABS(AG22-$BF22),ABS(AG22+$BF22))+IF(AE22&lt;&gt;$BD22,$BO$5,0)))</f>
        <v/>
      </c>
      <c r="AI22" s="131"/>
      <c r="AJ22" s="127" t="s">
        <v>0</v>
      </c>
      <c r="AK22" s="132"/>
      <c r="AL22" s="133" t="str">
        <f>IF(OR(AI$2="",AI22="",AK22=""),"",IF($BD22="","",IF(AI22=$BD22,ABS(AK22-$BF22),ABS(AK22+$BF22))+IF(AI22&lt;&gt;$BD22,$BO$5,0)))</f>
        <v/>
      </c>
      <c r="AM22" s="131"/>
      <c r="AN22" s="127" t="s">
        <v>0</v>
      </c>
      <c r="AO22" s="132"/>
      <c r="AP22" s="133" t="str">
        <f>IF(OR(AM$2="",AM22="",AO22=""),"",IF($BD22="","",IF(AM22=$BD22,ABS(AO22-$BF22),ABS(AO22+$BF22))+IF(AM22&lt;&gt;$BD22,$BO$5,0)))</f>
        <v/>
      </c>
      <c r="AQ22" s="131"/>
      <c r="AR22" s="127" t="s">
        <v>0</v>
      </c>
      <c r="AS22" s="132"/>
      <c r="AT22" s="133" t="str">
        <f>IF(OR(AQ$2="",AQ22="",AS22=""),"",IF($BD22="","",IF(AQ22=$BD22,ABS(AS22-$BF22),ABS(AS22+$BF22))+IF(AQ22&lt;&gt;$BD22,$BO$5,0)))</f>
        <v/>
      </c>
      <c r="AU22" s="131"/>
      <c r="AV22" s="127" t="s">
        <v>0</v>
      </c>
      <c r="AW22" s="132"/>
      <c r="AX22" s="133" t="str">
        <f>IF(OR(AU$2="",AU22="",AW22=""),"",IF($BD22="","",IF(AU22=$BD22,ABS(AW22-$BF22),ABS(AW22+$BF22))+IF(AU22&lt;&gt;$BD22,$BO$5,0)))</f>
        <v/>
      </c>
      <c r="AY22" s="131"/>
      <c r="AZ22" s="127" t="s">
        <v>0</v>
      </c>
      <c r="BA22" s="132"/>
      <c r="BB22" s="134" t="str">
        <f>IF(OR(AY$2="",AY22="",BA22=""),"",IF($BD22="","",IF(AY22=$BD22,ABS(BA22-$BF22),ABS(BA22+$BF22))+IF(AY22&lt;&gt;$BD22,$BO$5,0)))</f>
        <v/>
      </c>
      <c r="BC22" s="117"/>
      <c r="BD22" s="118" t="str">
        <f t="shared" si="7"/>
        <v/>
      </c>
      <c r="BE22" s="118" t="s">
        <v>0</v>
      </c>
      <c r="BF22" s="118" t="str">
        <f t="shared" si="8"/>
        <v/>
      </c>
      <c r="BG22" s="118"/>
      <c r="BH22" s="233">
        <f t="shared" si="9"/>
        <v>0</v>
      </c>
      <c r="BI22" s="135" t="str">
        <f t="shared" si="10"/>
        <v/>
      </c>
      <c r="BJ22" s="128" t="s">
        <v>0</v>
      </c>
      <c r="BK22" s="136" t="str">
        <f t="shared" si="11"/>
        <v/>
      </c>
      <c r="BL22" s="134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"10",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173"/>
      <c r="H23" s="99" t="s">
        <v>62</v>
      </c>
      <c r="I23" s="100"/>
      <c r="J23" s="104" t="str">
        <f>IF(OR($F23="",I23="",J24=""),"",IF(AND(COUNTIF($J41:$BB41,J41)&gt;1,RANK(J41,$J41:$BB41,1)=1),$F23-I23,""))</f>
        <v/>
      </c>
      <c r="K23" s="98"/>
      <c r="L23" s="99" t="s">
        <v>62</v>
      </c>
      <c r="M23" s="100"/>
      <c r="N23" s="104" t="str">
        <f>IF(OR($F23="",M23="",N24=""),"",IF(AND(COUNTIF($J41:$BB41,N41)&gt;1,RANK(N41,$J41:$BB41,1)=1),$F23-M23,""))</f>
        <v/>
      </c>
      <c r="O23" s="98"/>
      <c r="P23" s="99" t="s">
        <v>62</v>
      </c>
      <c r="Q23" s="100"/>
      <c r="R23" s="104" t="str">
        <f>IF(OR($F23="",Q23="",R24=""),"",IF(AND(COUNTIF($J41:$BB41,R41)&gt;1,RANK(R41,$J41:$BB41,1)=1),$F23-Q23,""))</f>
        <v/>
      </c>
      <c r="S23" s="98"/>
      <c r="T23" s="99" t="s">
        <v>62</v>
      </c>
      <c r="U23" s="100"/>
      <c r="V23" s="104" t="str">
        <f>IF(OR($F23="",U23="",V24=""),"",IF(AND(COUNTIF($J41:$BB41,V41)&gt;1,RANK(V41,$J41:$BB41,1)=1),$F23-U23,""))</f>
        <v/>
      </c>
      <c r="W23" s="98"/>
      <c r="X23" s="99" t="s">
        <v>62</v>
      </c>
      <c r="Y23" s="100"/>
      <c r="Z23" s="104" t="str">
        <f>IF(OR($F23="",Y23="",Z24=""),"",IF(AND(COUNTIF($J41:$BB41,Z41)&gt;1,RANK(Z41,$J41:$BB41,1)=1),$F23-Y23,""))</f>
        <v/>
      </c>
      <c r="AA23" s="98"/>
      <c r="AB23" s="99" t="s">
        <v>62</v>
      </c>
      <c r="AC23" s="100"/>
      <c r="AD23" s="104" t="str">
        <f>IF(OR($F23="",AC23="",AD24=""),"",IF(AND(COUNTIF($J41:$BB41,AD41)&gt;1,RANK(AD41,$J41:$BB41,1)=1),$F23-AC23,""))</f>
        <v/>
      </c>
      <c r="AE23" s="98"/>
      <c r="AF23" s="99" t="s">
        <v>62</v>
      </c>
      <c r="AG23" s="100"/>
      <c r="AH23" s="104" t="str">
        <f>IF(OR($F23="",AG23="",AH24=""),"",IF(AND(COUNTIF($J41:$BB41,AH41)&gt;1,RANK(AH41,$J41:$BB41,1)=1),$F23-AG23,""))</f>
        <v/>
      </c>
      <c r="AI23" s="98"/>
      <c r="AJ23" s="99" t="s">
        <v>62</v>
      </c>
      <c r="AK23" s="100"/>
      <c r="AL23" s="104" t="str">
        <f>IF(OR($F23="",AK23="",AL24=""),"",IF(AND(COUNTIF($J41:$BB41,AL41)&gt;1,RANK(AL41,$J41:$BB41,1)=1),$F23-AK23,""))</f>
        <v/>
      </c>
      <c r="AM23" s="98"/>
      <c r="AN23" s="99" t="s">
        <v>62</v>
      </c>
      <c r="AO23" s="100"/>
      <c r="AP23" s="104" t="str">
        <f>IF(OR($F23="",AO23="",AP24=""),"",IF(AND(COUNTIF($J41:$BB41,AP41)&gt;1,RANK(AP41,$J41:$BB41,1)=1),$F23-AO23,""))</f>
        <v/>
      </c>
      <c r="AQ23" s="98"/>
      <c r="AR23" s="99" t="s">
        <v>62</v>
      </c>
      <c r="AS23" s="100"/>
      <c r="AT23" s="104" t="str">
        <f>IF(OR($F23="",AS23="",AT24=""),"",IF(AND(COUNTIF($J41:$BB41,AT41)&gt;1,RANK(AT41,$J41:$BB41,1)=1),$F23-AS23,""))</f>
        <v/>
      </c>
      <c r="AU23" s="98"/>
      <c r="AV23" s="99" t="s">
        <v>62</v>
      </c>
      <c r="AW23" s="100"/>
      <c r="AX23" s="104" t="str">
        <f>IF(OR($F23="",AW23="",AX24=""),"",IF(AND(COUNTIF($J41:$BB41,AX41)&gt;1,RANK(AX41,$J41:$BB41,1)=1),$F23-AW23,""))</f>
        <v/>
      </c>
      <c r="AY23" s="98"/>
      <c r="AZ23" s="99" t="s">
        <v>62</v>
      </c>
      <c r="BA23" s="100"/>
      <c r="BB23" s="105" t="str">
        <f>IF(OR($F23="",BA23="",BB24=""),"",IF(AND(COUNTIF($J41:$BB41,BB41)&gt;1,RANK(BB41,$J41:$BB41,1)=1),$F23-BA23,""))</f>
        <v/>
      </c>
      <c r="BC23" s="117"/>
      <c r="BD23" s="118"/>
      <c r="BE23" s="118"/>
      <c r="BF23" s="118"/>
      <c r="BG23" s="118"/>
      <c r="BH23" s="234"/>
      <c r="BI23" s="106"/>
      <c r="BJ23" s="95" t="s">
        <v>62</v>
      </c>
      <c r="BK23" s="101" t="str">
        <f>IF(SUM(I23,M23,Q23,U23,Y23,AC23,AG23,AK23,AO23,AS23,AW23,BA23)=0,"",ROUND(AVERAGE(I23,M23,Q23,U23,Y23,AC23,AG23,AK23,AO23,AS23,AW23,BA23),0))</f>
        <v/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8"/>
      <c r="C24" s="167"/>
      <c r="D24" s="167"/>
      <c r="E24" s="169"/>
      <c r="F24" s="238" t="s">
        <v>80</v>
      </c>
      <c r="G24" s="174"/>
      <c r="H24" s="148" t="s">
        <v>2</v>
      </c>
      <c r="I24" s="149" t="str">
        <f>IF(J24="","",IF(OR(RANK(J41,$J41:$BB41,1)&gt;1,AND(RANK(J41,$J41:$BB41,1)=1,COUNTIF($J41:$BB41,J41)=1)),RANK(J41,$J41:$BB41,1),IF(MIN($J59:$BB59)=J59,1,COUNTIF($J59:$BB59,MIN($J59:$BB59))+1)))</f>
        <v/>
      </c>
      <c r="J24" s="247" t="str">
        <f>IF(G$2="","",(IF(AND(COUNTBLANK(G21:G22)=0,COUNTBLANK(I21:I22)=0),(SUM(J21:J22))*$BO$24,"")))</f>
        <v/>
      </c>
      <c r="K24" s="147"/>
      <c r="L24" s="148" t="s">
        <v>2</v>
      </c>
      <c r="M24" s="149" t="str">
        <f>IF(N24="","",IF(OR(RANK(N41,$J41:$BB41,1)&gt;1,AND(RANK(N41,$J41:$BB41,1)=1,COUNTIF($J41:$BB41,N41)=1)),RANK(N41,$J41:$BB41,1),IF(MIN($J59:$BB59)=N59,1,COUNTIF($J59:$BB59,MIN($J59:$BB59))+1)))</f>
        <v/>
      </c>
      <c r="N24" s="247" t="str">
        <f>IF(K$2="","",(IF(AND(COUNTBLANK(K21:K22)=0,COUNTBLANK(M21:M22)=0),(SUM(N21:N22))*$BO$24,"")))</f>
        <v/>
      </c>
      <c r="O24" s="147"/>
      <c r="P24" s="148" t="s">
        <v>2</v>
      </c>
      <c r="Q24" s="149" t="str">
        <f>IF(R24="","",IF(OR(RANK(R41,$J41:$BB41,1)&gt;1,AND(RANK(R41,$J41:$BB41,1)=1,COUNTIF($J41:$BB41,R41)=1)),RANK(R41,$J41:$BB41,1),IF(MIN($J59:$BB59)=R59,1,COUNTIF($J59:$BB59,MIN($J59:$BB59))+1)))</f>
        <v/>
      </c>
      <c r="R24" s="247" t="str">
        <f>IF(O$2="","",(IF(AND(COUNTBLANK(O21:O22)=0,COUNTBLANK(Q21:Q22)=0),(SUM(R21:R22))*$BO$24,"")))</f>
        <v/>
      </c>
      <c r="S24" s="147"/>
      <c r="T24" s="148" t="s">
        <v>2</v>
      </c>
      <c r="U24" s="149" t="str">
        <f>IF(V24="","",IF(OR(RANK(V41,$J41:$BB41,1)&gt;1,AND(RANK(V41,$J41:$BB41,1)=1,COUNTIF($J41:$BB41,V41)=1)),RANK(V41,$J41:$BB41,1),IF(MIN($J59:$BB59)=V59,1,COUNTIF($J59:$BB59,MIN($J59:$BB59))+1)))</f>
        <v/>
      </c>
      <c r="V24" s="247" t="str">
        <f>IF(S$2="","",(IF(AND(COUNTBLANK(S21:S22)=0,COUNTBLANK(U21:U22)=0),(SUM(V21:V22))*$BO$24,"")))</f>
        <v/>
      </c>
      <c r="W24" s="147"/>
      <c r="X24" s="148" t="s">
        <v>2</v>
      </c>
      <c r="Y24" s="149" t="str">
        <f>IF(Z24="","",IF(OR(RANK(Z41,$J41:$BB41,1)&gt;1,AND(RANK(Z41,$J41:$BB41,1)=1,COUNTIF($J41:$BB41,Z41)=1)),RANK(Z41,$J41:$BB41,1),IF(MIN($J59:$BB59)=Z59,1,COUNTIF($J59:$BB59,MIN($J59:$BB59))+1)))</f>
        <v/>
      </c>
      <c r="Z24" s="247" t="str">
        <f>IF(W$2="","",(IF(AND(COUNTBLANK(W21:W22)=0,COUNTBLANK(Y21:Y22)=0),(SUM(Z21:Z22))*$BO$24,"")))</f>
        <v/>
      </c>
      <c r="AA24" s="147"/>
      <c r="AB24" s="148" t="s">
        <v>2</v>
      </c>
      <c r="AC24" s="149" t="str">
        <f>IF(AD24="","",IF(OR(RANK(AD41,$J41:$BB41,1)&gt;1,AND(RANK(AD41,$J41:$BB41,1)=1,COUNTIF($J41:$BB41,AD41)=1)),RANK(AD41,$J41:$BB41,1),IF(MIN($J59:$BB59)=AD59,1,COUNTIF($J59:$BB59,MIN($J59:$BB59))+1)))</f>
        <v/>
      </c>
      <c r="AD24" s="247" t="str">
        <f>IF(AA$2="","",(IF(AND(COUNTBLANK(AA21:AA22)=0,COUNTBLANK(AC21:AC22)=0),(SUM(AD21:AD22))*$BO$24,"")))</f>
        <v/>
      </c>
      <c r="AE24" s="147"/>
      <c r="AF24" s="148" t="s">
        <v>2</v>
      </c>
      <c r="AG24" s="149" t="str">
        <f>IF(AH24="","",IF(OR(RANK(AH41,$J41:$BB41,1)&gt;1,AND(RANK(AH41,$J41:$BB41,1)=1,COUNTIF($J41:$BB41,AH41)=1)),RANK(AH41,$J41:$BB41,1),IF(MIN($J59:$BB59)=AH59,1,COUNTIF($J59:$BB59,MIN($J59:$BB59))+1)))</f>
        <v/>
      </c>
      <c r="AH24" s="247" t="str">
        <f>IF(AE$2="","",(IF(AND(COUNTBLANK(AE21:AE22)=0,COUNTBLANK(AG21:AG22)=0),(SUM(AH21:AH22))*$BO$24,"")))</f>
        <v/>
      </c>
      <c r="AI24" s="147"/>
      <c r="AJ24" s="148" t="s">
        <v>2</v>
      </c>
      <c r="AK24" s="149" t="str">
        <f>IF(AL24="","",IF(OR(RANK(AL41,$J41:$BB41,1)&gt;1,AND(RANK(AL41,$J41:$BB41,1)=1,COUNTIF($J41:$BB41,AL41)=1)),RANK(AL41,$J41:$BB41,1),IF(MIN($J59:$BB59)=AL59,1,COUNTIF($J59:$BB59,MIN($J59:$BB59))+1)))</f>
        <v/>
      </c>
      <c r="AL24" s="247" t="str">
        <f>IF(AI$2="","",(IF(AND(COUNTBLANK(AI21:AI22)=0,COUNTBLANK(AK21:AK22)=0),(SUM(AL21:AL22))*$BO$24,"")))</f>
        <v/>
      </c>
      <c r="AM24" s="147"/>
      <c r="AN24" s="148" t="s">
        <v>2</v>
      </c>
      <c r="AO24" s="149" t="str">
        <f>IF(AP24="","",IF(OR(RANK(AP41,$J41:$BB41,1)&gt;1,AND(RANK(AP41,$J41:$BB41,1)=1,COUNTIF($J41:$BB41,AP41)=1)),RANK(AP41,$J41:$BB41,1),IF(MIN($J59:$BB59)=AP59,1,COUNTIF($J59:$BB59,MIN($J59:$BB59))+1)))</f>
        <v/>
      </c>
      <c r="AP24" s="247" t="str">
        <f>IF(AM$2="","",(IF(AND(COUNTBLANK(AM21:AM22)=0,COUNTBLANK(AO21:AO22)=0),(SUM(AP21:AP22))*$BO$24,"")))</f>
        <v/>
      </c>
      <c r="AQ24" s="147"/>
      <c r="AR24" s="148" t="s">
        <v>2</v>
      </c>
      <c r="AS24" s="149" t="str">
        <f>IF(AT24="","",IF(OR(RANK(AT41,$J41:$BB41,1)&gt;1,AND(RANK(AT41,$J41:$BB41,1)=1,COUNTIF($J41:$BB41,AT41)=1)),RANK(AT41,$J41:$BB41,1),IF(MIN($J59:$BB59)=AT59,1,COUNTIF($J59:$BB59,MIN($J59:$BB59))+1)))</f>
        <v/>
      </c>
      <c r="AT24" s="247" t="str">
        <f>IF(AQ$2="","",(IF(AND(COUNTBLANK(AQ21:AQ22)=0,COUNTBLANK(AS21:AS22)=0),(SUM(AT21:AT22))*$BO$24,"")))</f>
        <v/>
      </c>
      <c r="AU24" s="147"/>
      <c r="AV24" s="148" t="s">
        <v>2</v>
      </c>
      <c r="AW24" s="149" t="str">
        <f>IF(AX24="","",IF(OR(RANK(AX41,$J41:$BB41,1)&gt;1,AND(RANK(AX41,$J41:$BB41,1)=1,COUNTIF($J41:$BB41,AX41)=1)),RANK(AX41,$J41:$BB41,1),IF(MIN($J59:$BB59)=AX59,1,COUNTIF($J59:$BB59,MIN($J59:$BB59))+1)))</f>
        <v/>
      </c>
      <c r="AX24" s="247" t="str">
        <f>IF(AU$2="","",(IF(AND(COUNTBLANK(AU21:AU22)=0,COUNTBLANK(AW21:AW22)=0),(SUM(AX21:AX22))*$BO$24,"")))</f>
        <v/>
      </c>
      <c r="AY24" s="154"/>
      <c r="AZ24" s="152" t="s">
        <v>2</v>
      </c>
      <c r="BA24" s="153" t="str">
        <f>IF(BB24="","",IF(OR(RANK(BB41,$J41:$BB41,1)&gt;1,AND(RANK(BB41,$J41:$BB41,1)=1,COUNTIF($J41:$BB41,BB41)=1)),RANK(BB41,$J41:$BB41,1),IF(MIN($J59:$BB59)=BB59,1,COUNTIF($J59:$BB59,MIN($J59:$BB59))+1)))</f>
        <v/>
      </c>
      <c r="BB24" s="248" t="str">
        <f>IF(AY$2="","",(IF(AND(COUNTBLANK(AY21:AY22)=0,COUNTBLANK(BA21:BA22)=0),(SUM(BB21:BB22))*$BO$24,"")))</f>
        <v/>
      </c>
      <c r="BC24" s="117"/>
      <c r="BD24" s="117"/>
      <c r="BE24" s="117"/>
      <c r="BF24" s="117"/>
      <c r="BG24" s="117"/>
      <c r="BH24" s="234"/>
      <c r="BI24" s="151"/>
      <c r="BJ24" s="152" t="s">
        <v>2</v>
      </c>
      <c r="BK24" s="153" t="str">
        <f>IF(BL24="","",RANK(BL41,$J41:$BL41,1))</f>
        <v/>
      </c>
      <c r="BL24" s="248" t="str">
        <f>IF(AND(COUNTBLANK(BI21:BI22)=0,COUNTBLANK(BK21:BK22)=0),(SUM(BL21:BL22))*$BO$24,"")</f>
        <v/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79"/>
      <c r="C25" s="102"/>
      <c r="D25" s="102"/>
      <c r="E25" s="170"/>
      <c r="F25" s="180"/>
      <c r="G25" s="175"/>
      <c r="H25" s="156"/>
      <c r="I25" s="175"/>
      <c r="J25" s="181"/>
      <c r="K25" s="175"/>
      <c r="L25" s="156"/>
      <c r="M25" s="175"/>
      <c r="N25" s="181"/>
      <c r="O25" s="175"/>
      <c r="P25" s="156"/>
      <c r="Q25" s="175"/>
      <c r="R25" s="181"/>
      <c r="S25" s="175"/>
      <c r="T25" s="156"/>
      <c r="U25" s="175"/>
      <c r="V25" s="181"/>
      <c r="W25" s="175"/>
      <c r="X25" s="156"/>
      <c r="Y25" s="175"/>
      <c r="Z25" s="181"/>
      <c r="AA25" s="175"/>
      <c r="AB25" s="156"/>
      <c r="AC25" s="175"/>
      <c r="AD25" s="181"/>
      <c r="AE25" s="175"/>
      <c r="AF25" s="156"/>
      <c r="AG25" s="175"/>
      <c r="AH25" s="181"/>
      <c r="AI25" s="175"/>
      <c r="AJ25" s="156"/>
      <c r="AK25" s="175"/>
      <c r="AL25" s="181"/>
      <c r="AM25" s="175"/>
      <c r="AN25" s="156"/>
      <c r="AO25" s="175"/>
      <c r="AP25" s="181"/>
      <c r="AQ25" s="175"/>
      <c r="AR25" s="156"/>
      <c r="AS25" s="175"/>
      <c r="AT25" s="181"/>
      <c r="AU25" s="175"/>
      <c r="AV25" s="156"/>
      <c r="AW25" s="175"/>
      <c r="AX25" s="181"/>
      <c r="AY25" s="175"/>
      <c r="AZ25" s="156"/>
      <c r="BA25" s="175"/>
      <c r="BB25" s="157"/>
      <c r="BC25" s="117"/>
      <c r="BD25" s="117"/>
      <c r="BE25" s="117"/>
      <c r="BF25" s="117"/>
      <c r="BG25" s="117"/>
      <c r="BH25" s="235"/>
      <c r="BI25" s="155"/>
      <c r="BJ25" s="156"/>
      <c r="BK25" s="175"/>
      <c r="BL25" s="15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82" t="s">
        <v>126</v>
      </c>
      <c r="C26" s="283"/>
      <c r="D26" s="283"/>
      <c r="E26" s="283"/>
      <c r="F26" s="284"/>
      <c r="G26" s="239"/>
      <c r="H26" s="239" t="s">
        <v>127</v>
      </c>
      <c r="I26" s="240"/>
      <c r="J26" s="241" t="s">
        <v>1</v>
      </c>
      <c r="K26" s="242"/>
      <c r="L26" s="239" t="s">
        <v>127</v>
      </c>
      <c r="M26" s="240"/>
      <c r="N26" s="241" t="s">
        <v>1</v>
      </c>
      <c r="O26" s="242"/>
      <c r="P26" s="239" t="s">
        <v>127</v>
      </c>
      <c r="Q26" s="240"/>
      <c r="R26" s="241" t="s">
        <v>1</v>
      </c>
      <c r="S26" s="242"/>
      <c r="T26" s="239" t="s">
        <v>127</v>
      </c>
      <c r="U26" s="240"/>
      <c r="V26" s="241" t="s">
        <v>1</v>
      </c>
      <c r="W26" s="242"/>
      <c r="X26" s="239" t="s">
        <v>127</v>
      </c>
      <c r="Y26" s="240"/>
      <c r="Z26" s="241" t="s">
        <v>1</v>
      </c>
      <c r="AA26" s="242"/>
      <c r="AB26" s="239" t="s">
        <v>127</v>
      </c>
      <c r="AC26" s="240"/>
      <c r="AD26" s="241" t="s">
        <v>1</v>
      </c>
      <c r="AE26" s="242"/>
      <c r="AF26" s="239" t="s">
        <v>127</v>
      </c>
      <c r="AG26" s="240"/>
      <c r="AH26" s="241" t="s">
        <v>1</v>
      </c>
      <c r="AI26" s="242"/>
      <c r="AJ26" s="239" t="s">
        <v>127</v>
      </c>
      <c r="AK26" s="240"/>
      <c r="AL26" s="241" t="s">
        <v>1</v>
      </c>
      <c r="AM26" s="242"/>
      <c r="AN26" s="239" t="s">
        <v>127</v>
      </c>
      <c r="AO26" s="240"/>
      <c r="AP26" s="241" t="s">
        <v>1</v>
      </c>
      <c r="AQ26" s="242"/>
      <c r="AR26" s="239" t="s">
        <v>127</v>
      </c>
      <c r="AS26" s="240"/>
      <c r="AT26" s="241" t="s">
        <v>1</v>
      </c>
      <c r="AU26" s="242"/>
      <c r="AV26" s="239" t="s">
        <v>127</v>
      </c>
      <c r="AW26" s="240"/>
      <c r="AX26" s="241" t="s">
        <v>1</v>
      </c>
      <c r="AY26" s="242"/>
      <c r="AZ26" s="239" t="s">
        <v>127</v>
      </c>
      <c r="BA26" s="240"/>
      <c r="BB26" s="243" t="s">
        <v>1</v>
      </c>
      <c r="BC26" s="117"/>
      <c r="BD26" s="146"/>
      <c r="BE26" s="146"/>
      <c r="BF26" s="146"/>
      <c r="BG26" s="146"/>
      <c r="BH26" s="235"/>
      <c r="BI26" s="242"/>
      <c r="BJ26" s="239" t="s">
        <v>127</v>
      </c>
      <c r="BK26" s="240"/>
      <c r="BL26" s="243" t="s">
        <v>1</v>
      </c>
      <c r="BO26" s="16">
        <f>COUNTIF(J40:BB40,1)</f>
        <v>0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"13",</v>
      </c>
      <c r="DM26" s="24"/>
      <c r="DN26" s="24"/>
    </row>
    <row r="27" spans="1:124" s="6" customFormat="1" ht="15" customHeight="1" x14ac:dyDescent="0.2">
      <c r="B27" s="137"/>
      <c r="C27" s="138"/>
      <c r="D27" s="139" t="s">
        <v>3</v>
      </c>
      <c r="E27" s="140"/>
      <c r="F27" s="130"/>
      <c r="G27" s="138"/>
      <c r="H27" s="127" t="s">
        <v>0</v>
      </c>
      <c r="I27" s="142"/>
      <c r="J27" s="133" t="str">
        <f>IF(OR(G$2="",G27="",I27=""),"",IF($BD27="","",IF(G27=$BD27,ABS(I27-$BF27),ABS(I27+$BF27))+IF(G27&lt;&gt;$BD27,$BO$5,0)))</f>
        <v/>
      </c>
      <c r="K27" s="141"/>
      <c r="L27" s="127" t="s">
        <v>0</v>
      </c>
      <c r="M27" s="142"/>
      <c r="N27" s="133" t="str">
        <f>IF(OR(K$2="",K27="",M27=""),"",IF($BD27="","",IF(K27=$BD27,ABS(M27-$BF27),ABS(M27+$BF27))+IF(K27&lt;&gt;$BD27,$BO$5,0)))</f>
        <v/>
      </c>
      <c r="O27" s="141"/>
      <c r="P27" s="127" t="s">
        <v>0</v>
      </c>
      <c r="Q27" s="142"/>
      <c r="R27" s="133" t="str">
        <f>IF(OR(O$2="",O27="",Q27=""),"",IF($BD27="","",IF(O27=$BD27,ABS(Q27-$BF27),ABS(Q27+$BF27))+IF(O27&lt;&gt;$BD27,$BO$5,0)))</f>
        <v/>
      </c>
      <c r="S27" s="141"/>
      <c r="T27" s="127" t="s">
        <v>0</v>
      </c>
      <c r="U27" s="142"/>
      <c r="V27" s="133" t="str">
        <f>IF(OR(S$2="",S27="",U27=""),"",IF($BD27="","",IF(S27=$BD27,ABS(U27-$BF27),ABS(U27+$BF27))+IF(S27&lt;&gt;$BD27,$BO$5,0)))</f>
        <v/>
      </c>
      <c r="W27" s="141"/>
      <c r="X27" s="127" t="s">
        <v>0</v>
      </c>
      <c r="Y27" s="142"/>
      <c r="Z27" s="133" t="str">
        <f>IF(OR(W$2="",W27="",Y27=""),"",IF($BD27="","",IF(W27=$BD27,ABS(Y27-$BF27),ABS(Y27+$BF27))+IF(W27&lt;&gt;$BD27,$BO$5,0)))</f>
        <v/>
      </c>
      <c r="AA27" s="141"/>
      <c r="AB27" s="127" t="s">
        <v>0</v>
      </c>
      <c r="AC27" s="142"/>
      <c r="AD27" s="133" t="str">
        <f>IF(OR(AA$2="",AA27="",AC27=""),"",IF($BD27="","",IF(AA27=$BD27,ABS(AC27-$BF27),ABS(AC27+$BF27))+IF(AA27&lt;&gt;$BD27,$BO$5,0)))</f>
        <v/>
      </c>
      <c r="AE27" s="141"/>
      <c r="AF27" s="127" t="s">
        <v>0</v>
      </c>
      <c r="AG27" s="142"/>
      <c r="AH27" s="133" t="str">
        <f>IF(OR(AE$2="",AE27="",AG27=""),"",IF($BD27="","",IF(AE27=$BD27,ABS(AG27-$BF27),ABS(AG27+$BF27))+IF(AE27&lt;&gt;$BD27,$BO$5,0)))</f>
        <v/>
      </c>
      <c r="AI27" s="141"/>
      <c r="AJ27" s="127" t="s">
        <v>0</v>
      </c>
      <c r="AK27" s="142"/>
      <c r="AL27" s="133" t="str">
        <f>IF(OR(AI$2="",AI27="",AK27=""),"",IF($BD27="","",IF(AI27=$BD27,ABS(AK27-$BF27),ABS(AK27+$BF27))+IF(AI27&lt;&gt;$BD27,$BO$5,0)))</f>
        <v/>
      </c>
      <c r="AM27" s="141"/>
      <c r="AN27" s="127" t="s">
        <v>0</v>
      </c>
      <c r="AO27" s="142"/>
      <c r="AP27" s="133" t="str">
        <f>IF(OR(AM$2="",AM27="",AO27=""),"",IF($BD27="","",IF(AM27=$BD27,ABS(AO27-$BF27),ABS(AO27+$BF27))+IF(AM27&lt;&gt;$BD27,$BO$5,0)))</f>
        <v/>
      </c>
      <c r="AQ27" s="141"/>
      <c r="AR27" s="127" t="s">
        <v>0</v>
      </c>
      <c r="AS27" s="142"/>
      <c r="AT27" s="133" t="str">
        <f>IF(OR(AQ$2="",AQ27="",AS27=""),"",IF($BD27="","",IF(AQ27=$BD27,ABS(AS27-$BF27),ABS(AS27+$BF27))+IF(AQ27&lt;&gt;$BD27,$BO$5,0)))</f>
        <v/>
      </c>
      <c r="AU27" s="141"/>
      <c r="AV27" s="127" t="s">
        <v>0</v>
      </c>
      <c r="AW27" s="142"/>
      <c r="AX27" s="133" t="str">
        <f>IF(OR(AU$2="",AU27="",AW27=""),"",IF($BD27="","",IF(AU27=$BD27,ABS(AW27-$BF27),ABS(AW27+$BF27))+IF(AU27&lt;&gt;$BD27,$BO$5,0)))</f>
        <v/>
      </c>
      <c r="AY27" s="141"/>
      <c r="AZ27" s="127" t="s">
        <v>0</v>
      </c>
      <c r="BA27" s="142"/>
      <c r="BB27" s="134" t="str">
        <f>IF(OR(AY$2="",AY27="",BA27=""),"",IF($BD27="","",IF(AY27=$BD27,ABS(BA27-$BF27),ABS(BA27+$BF27))+IF(AY27&lt;&gt;$BD27,$BO$5,0)))</f>
        <v/>
      </c>
      <c r="BC27" s="117"/>
      <c r="BD27" s="118" t="str">
        <f>IF(OR(B27="",F27="",B27=F27),"",IF(B27&gt;F27,"V","H"))</f>
        <v/>
      </c>
      <c r="BE27" s="118" t="s">
        <v>0</v>
      </c>
      <c r="BF27" s="118" t="str">
        <f>IF(OR(B27="",F27="",B27=F27),"",ABS(B27-F27))</f>
        <v/>
      </c>
      <c r="BG27" s="118"/>
      <c r="BH27" s="233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3" t="str">
        <f>IF(COUNTA(G27,K27,O27,S27,W27,AA27,AE27,AI27,AM27,AQ27,AU27,AY27)&gt;0,IF(BH27&lt;0,"V","H"),"")</f>
        <v/>
      </c>
      <c r="BJ27" s="128" t="s">
        <v>0</v>
      </c>
      <c r="BK27" s="144" t="str">
        <f>IF(BI27="","",IF(ABS(BH27)&lt;(COUNTA(G27,K27,O27,S27,W27,AA27,AE27,AI27,AM27,AQ27,AU27,AY27)/2),1,ROUND(ABS(BH27)/COUNTA(G27,K27,O27,S27,W27,AA27,AE27,AI27,AM27,AQ27,AU27,AY27),0)))</f>
        <v/>
      </c>
      <c r="BL27" s="13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"5",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73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45"/>
      <c r="BD28" s="118"/>
      <c r="BE28" s="118"/>
      <c r="BF28" s="118"/>
      <c r="BG28" s="118"/>
      <c r="BH28" s="234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68"/>
      <c r="C29" s="167"/>
      <c r="D29" s="167"/>
      <c r="E29" s="169"/>
      <c r="F29" s="238" t="s">
        <v>82</v>
      </c>
      <c r="G29" s="174"/>
      <c r="H29" s="148" t="s">
        <v>2</v>
      </c>
      <c r="I29" s="149" t="str">
        <f>IF(J29="","",IF(OR(RANK(J43,$J43:$BB43,1)&gt;1,AND(RANK(J43,$J43:$BB43,1)=1,COUNTIF($J43:$BB43,J43)=1)),RANK(J43,$J43:$BB43,1),IF(MIN($J60:$BB60)=J60,1,COUNTIF($J60:$BB60,MIN($J60:$BB60))+1)))</f>
        <v/>
      </c>
      <c r="J29" s="247" t="str">
        <f>IF(G$2="","",(IF(AND(COUNTBLANK(G27:G27)=0,COUNTBLANK(I27:I27)=0),(SUM(J27:J27))*$BO$29,"")))</f>
        <v/>
      </c>
      <c r="K29" s="147"/>
      <c r="L29" s="148" t="s">
        <v>2</v>
      </c>
      <c r="M29" s="149" t="str">
        <f>IF(N29="","",IF(OR(RANK(N43,$J43:$BB43,1)&gt;1,AND(RANK(N43,$J43:$BB43,1)=1,COUNTIF($J43:$BB43,N43)=1)),RANK(N43,$J43:$BB43,1),IF(MIN($J60:$BB60)=N60,1,COUNTIF($J60:$BB60,MIN($J60:$BB60))+1)))</f>
        <v/>
      </c>
      <c r="N29" s="247" t="str">
        <f>IF(K$2="","",(IF(AND(COUNTBLANK(K27:K27)=0,COUNTBLANK(M27:M27)=0),(SUM(N27:N27))*$BO$29,"")))</f>
        <v/>
      </c>
      <c r="O29" s="147"/>
      <c r="P29" s="148" t="s">
        <v>2</v>
      </c>
      <c r="Q29" s="149" t="str">
        <f>IF(R29="","",IF(OR(RANK(R43,$J43:$BB43,1)&gt;1,AND(RANK(R43,$J43:$BB43,1)=1,COUNTIF($J43:$BB43,R43)=1)),RANK(R43,$J43:$BB43,1),IF(MIN($J60:$BB60)=R60,1,COUNTIF($J60:$BB60,MIN($J60:$BB60))+1)))</f>
        <v/>
      </c>
      <c r="R29" s="247" t="str">
        <f>IF(O$2="","",(IF(AND(COUNTBLANK(O27:O27)=0,COUNTBLANK(Q27:Q27)=0),(SUM(R27:R27))*$BO$29,"")))</f>
        <v/>
      </c>
      <c r="S29" s="147"/>
      <c r="T29" s="148" t="s">
        <v>2</v>
      </c>
      <c r="U29" s="149" t="str">
        <f>IF(V29="","",IF(OR(RANK(V43,$J43:$BB43,1)&gt;1,AND(RANK(V43,$J43:$BB43,1)=1,COUNTIF($J43:$BB43,V43)=1)),RANK(V43,$J43:$BB43,1),IF(MIN($J60:$BB60)=V60,1,COUNTIF($J60:$BB60,MIN($J60:$BB60))+1)))</f>
        <v/>
      </c>
      <c r="V29" s="247" t="str">
        <f>IF(S$2="","",(IF(AND(COUNTBLANK(S27:S27)=0,COUNTBLANK(U27:U27)=0),(SUM(V27:V27))*$BO$29,"")))</f>
        <v/>
      </c>
      <c r="W29" s="147"/>
      <c r="X29" s="148" t="s">
        <v>2</v>
      </c>
      <c r="Y29" s="149" t="str">
        <f>IF(Z29="","",IF(OR(RANK(Z43,$J43:$BB43,1)&gt;1,AND(RANK(Z43,$J43:$BB43,1)=1,COUNTIF($J43:$BB43,Z43)=1)),RANK(Z43,$J43:$BB43,1),IF(MIN($J60:$BB60)=Z60,1,COUNTIF($J60:$BB60,MIN($J60:$BB60))+1)))</f>
        <v/>
      </c>
      <c r="Z29" s="247" t="str">
        <f>IF(W$2="","",(IF(AND(COUNTBLANK(W27:W27)=0,COUNTBLANK(Y27:Y27)=0),(SUM(Z27:Z27))*$BO$29,"")))</f>
        <v/>
      </c>
      <c r="AA29" s="147"/>
      <c r="AB29" s="148" t="s">
        <v>2</v>
      </c>
      <c r="AC29" s="149" t="str">
        <f>IF(AD29="","",IF(OR(RANK(AD43,$J43:$BB43,1)&gt;1,AND(RANK(AD43,$J43:$BB43,1)=1,COUNTIF($J43:$BB43,AD43)=1)),RANK(AD43,$J43:$BB43,1),IF(MIN($J60:$BB60)=AD60,1,COUNTIF($J60:$BB60,MIN($J60:$BB60))+1)))</f>
        <v/>
      </c>
      <c r="AD29" s="247" t="str">
        <f>IF(AA$2="","",(IF(AND(COUNTBLANK(AA27:AA27)=0,COUNTBLANK(AC27:AC27)=0),(SUM(AD27:AD27))*$BO$29,"")))</f>
        <v/>
      </c>
      <c r="AE29" s="147"/>
      <c r="AF29" s="148" t="s">
        <v>2</v>
      </c>
      <c r="AG29" s="149" t="str">
        <f>IF(AH29="","",IF(OR(RANK(AH43,$J43:$BB43,1)&gt;1,AND(RANK(AH43,$J43:$BB43,1)=1,COUNTIF($J43:$BB43,AH43)=1)),RANK(AH43,$J43:$BB43,1),IF(MIN($J60:$BB60)=AH60,1,COUNTIF($J60:$BB60,MIN($J60:$BB60))+1)))</f>
        <v/>
      </c>
      <c r="AH29" s="247" t="str">
        <f>IF(AE$2="","",(IF(AND(COUNTBLANK(AE27:AE27)=0,COUNTBLANK(AG27:AG27)=0),(SUM(AH27:AH27))*$BO$29,"")))</f>
        <v/>
      </c>
      <c r="AI29" s="147"/>
      <c r="AJ29" s="148" t="s">
        <v>2</v>
      </c>
      <c r="AK29" s="149" t="str">
        <f>IF(AL29="","",IF(OR(RANK(AL43,$J43:$BB43,1)&gt;1,AND(RANK(AL43,$J43:$BB43,1)=1,COUNTIF($J43:$BB43,AL43)=1)),RANK(AL43,$J43:$BB43,1),IF(MIN($J60:$BB60)=AL60,1,COUNTIF($J60:$BB60,MIN($J60:$BB60))+1)))</f>
        <v/>
      </c>
      <c r="AL29" s="247" t="str">
        <f>IF(AI$2="","",(IF(AND(COUNTBLANK(AI27:AI27)=0,COUNTBLANK(AK27:AK27)=0),(SUM(AL27:AL27))*$BO$29,"")))</f>
        <v/>
      </c>
      <c r="AM29" s="147"/>
      <c r="AN29" s="148" t="s">
        <v>2</v>
      </c>
      <c r="AO29" s="149" t="str">
        <f>IF(AP29="","",IF(OR(RANK(AP43,$J43:$BB43,1)&gt;1,AND(RANK(AP43,$J43:$BB43,1)=1,COUNTIF($J43:$BB43,AP43)=1)),RANK(AP43,$J43:$BB43,1),IF(MIN($J60:$BB60)=AP60,1,COUNTIF($J60:$BB60,MIN($J60:$BB60))+1)))</f>
        <v/>
      </c>
      <c r="AP29" s="247" t="str">
        <f>IF(AM$2="","",(IF(AND(COUNTBLANK(AM27:AM27)=0,COUNTBLANK(AO27:AO27)=0),(SUM(AP27:AP27))*$BO$29,"")))</f>
        <v/>
      </c>
      <c r="AQ29" s="147"/>
      <c r="AR29" s="148" t="s">
        <v>2</v>
      </c>
      <c r="AS29" s="149" t="str">
        <f>IF(AT29="","",IF(OR(RANK(AT43,$J43:$BB43,1)&gt;1,AND(RANK(AT43,$J43:$BB43,1)=1,COUNTIF($J43:$BB43,AT43)=1)),RANK(AT43,$J43:$BB43,1),IF(MIN($J60:$BB60)=AT60,1,COUNTIF($J60:$BB60,MIN($J60:$BB60))+1)))</f>
        <v/>
      </c>
      <c r="AT29" s="247" t="str">
        <f>IF(AQ$2="","",(IF(AND(COUNTBLANK(AQ27:AQ27)=0,COUNTBLANK(AS27:AS27)=0),(SUM(AT27:AT27))*$BO$29,"")))</f>
        <v/>
      </c>
      <c r="AU29" s="147"/>
      <c r="AV29" s="148" t="s">
        <v>2</v>
      </c>
      <c r="AW29" s="149" t="str">
        <f>IF(AX29="","",IF(OR(RANK(AX43,$J43:$BB43,1)&gt;1,AND(RANK(AX43,$J43:$BB43,1)=1,COUNTIF($J43:$BB43,AX43)=1)),RANK(AX43,$J43:$BB43,1),IF(MIN($J60:$BB60)=AX60,1,COUNTIF($J60:$BB60,MIN($J60:$BB60))+1)))</f>
        <v/>
      </c>
      <c r="AX29" s="247" t="str">
        <f>IF(AU$2="","",(IF(AND(COUNTBLANK(AU27:AU27)=0,COUNTBLANK(AW27:AW27)=0),(SUM(AX27:AX27))*$BO$29,"")))</f>
        <v/>
      </c>
      <c r="AY29" s="154"/>
      <c r="AZ29" s="152" t="s">
        <v>2</v>
      </c>
      <c r="BA29" s="153" t="str">
        <f>IF(BB29="","",IF(OR(RANK(BB43,$J43:$BB43,1)&gt;1,AND(RANK(BB43,$J43:$BB43,1)=1,COUNTIF($J43:$BB43,BB43)=1)),RANK(BB43,$J43:$BB43,1),IF(MIN($J60:$BB60)=BB60,1,COUNTIF($J60:$BB60,MIN($J60:$BB60))+1)))</f>
        <v/>
      </c>
      <c r="BB29" s="248" t="str">
        <f>IF(AY$2="","",(IF(AND(COUNTBLANK(AY27:AY27)=0,COUNTBLANK(BA27:BA27)=0),(SUM(BB27:BB27))*$BO$29,"")))</f>
        <v/>
      </c>
      <c r="BC29" s="117"/>
      <c r="BD29" s="117"/>
      <c r="BE29" s="117"/>
      <c r="BF29" s="117"/>
      <c r="BG29" s="117"/>
      <c r="BH29" s="234"/>
      <c r="BI29" s="151"/>
      <c r="BJ29" s="152" t="s">
        <v>2</v>
      </c>
      <c r="BK29" s="153" t="str">
        <f>IF(BL29="","",RANK(BL43,$J43:$BL43,1))</f>
        <v/>
      </c>
      <c r="BL29" s="248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79"/>
      <c r="C30" s="102"/>
      <c r="D30" s="102"/>
      <c r="E30" s="170"/>
      <c r="F30" s="180"/>
      <c r="G30" s="175"/>
      <c r="H30" s="156"/>
      <c r="I30" s="175"/>
      <c r="J30" s="181"/>
      <c r="K30" s="175"/>
      <c r="L30" s="156"/>
      <c r="M30" s="175"/>
      <c r="N30" s="181"/>
      <c r="O30" s="175"/>
      <c r="P30" s="156"/>
      <c r="Q30" s="175"/>
      <c r="R30" s="181"/>
      <c r="S30" s="175"/>
      <c r="T30" s="156"/>
      <c r="U30" s="175"/>
      <c r="V30" s="181"/>
      <c r="W30" s="175"/>
      <c r="X30" s="156"/>
      <c r="Y30" s="175"/>
      <c r="Z30" s="181"/>
      <c r="AA30" s="175"/>
      <c r="AB30" s="156"/>
      <c r="AC30" s="175"/>
      <c r="AD30" s="181"/>
      <c r="AE30" s="175"/>
      <c r="AF30" s="156"/>
      <c r="AG30" s="175"/>
      <c r="AH30" s="181"/>
      <c r="AI30" s="175"/>
      <c r="AJ30" s="156"/>
      <c r="AK30" s="175"/>
      <c r="AL30" s="181"/>
      <c r="AM30" s="175"/>
      <c r="AN30" s="156"/>
      <c r="AO30" s="175"/>
      <c r="AP30" s="181"/>
      <c r="AQ30" s="175"/>
      <c r="AR30" s="156"/>
      <c r="AS30" s="175"/>
      <c r="AT30" s="181"/>
      <c r="AU30" s="175"/>
      <c r="AV30" s="156"/>
      <c r="AW30" s="175"/>
      <c r="AX30" s="181"/>
      <c r="AY30" s="175"/>
      <c r="AZ30" s="156"/>
      <c r="BA30" s="175"/>
      <c r="BB30" s="157"/>
      <c r="BC30" s="117"/>
      <c r="BD30" s="117"/>
      <c r="BE30" s="117"/>
      <c r="BF30" s="117"/>
      <c r="BG30" s="117"/>
      <c r="BH30" s="235"/>
      <c r="BI30" s="155"/>
      <c r="BJ30" s="156"/>
      <c r="BK30" s="175"/>
      <c r="BL30" s="15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69" t="s">
        <v>120</v>
      </c>
      <c r="C31" s="270"/>
      <c r="D31" s="270"/>
      <c r="E31" s="270"/>
      <c r="F31" s="271"/>
      <c r="G31" s="239"/>
      <c r="H31" s="239" t="s">
        <v>4</v>
      </c>
      <c r="I31" s="240"/>
      <c r="J31" s="241" t="s">
        <v>1</v>
      </c>
      <c r="K31" s="242"/>
      <c r="L31" s="239" t="s">
        <v>4</v>
      </c>
      <c r="M31" s="240"/>
      <c r="N31" s="241" t="s">
        <v>1</v>
      </c>
      <c r="O31" s="242"/>
      <c r="P31" s="239" t="s">
        <v>4</v>
      </c>
      <c r="Q31" s="240"/>
      <c r="R31" s="241" t="s">
        <v>1</v>
      </c>
      <c r="S31" s="242"/>
      <c r="T31" s="239" t="s">
        <v>4</v>
      </c>
      <c r="U31" s="240"/>
      <c r="V31" s="241" t="s">
        <v>1</v>
      </c>
      <c r="W31" s="242"/>
      <c r="X31" s="239" t="s">
        <v>4</v>
      </c>
      <c r="Y31" s="240"/>
      <c r="Z31" s="241" t="s">
        <v>1</v>
      </c>
      <c r="AA31" s="242"/>
      <c r="AB31" s="239" t="s">
        <v>4</v>
      </c>
      <c r="AC31" s="240"/>
      <c r="AD31" s="241" t="s">
        <v>1</v>
      </c>
      <c r="AE31" s="242"/>
      <c r="AF31" s="239" t="s">
        <v>4</v>
      </c>
      <c r="AG31" s="240"/>
      <c r="AH31" s="241" t="s">
        <v>1</v>
      </c>
      <c r="AI31" s="242"/>
      <c r="AJ31" s="239" t="s">
        <v>4</v>
      </c>
      <c r="AK31" s="240"/>
      <c r="AL31" s="241" t="s">
        <v>1</v>
      </c>
      <c r="AM31" s="242"/>
      <c r="AN31" s="239" t="s">
        <v>4</v>
      </c>
      <c r="AO31" s="240"/>
      <c r="AP31" s="241" t="s">
        <v>1</v>
      </c>
      <c r="AQ31" s="242"/>
      <c r="AR31" s="239" t="s">
        <v>4</v>
      </c>
      <c r="AS31" s="240"/>
      <c r="AT31" s="241" t="s">
        <v>1</v>
      </c>
      <c r="AU31" s="242"/>
      <c r="AV31" s="239" t="s">
        <v>4</v>
      </c>
      <c r="AW31" s="240"/>
      <c r="AX31" s="241" t="s">
        <v>1</v>
      </c>
      <c r="AY31" s="242"/>
      <c r="AZ31" s="239" t="s">
        <v>4</v>
      </c>
      <c r="BA31" s="240"/>
      <c r="BB31" s="243" t="s">
        <v>1</v>
      </c>
      <c r="BC31" s="117"/>
      <c r="BD31" s="117"/>
      <c r="BE31" s="117"/>
      <c r="BF31" s="117"/>
      <c r="BG31" s="117"/>
      <c r="BH31" s="235"/>
      <c r="BI31" s="242"/>
      <c r="BJ31" s="239" t="s">
        <v>4</v>
      </c>
      <c r="BK31" s="240"/>
      <c r="BL31" s="243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83"/>
      <c r="C32" s="184"/>
      <c r="D32" s="184"/>
      <c r="E32" s="185"/>
      <c r="F32" s="236" t="s">
        <v>121</v>
      </c>
      <c r="G32" s="186"/>
      <c r="H32" s="187" t="s">
        <v>2</v>
      </c>
      <c r="I32" s="188">
        <f>IF(J32="","",RANK(J45,$J45:$BB45,1))</f>
        <v>2</v>
      </c>
      <c r="J32" s="250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30</v>
      </c>
      <c r="K32" s="189"/>
      <c r="L32" s="187" t="s">
        <v>2</v>
      </c>
      <c r="M32" s="188">
        <f>IF(N32="","",RANK(N45,$J45:$BB45,1))</f>
        <v>11</v>
      </c>
      <c r="N32" s="250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60</v>
      </c>
      <c r="O32" s="189"/>
      <c r="P32" s="187" t="s">
        <v>2</v>
      </c>
      <c r="Q32" s="188">
        <f>IF(R32="","",RANK(R45,$J45:$BB45,1))</f>
        <v>3</v>
      </c>
      <c r="R32" s="250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42</v>
      </c>
      <c r="S32" s="189"/>
      <c r="T32" s="187" t="s">
        <v>2</v>
      </c>
      <c r="U32" s="188">
        <f>IF(V32="","",RANK(V45,$J45:$BB45,1))</f>
        <v>8</v>
      </c>
      <c r="V32" s="250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54</v>
      </c>
      <c r="W32" s="189"/>
      <c r="X32" s="187" t="s">
        <v>2</v>
      </c>
      <c r="Y32" s="188">
        <f>IF(Z32="","",RANK(Z45,$J45:$BB45,1))</f>
        <v>6</v>
      </c>
      <c r="Z32" s="250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50</v>
      </c>
      <c r="AA32" s="189"/>
      <c r="AB32" s="187" t="s">
        <v>2</v>
      </c>
      <c r="AC32" s="188">
        <f>IF(AD32="","",RANK(AD45,$J45:$BB45,1))</f>
        <v>9</v>
      </c>
      <c r="AD32" s="250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57</v>
      </c>
      <c r="AE32" s="189"/>
      <c r="AF32" s="187" t="s">
        <v>2</v>
      </c>
      <c r="AG32" s="188">
        <f>IF(AH32="","",RANK(AH45,$J45:$BB45,1))</f>
        <v>12</v>
      </c>
      <c r="AH32" s="250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61</v>
      </c>
      <c r="AI32" s="189"/>
      <c r="AJ32" s="187" t="s">
        <v>2</v>
      </c>
      <c r="AK32" s="188">
        <f>IF(AL32="","",RANK(AL45,$J45:$BB45,1))</f>
        <v>1</v>
      </c>
      <c r="AL32" s="250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27</v>
      </c>
      <c r="AM32" s="189"/>
      <c r="AN32" s="187" t="s">
        <v>2</v>
      </c>
      <c r="AO32" s="188">
        <f>IF(AP32="","",RANK(AP45,$J45:$BB45,1))</f>
        <v>7</v>
      </c>
      <c r="AP32" s="250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53</v>
      </c>
      <c r="AQ32" s="189"/>
      <c r="AR32" s="187" t="s">
        <v>2</v>
      </c>
      <c r="AS32" s="188">
        <f>IF(AT32="","",RANK(AT45,$J45:$BB45,1))</f>
        <v>4</v>
      </c>
      <c r="AT32" s="250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45</v>
      </c>
      <c r="AU32" s="189"/>
      <c r="AV32" s="187" t="s">
        <v>2</v>
      </c>
      <c r="AW32" s="188">
        <f>IF(AX32="","",RANK(AX45,$J45:$BB45,1))</f>
        <v>9</v>
      </c>
      <c r="AX32" s="250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57</v>
      </c>
      <c r="AY32" s="189"/>
      <c r="AZ32" s="187" t="s">
        <v>2</v>
      </c>
      <c r="BA32" s="188">
        <f>IF(BB32="","",RANK(BB45,$J45:$BB45,1))</f>
        <v>5</v>
      </c>
      <c r="BB32" s="249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47</v>
      </c>
      <c r="BC32" s="117"/>
      <c r="BD32" s="117"/>
      <c r="BE32" s="117"/>
      <c r="BF32" s="117"/>
      <c r="BG32" s="117"/>
      <c r="BH32" s="235"/>
      <c r="BI32" s="190"/>
      <c r="BJ32" s="191" t="s">
        <v>2</v>
      </c>
      <c r="BK32" s="192">
        <f>IF(BL32="","",RANK(BL45,$J45:$BL45,1))</f>
        <v>4</v>
      </c>
      <c r="BL32" s="251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45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2"/>
      <c r="C33" s="171"/>
      <c r="D33" s="171"/>
      <c r="E33" s="172"/>
      <c r="F33" s="237" t="s">
        <v>122</v>
      </c>
      <c r="G33" s="176"/>
      <c r="H33" s="159" t="s">
        <v>60</v>
      </c>
      <c r="I33" s="160">
        <f>IF(J32="","",SUM(G46:G56))</f>
        <v>3</v>
      </c>
      <c r="J33" s="161">
        <f>IF(J32="","",IF(COUNTBLANK(G46:G56)=11,"",I33/(11-COUNTBLANK(G46:G56))))</f>
        <v>0.75</v>
      </c>
      <c r="K33" s="158"/>
      <c r="L33" s="159" t="s">
        <v>60</v>
      </c>
      <c r="M33" s="160">
        <f>IF(N32="","",SUM(K46:K56))</f>
        <v>2</v>
      </c>
      <c r="N33" s="161">
        <f>IF(N32="","",IF(COUNTBLANK(K46:K56)=11,"",M33/(11-COUNTBLANK(K46:K56))))</f>
        <v>0.5</v>
      </c>
      <c r="O33" s="158"/>
      <c r="P33" s="159" t="s">
        <v>60</v>
      </c>
      <c r="Q33" s="160">
        <f>IF(R32="","",SUM(O46:O56))</f>
        <v>2</v>
      </c>
      <c r="R33" s="161">
        <f>IF(R32="","",IF(COUNTBLANK(O46:O56)=11,"",Q33/(11-COUNTBLANK(O46:O56))))</f>
        <v>0.5</v>
      </c>
      <c r="S33" s="158"/>
      <c r="T33" s="159" t="s">
        <v>60</v>
      </c>
      <c r="U33" s="160">
        <f>IF(V32="","",SUM(S46:S56))</f>
        <v>2</v>
      </c>
      <c r="V33" s="161">
        <f>IF(V32="","",IF(COUNTBLANK(S46:S56)=11,"",U33/(11-COUNTBLANK(S46:S56))))</f>
        <v>0.5</v>
      </c>
      <c r="W33" s="158"/>
      <c r="X33" s="159" t="s">
        <v>60</v>
      </c>
      <c r="Y33" s="160">
        <f>IF(Z32="","",SUM(W46:W56))</f>
        <v>2</v>
      </c>
      <c r="Z33" s="161">
        <f>IF(Z32="","",IF(COUNTBLANK(W46:W56)=11,"",Y33/(11-COUNTBLANK(W46:W56))))</f>
        <v>0.5</v>
      </c>
      <c r="AA33" s="158"/>
      <c r="AB33" s="159" t="s">
        <v>60</v>
      </c>
      <c r="AC33" s="160">
        <f>IF(AD32="","",SUM(AA46:AA56))</f>
        <v>2</v>
      </c>
      <c r="AD33" s="161">
        <f>IF(AD32="","",IF(COUNTBLANK(AA46:AA56)=11,"",AC33/(11-COUNTBLANK(AA46:AA56))))</f>
        <v>0.5</v>
      </c>
      <c r="AE33" s="158"/>
      <c r="AF33" s="159" t="s">
        <v>60</v>
      </c>
      <c r="AG33" s="160">
        <f>IF(AH32="","",SUM(AE46:AE56))</f>
        <v>1</v>
      </c>
      <c r="AH33" s="161">
        <f>IF(AH32="","",IF(COUNTBLANK(AE46:AE56)=11,"",AG33/(11-COUNTBLANK(AE46:AE56))))</f>
        <v>0.25</v>
      </c>
      <c r="AI33" s="158"/>
      <c r="AJ33" s="159" t="s">
        <v>60</v>
      </c>
      <c r="AK33" s="160">
        <f>IF(AL32="","",SUM(AI46:AI56))</f>
        <v>3</v>
      </c>
      <c r="AL33" s="161">
        <f>IF(AL32="","",IF(COUNTBLANK(AI46:AI56)=11,"",AK33/(11-COUNTBLANK(AI46:AI56))))</f>
        <v>0.75</v>
      </c>
      <c r="AM33" s="158"/>
      <c r="AN33" s="159" t="s">
        <v>60</v>
      </c>
      <c r="AO33" s="160">
        <f>IF(AP32="","",SUM(AM46:AM56))</f>
        <v>1</v>
      </c>
      <c r="AP33" s="161">
        <f>IF(AP32="","",IF(COUNTBLANK(AM46:AM56)=11,"",AO33/(11-COUNTBLANK(AM46:AM56))))</f>
        <v>0.25</v>
      </c>
      <c r="AQ33" s="158"/>
      <c r="AR33" s="159" t="s">
        <v>60</v>
      </c>
      <c r="AS33" s="160">
        <f>IF(AT32="","",SUM(AQ46:AQ56))</f>
        <v>2</v>
      </c>
      <c r="AT33" s="161">
        <f>IF(AT32="","",IF(COUNTBLANK(AQ46:AQ56)=11,"",AS33/(11-COUNTBLANK(AQ46:AQ56))))</f>
        <v>0.5</v>
      </c>
      <c r="AU33" s="158"/>
      <c r="AV33" s="159" t="s">
        <v>60</v>
      </c>
      <c r="AW33" s="160">
        <f>IF(AX32="","",SUM(AU46:AU56))</f>
        <v>2</v>
      </c>
      <c r="AX33" s="161">
        <f>IF(AX32="","",IF(COUNTBLANK(AU46:AU56)=11,"",AW33/(11-COUNTBLANK(AU46:AU56))))</f>
        <v>0.5</v>
      </c>
      <c r="AY33" s="158"/>
      <c r="AZ33" s="159" t="s">
        <v>60</v>
      </c>
      <c r="BA33" s="160">
        <f>IF(BB32="","",SUM(AY46:AY56))</f>
        <v>2</v>
      </c>
      <c r="BB33" s="162">
        <f>IF(BB32="","",IF(COUNTBLANK(AY46:AY56)=11,"",BA33/(11-COUNTBLANK(AY46:AY56))))</f>
        <v>0.5</v>
      </c>
      <c r="BC33" s="103"/>
      <c r="BD33" s="103"/>
      <c r="BE33" s="103"/>
      <c r="BF33" s="103"/>
      <c r="BG33" s="103"/>
      <c r="BH33" s="234"/>
      <c r="BI33" s="163"/>
      <c r="BJ33" s="159" t="s">
        <v>60</v>
      </c>
      <c r="BK33" s="160">
        <f>IF(BL32="","",SUM(BI46:BI56))</f>
        <v>2</v>
      </c>
      <c r="BL33" s="162">
        <f>IF(BL32="","",IF(COUNTBLANK(BI46:BI56)=11,"",BK33/(11-COUNTBLANK(BI46:BI56))))</f>
        <v>0.5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2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3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6</v>
      </c>
      <c r="AA36" s="38"/>
      <c r="AB36" s="38"/>
      <c r="AC36" s="38"/>
      <c r="AD36" s="38">
        <f>AC10</f>
        <v>9</v>
      </c>
      <c r="AE36" s="38"/>
      <c r="AF36" s="38"/>
      <c r="AG36" s="38"/>
      <c r="AH36" s="38">
        <f>AG10</f>
        <v>12</v>
      </c>
      <c r="AI36" s="38"/>
      <c r="AJ36" s="38"/>
      <c r="AK36" s="38"/>
      <c r="AL36" s="38">
        <f>AK10</f>
        <v>1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4</v>
      </c>
      <c r="AU36" s="38"/>
      <c r="AV36" s="38"/>
      <c r="AW36" s="38"/>
      <c r="AX36" s="38">
        <f>AW10</f>
        <v>9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4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30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42</v>
      </c>
      <c r="S37" s="38"/>
      <c r="T37" s="38"/>
      <c r="U37" s="38"/>
      <c r="V37" s="38">
        <f>V10</f>
        <v>54</v>
      </c>
      <c r="W37" s="38"/>
      <c r="X37" s="38"/>
      <c r="Y37" s="38"/>
      <c r="Z37" s="38">
        <f>Z10</f>
        <v>50</v>
      </c>
      <c r="AA37" s="38"/>
      <c r="AB37" s="38"/>
      <c r="AC37" s="38"/>
      <c r="AD37" s="38">
        <f>AD10</f>
        <v>57</v>
      </c>
      <c r="AE37" s="38"/>
      <c r="AF37" s="38"/>
      <c r="AG37" s="38"/>
      <c r="AH37" s="38">
        <f>AH10</f>
        <v>61</v>
      </c>
      <c r="AI37" s="38"/>
      <c r="AJ37" s="38"/>
      <c r="AK37" s="38"/>
      <c r="AL37" s="38">
        <f>AL10</f>
        <v>27</v>
      </c>
      <c r="AM37" s="38"/>
      <c r="AN37" s="38"/>
      <c r="AO37" s="38"/>
      <c r="AP37" s="38">
        <f>AP10</f>
        <v>53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57</v>
      </c>
      <c r="AY37" s="38"/>
      <c r="AZ37" s="38"/>
      <c r="BA37" s="38"/>
      <c r="BB37" s="38">
        <f>BB10</f>
        <v>47</v>
      </c>
      <c r="BH37" s="33"/>
      <c r="BI37" s="38"/>
      <c r="BJ37" s="38"/>
      <c r="BK37" s="38"/>
      <c r="BL37" s="45">
        <f>BL10</f>
        <v>45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"48",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</v>
      </c>
      <c r="K38" s="38"/>
      <c r="L38" s="38"/>
      <c r="M38" s="38"/>
      <c r="N38" s="38">
        <f>M18</f>
        <v>1</v>
      </c>
      <c r="O38" s="38"/>
      <c r="P38" s="38"/>
      <c r="Q38" s="38"/>
      <c r="R38" s="38">
        <f>Q18</f>
        <v>1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</v>
      </c>
      <c r="AA38" s="38"/>
      <c r="AB38" s="38"/>
      <c r="AC38" s="38"/>
      <c r="AD38" s="38">
        <f>AC18</f>
        <v>1</v>
      </c>
      <c r="AE38" s="38"/>
      <c r="AF38" s="38"/>
      <c r="AG38" s="38"/>
      <c r="AH38" s="38">
        <f>AG18</f>
        <v>1</v>
      </c>
      <c r="AI38" s="38"/>
      <c r="AJ38" s="38"/>
      <c r="AK38" s="38"/>
      <c r="AL38" s="38">
        <f>AK18</f>
        <v>1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1</v>
      </c>
      <c r="AU38" s="38"/>
      <c r="AV38" s="38"/>
      <c r="AW38" s="38"/>
      <c r="AX38" s="38">
        <f>AW18</f>
        <v>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1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0</v>
      </c>
      <c r="K39" s="38"/>
      <c r="L39" s="38"/>
      <c r="M39" s="38"/>
      <c r="N39" s="38">
        <f>N18</f>
        <v>0</v>
      </c>
      <c r="O39" s="38"/>
      <c r="P39" s="38"/>
      <c r="Q39" s="38"/>
      <c r="R39" s="38">
        <f>R18</f>
        <v>0</v>
      </c>
      <c r="S39" s="38"/>
      <c r="T39" s="38"/>
      <c r="U39" s="38"/>
      <c r="V39" s="38">
        <f>V18</f>
        <v>0</v>
      </c>
      <c r="W39" s="38"/>
      <c r="X39" s="38"/>
      <c r="Y39" s="38"/>
      <c r="Z39" s="38">
        <f>Z18</f>
        <v>0</v>
      </c>
      <c r="AA39" s="38"/>
      <c r="AB39" s="38"/>
      <c r="AC39" s="38"/>
      <c r="AD39" s="38">
        <f>AD18</f>
        <v>0</v>
      </c>
      <c r="AE39" s="38"/>
      <c r="AF39" s="38"/>
      <c r="AG39" s="38"/>
      <c r="AH39" s="38">
        <f>AH18</f>
        <v>0</v>
      </c>
      <c r="AI39" s="38"/>
      <c r="AJ39" s="38"/>
      <c r="AK39" s="38"/>
      <c r="AL39" s="38">
        <f>AL18</f>
        <v>0</v>
      </c>
      <c r="AM39" s="38"/>
      <c r="AN39" s="38"/>
      <c r="AO39" s="38"/>
      <c r="AP39" s="38">
        <f>AP18</f>
        <v>0</v>
      </c>
      <c r="AQ39" s="38"/>
      <c r="AR39" s="38"/>
      <c r="AS39" s="38"/>
      <c r="AT39" s="38">
        <f>AT18</f>
        <v>0</v>
      </c>
      <c r="AU39" s="38"/>
      <c r="AV39" s="38"/>
      <c r="AW39" s="38"/>
      <c r="AX39" s="38">
        <f>AX18</f>
        <v>0</v>
      </c>
      <c r="AY39" s="38"/>
      <c r="AZ39" s="38"/>
      <c r="BA39" s="38"/>
      <c r="BB39" s="38">
        <f>BB18</f>
        <v>0</v>
      </c>
      <c r="BH39" s="33"/>
      <c r="BI39" s="38"/>
      <c r="BJ39" s="38"/>
      <c r="BK39" s="38"/>
      <c r="BL39" s="38">
        <f>BL18</f>
        <v>0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56</v>
      </c>
      <c r="BO41" s="42">
        <f>SUM(BO37:BO40)</f>
        <v>2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"44",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0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2</v>
      </c>
      <c r="K44" s="38"/>
      <c r="L44" s="38"/>
      <c r="M44" s="38"/>
      <c r="N44" s="38">
        <f>M32</f>
        <v>11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8</v>
      </c>
      <c r="W44" s="38"/>
      <c r="X44" s="38"/>
      <c r="Y44" s="38"/>
      <c r="Z44" s="38">
        <f>Y32</f>
        <v>6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12</v>
      </c>
      <c r="AI44" s="38"/>
      <c r="AJ44" s="38"/>
      <c r="AK44" s="38"/>
      <c r="AL44" s="38">
        <f>AK32</f>
        <v>1</v>
      </c>
      <c r="AM44" s="38"/>
      <c r="AN44" s="38"/>
      <c r="AO44" s="38"/>
      <c r="AP44" s="38">
        <f>AO32</f>
        <v>7</v>
      </c>
      <c r="AQ44" s="38"/>
      <c r="AR44" s="38"/>
      <c r="AS44" s="38"/>
      <c r="AT44" s="38">
        <f>AS32</f>
        <v>4</v>
      </c>
      <c r="AU44" s="38"/>
      <c r="AV44" s="38"/>
      <c r="AW44" s="38"/>
      <c r="AX44" s="38">
        <f>AW32</f>
        <v>9</v>
      </c>
      <c r="AY44" s="38"/>
      <c r="AZ44" s="38"/>
      <c r="BA44" s="38"/>
      <c r="BB44" s="38">
        <f>BA32</f>
        <v>5</v>
      </c>
      <c r="BH44" s="33"/>
      <c r="BI44" s="38"/>
      <c r="BJ44" s="38"/>
      <c r="BK44" s="38"/>
      <c r="BL44" s="38">
        <f>BK32</f>
        <v>4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30</v>
      </c>
      <c r="K45" s="38"/>
      <c r="L45" s="38"/>
      <c r="M45" s="38"/>
      <c r="N45" s="38">
        <f>N32</f>
        <v>60</v>
      </c>
      <c r="O45" s="38"/>
      <c r="P45" s="38"/>
      <c r="Q45" s="38"/>
      <c r="R45" s="38">
        <f>R32</f>
        <v>42</v>
      </c>
      <c r="S45" s="38"/>
      <c r="T45" s="38"/>
      <c r="U45" s="38"/>
      <c r="V45" s="38">
        <f>V32</f>
        <v>54</v>
      </c>
      <c r="W45" s="38"/>
      <c r="X45" s="38"/>
      <c r="Y45" s="38"/>
      <c r="Z45" s="38">
        <f>Z32</f>
        <v>50</v>
      </c>
      <c r="AA45" s="38"/>
      <c r="AB45" s="38"/>
      <c r="AC45" s="38"/>
      <c r="AD45" s="38">
        <f>AD32</f>
        <v>57</v>
      </c>
      <c r="AE45" s="38"/>
      <c r="AF45" s="38"/>
      <c r="AG45" s="38"/>
      <c r="AH45" s="38">
        <f>AH32</f>
        <v>61</v>
      </c>
      <c r="AI45" s="38"/>
      <c r="AJ45" s="38"/>
      <c r="AK45" s="38"/>
      <c r="AL45" s="38">
        <f>AL32</f>
        <v>27</v>
      </c>
      <c r="AM45" s="38"/>
      <c r="AN45" s="38"/>
      <c r="AO45" s="38"/>
      <c r="AP45" s="38">
        <f>AP32</f>
        <v>53</v>
      </c>
      <c r="AQ45" s="38"/>
      <c r="AR45" s="38"/>
      <c r="AS45" s="38"/>
      <c r="AT45" s="38">
        <f>AT32</f>
        <v>45</v>
      </c>
      <c r="AU45" s="38"/>
      <c r="AV45" s="38"/>
      <c r="AW45" s="38"/>
      <c r="AX45" s="38">
        <f>AX32</f>
        <v>57</v>
      </c>
      <c r="AY45" s="38"/>
      <c r="AZ45" s="38"/>
      <c r="BA45" s="38"/>
      <c r="BB45" s="38">
        <f>BB32</f>
        <v>47</v>
      </c>
      <c r="BH45" s="33"/>
      <c r="BI45" s="38"/>
      <c r="BJ45" s="38"/>
      <c r="BK45" s="38"/>
      <c r="BL45" s="38">
        <f>BL32</f>
        <v>45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0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0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0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0</v>
      </c>
      <c r="BJ46" s="38"/>
      <c r="BK46" s="38"/>
      <c r="BL46" s="38"/>
      <c r="BN46" s="41" t="s">
        <v>56</v>
      </c>
      <c r="BO46" s="42">
        <f>SUM(BO42:BO45)</f>
        <v>1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"H",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 t="str">
        <f>IF(AND($BD13&lt;&gt;"H",$BD13&lt;&gt;"V"),"",IF(G13=$BD13,1,0))</f>
        <v/>
      </c>
      <c r="H50" s="38"/>
      <c r="I50" s="38"/>
      <c r="J50" s="38"/>
      <c r="K50" s="38" t="str">
        <f>IF(AND($BD13&lt;&gt;"H",$BD13&lt;&gt;"V"),"",IF(K13=$BD13,1,0))</f>
        <v/>
      </c>
      <c r="L50" s="38"/>
      <c r="M50" s="38"/>
      <c r="N50" s="38"/>
      <c r="O50" s="38" t="str">
        <f>IF(AND($BD13&lt;&gt;"H",$BD13&lt;&gt;"V"),"",IF(O13=$BD13,1,0))</f>
        <v/>
      </c>
      <c r="P50" s="38"/>
      <c r="Q50" s="38"/>
      <c r="R50" s="38"/>
      <c r="S50" s="38" t="str">
        <f>IF(AND($BD13&lt;&gt;"H",$BD13&lt;&gt;"V"),"",IF(S13=$BD13,1,0))</f>
        <v/>
      </c>
      <c r="T50" s="38"/>
      <c r="U50" s="38"/>
      <c r="V50" s="38"/>
      <c r="W50" s="38" t="str">
        <f>IF(AND($BD13&lt;&gt;"H",$BD13&lt;&gt;"V"),"",IF(W13=$BD13,1,0))</f>
        <v/>
      </c>
      <c r="X50" s="38"/>
      <c r="Y50" s="38"/>
      <c r="Z50" s="38"/>
      <c r="AA50" s="38" t="str">
        <f>IF(AND($BD13&lt;&gt;"H",$BD13&lt;&gt;"V"),"",IF(AA13=$BD13,1,0))</f>
        <v/>
      </c>
      <c r="AB50" s="38"/>
      <c r="AC50" s="38"/>
      <c r="AD50" s="38"/>
      <c r="AE50" s="38" t="str">
        <f>IF(AND($BD13&lt;&gt;"H",$BD13&lt;&gt;"V"),"",IF(AE13=$BD13,1,0))</f>
        <v/>
      </c>
      <c r="AF50" s="38"/>
      <c r="AG50" s="38"/>
      <c r="AH50" s="38"/>
      <c r="AI50" s="38" t="str">
        <f>IF(AND($BD13&lt;&gt;"H",$BD13&lt;&gt;"V"),"",IF(AI13=$BD13,1,0))</f>
        <v/>
      </c>
      <c r="AJ50" s="38"/>
      <c r="AK50" s="38"/>
      <c r="AL50" s="38"/>
      <c r="AM50" s="38" t="str">
        <f>IF(AND($BD13&lt;&gt;"H",$BD13&lt;&gt;"V"),"",IF(AM13=$BD13,1,0))</f>
        <v/>
      </c>
      <c r="AN50" s="38"/>
      <c r="AO50" s="38"/>
      <c r="AP50" s="38"/>
      <c r="AQ50" s="38" t="str">
        <f>IF(AND($BD13&lt;&gt;"H",$BD13&lt;&gt;"V"),"",IF(AQ13=$BD13,1,0))</f>
        <v/>
      </c>
      <c r="AR50" s="38"/>
      <c r="AS50" s="38"/>
      <c r="AT50" s="38"/>
      <c r="AU50" s="38" t="str">
        <f>IF(AND($BD13&lt;&gt;"H",$BD13&lt;&gt;"V"),"",IF(AU13=$BD13,1,0))</f>
        <v/>
      </c>
      <c r="AV50" s="38"/>
      <c r="AW50" s="38"/>
      <c r="AX50" s="38"/>
      <c r="AY50" s="38" t="str">
        <f>IF(AND($BD13&lt;&gt;"H",$BD13&lt;&gt;"V"),"",IF(AY13=$BD13,1,0))</f>
        <v/>
      </c>
      <c r="AZ50" s="38"/>
      <c r="BA50" s="38"/>
      <c r="BB50" s="38"/>
      <c r="BH50" s="33"/>
      <c r="BI50" s="38" t="str">
        <f>IF(AND($BD13&lt;&gt;"H",$BD13&lt;&gt;"V"),"",IF(BI13=$BD13,1,0))</f>
        <v/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 t="str">
        <f>IF(AND($BD14&lt;&gt;"H",$BD14&lt;&gt;"V"),"",IF(G14=$BD14,1,0))</f>
        <v/>
      </c>
      <c r="H51" s="38"/>
      <c r="I51" s="38"/>
      <c r="J51" s="38"/>
      <c r="K51" s="38" t="str">
        <f>IF(AND($BD14&lt;&gt;"H",$BD14&lt;&gt;"V"),"",IF(K14=$BD14,1,0))</f>
        <v/>
      </c>
      <c r="L51" s="38"/>
      <c r="M51" s="38"/>
      <c r="N51" s="38"/>
      <c r="O51" s="38" t="str">
        <f>IF(AND($BD14&lt;&gt;"H",$BD14&lt;&gt;"V"),"",IF(O14=$BD14,1,0))</f>
        <v/>
      </c>
      <c r="P51" s="38"/>
      <c r="Q51" s="38"/>
      <c r="R51" s="38"/>
      <c r="S51" s="38" t="str">
        <f>IF(AND($BD14&lt;&gt;"H",$BD14&lt;&gt;"V"),"",IF(S14=$BD14,1,0))</f>
        <v/>
      </c>
      <c r="T51" s="38"/>
      <c r="U51" s="38"/>
      <c r="V51" s="38"/>
      <c r="W51" s="38" t="str">
        <f>IF(AND($BD14&lt;&gt;"H",$BD14&lt;&gt;"V"),"",IF(W14=$BD14,1,0))</f>
        <v/>
      </c>
      <c r="X51" s="38"/>
      <c r="Y51" s="38"/>
      <c r="Z51" s="38"/>
      <c r="AA51" s="38" t="str">
        <f>IF(AND($BD14&lt;&gt;"H",$BD14&lt;&gt;"V"),"",IF(AA14=$BD14,1,0))</f>
        <v/>
      </c>
      <c r="AB51" s="38"/>
      <c r="AC51" s="38"/>
      <c r="AD51" s="38"/>
      <c r="AE51" s="38" t="str">
        <f>IF(AND($BD14&lt;&gt;"H",$BD14&lt;&gt;"V"),"",IF(AE14=$BD14,1,0))</f>
        <v/>
      </c>
      <c r="AF51" s="38"/>
      <c r="AG51" s="38"/>
      <c r="AH51" s="38"/>
      <c r="AI51" s="38" t="str">
        <f>IF(AND($BD14&lt;&gt;"H",$BD14&lt;&gt;"V"),"",IF(AI14=$BD14,1,0))</f>
        <v/>
      </c>
      <c r="AJ51" s="38"/>
      <c r="AK51" s="38"/>
      <c r="AL51" s="38"/>
      <c r="AM51" s="38" t="str">
        <f>IF(AND($BD14&lt;&gt;"H",$BD14&lt;&gt;"V"),"",IF(AM14=$BD14,1,0))</f>
        <v/>
      </c>
      <c r="AN51" s="38"/>
      <c r="AO51" s="38"/>
      <c r="AP51" s="38"/>
      <c r="AQ51" s="38" t="str">
        <f>IF(AND($BD14&lt;&gt;"H",$BD14&lt;&gt;"V"),"",IF(AQ14=$BD14,1,0))</f>
        <v/>
      </c>
      <c r="AR51" s="38"/>
      <c r="AS51" s="38"/>
      <c r="AT51" s="38"/>
      <c r="AU51" s="38" t="str">
        <f>IF(AND($BD14&lt;&gt;"H",$BD14&lt;&gt;"V"),"",IF(AU14=$BD14,1,0))</f>
        <v/>
      </c>
      <c r="AV51" s="38"/>
      <c r="AW51" s="38"/>
      <c r="AX51" s="38"/>
      <c r="AY51" s="38" t="str">
        <f>IF(AND($BD14&lt;&gt;"H",$BD14&lt;&gt;"V"),"",IF(AY14=$BD14,1,0))</f>
        <v/>
      </c>
      <c r="AZ51" s="38"/>
      <c r="BA51" s="38"/>
      <c r="BB51" s="38"/>
      <c r="BH51" s="33"/>
      <c r="BI51" s="38" t="str">
        <f>IF(AND($BD14&lt;&gt;"H",$BD14&lt;&gt;"V"),"",IF(BI14=$BD14,1,0))</f>
        <v/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 t="str">
        <f>IF(AND($BD15&lt;&gt;"H",$BD15&lt;&gt;"V"),"",IF(G15=$BD15,1,0))</f>
        <v/>
      </c>
      <c r="H52" s="38"/>
      <c r="I52" s="38"/>
      <c r="J52" s="38"/>
      <c r="K52" s="38" t="str">
        <f>IF(AND($BD15&lt;&gt;"H",$BD15&lt;&gt;"V"),"",IF(K15=$BD15,1,0))</f>
        <v/>
      </c>
      <c r="L52" s="38"/>
      <c r="M52" s="38"/>
      <c r="N52" s="38"/>
      <c r="O52" s="38" t="str">
        <f>IF(AND($BD15&lt;&gt;"H",$BD15&lt;&gt;"V"),"",IF(O15=$BD15,1,0))</f>
        <v/>
      </c>
      <c r="P52" s="38"/>
      <c r="Q52" s="38"/>
      <c r="R52" s="38"/>
      <c r="S52" s="38" t="str">
        <f>IF(AND($BD15&lt;&gt;"H",$BD15&lt;&gt;"V"),"",IF(S15=$BD15,1,0))</f>
        <v/>
      </c>
      <c r="T52" s="38"/>
      <c r="U52" s="38"/>
      <c r="V52" s="38"/>
      <c r="W52" s="38" t="str">
        <f>IF(AND($BD15&lt;&gt;"H",$BD15&lt;&gt;"V"),"",IF(W15=$BD15,1,0))</f>
        <v/>
      </c>
      <c r="X52" s="38"/>
      <c r="Y52" s="38"/>
      <c r="Z52" s="38"/>
      <c r="AA52" s="38" t="str">
        <f>IF(AND($BD15&lt;&gt;"H",$BD15&lt;&gt;"V"),"",IF(AA15=$BD15,1,0))</f>
        <v/>
      </c>
      <c r="AB52" s="38"/>
      <c r="AC52" s="38"/>
      <c r="AD52" s="38"/>
      <c r="AE52" s="38" t="str">
        <f>IF(AND($BD15&lt;&gt;"H",$BD15&lt;&gt;"V"),"",IF(AE15=$BD15,1,0))</f>
        <v/>
      </c>
      <c r="AF52" s="38"/>
      <c r="AG52" s="38"/>
      <c r="AH52" s="38"/>
      <c r="AI52" s="38" t="str">
        <f>IF(AND($BD15&lt;&gt;"H",$BD15&lt;&gt;"V"),"",IF(AI15=$BD15,1,0))</f>
        <v/>
      </c>
      <c r="AJ52" s="38"/>
      <c r="AK52" s="38"/>
      <c r="AL52" s="38"/>
      <c r="AM52" s="38" t="str">
        <f>IF(AND($BD15&lt;&gt;"H",$BD15&lt;&gt;"V"),"",IF(AM15=$BD15,1,0))</f>
        <v/>
      </c>
      <c r="AN52" s="38"/>
      <c r="AO52" s="38"/>
      <c r="AP52" s="38"/>
      <c r="AQ52" s="38" t="str">
        <f>IF(AND($BD15&lt;&gt;"H",$BD15&lt;&gt;"V"),"",IF(AQ15=$BD15,1,0))</f>
        <v/>
      </c>
      <c r="AR52" s="38"/>
      <c r="AS52" s="38"/>
      <c r="AT52" s="38"/>
      <c r="AU52" s="38" t="str">
        <f>IF(AND($BD15&lt;&gt;"H",$BD15&lt;&gt;"V"),"",IF(AU15=$BD15,1,0))</f>
        <v/>
      </c>
      <c r="AV52" s="38"/>
      <c r="AW52" s="38"/>
      <c r="AX52" s="38"/>
      <c r="AY52" s="38" t="str">
        <f>IF(AND($BD15&lt;&gt;"H",$BD15&lt;&gt;"V"),"",IF(AY15=$BD15,1,0))</f>
        <v/>
      </c>
      <c r="AZ52" s="38"/>
      <c r="BA52" s="38"/>
      <c r="BB52" s="38"/>
      <c r="BH52" s="33"/>
      <c r="BI52" s="38" t="str">
        <f>IF(AND($BD15&lt;&gt;"H",$BD15&lt;&gt;"V"),"",IF(BI15=$BD15,1,0))</f>
        <v/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"V",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 t="str">
        <f>IF(AND($BD16&lt;&gt;"H",$BD16&lt;&gt;"V"),"",IF(G16=$BD16,1,0))</f>
        <v/>
      </c>
      <c r="H53" s="38"/>
      <c r="I53" s="38"/>
      <c r="J53" s="38"/>
      <c r="K53" s="38" t="str">
        <f>IF(AND($BD16&lt;&gt;"H",$BD16&lt;&gt;"V"),"",IF(K16=$BD16,1,0))</f>
        <v/>
      </c>
      <c r="L53" s="38"/>
      <c r="M53" s="38"/>
      <c r="N53" s="38"/>
      <c r="O53" s="38" t="str">
        <f>IF(AND($BD16&lt;&gt;"H",$BD16&lt;&gt;"V"),"",IF(O16=$BD16,1,0))</f>
        <v/>
      </c>
      <c r="P53" s="38"/>
      <c r="Q53" s="38"/>
      <c r="R53" s="38"/>
      <c r="S53" s="38" t="str">
        <f>IF(AND($BD16&lt;&gt;"H",$BD16&lt;&gt;"V"),"",IF(S16=$BD16,1,0))</f>
        <v/>
      </c>
      <c r="T53" s="38"/>
      <c r="U53" s="38"/>
      <c r="V53" s="38"/>
      <c r="W53" s="38" t="str">
        <f>IF(AND($BD16&lt;&gt;"H",$BD16&lt;&gt;"V"),"",IF(W16=$BD16,1,0))</f>
        <v/>
      </c>
      <c r="X53" s="38"/>
      <c r="Y53" s="38"/>
      <c r="Z53" s="38"/>
      <c r="AA53" s="38" t="str">
        <f>IF(AND($BD16&lt;&gt;"H",$BD16&lt;&gt;"V"),"",IF(AA16=$BD16,1,0))</f>
        <v/>
      </c>
      <c r="AB53" s="38"/>
      <c r="AC53" s="38"/>
      <c r="AD53" s="38"/>
      <c r="AE53" s="38" t="str">
        <f>IF(AND($BD16&lt;&gt;"H",$BD16&lt;&gt;"V"),"",IF(AE16=$BD16,1,0))</f>
        <v/>
      </c>
      <c r="AF53" s="38"/>
      <c r="AG53" s="38"/>
      <c r="AH53" s="38"/>
      <c r="AI53" s="38" t="str">
        <f>IF(AND($BD16&lt;&gt;"H",$BD16&lt;&gt;"V"),"",IF(AI16=$BD16,1,0))</f>
        <v/>
      </c>
      <c r="AJ53" s="38"/>
      <c r="AK53" s="38"/>
      <c r="AL53" s="38"/>
      <c r="AM53" s="38" t="str">
        <f>IF(AND($BD16&lt;&gt;"H",$BD16&lt;&gt;"V"),"",IF(AM16=$BD16,1,0))</f>
        <v/>
      </c>
      <c r="AN53" s="38"/>
      <c r="AO53" s="38"/>
      <c r="AP53" s="38"/>
      <c r="AQ53" s="38" t="str">
        <f>IF(AND($BD16&lt;&gt;"H",$BD16&lt;&gt;"V"),"",IF(AQ16=$BD16,1,0))</f>
        <v/>
      </c>
      <c r="AR53" s="38"/>
      <c r="AS53" s="38"/>
      <c r="AT53" s="38"/>
      <c r="AU53" s="38" t="str">
        <f>IF(AND($BD16&lt;&gt;"H",$BD16&lt;&gt;"V"),"",IF(AU16=$BD16,1,0))</f>
        <v/>
      </c>
      <c r="AV53" s="38"/>
      <c r="AW53" s="38"/>
      <c r="AX53" s="38"/>
      <c r="AY53" s="38" t="str">
        <f>IF(AND($BD16&lt;&gt;"H",$BD16&lt;&gt;"V"),"",IF(AY16=$BD16,1,0))</f>
        <v/>
      </c>
      <c r="AZ53" s="38"/>
      <c r="BA53" s="38"/>
      <c r="BB53" s="38"/>
      <c r="BH53" s="33"/>
      <c r="BI53" s="38" t="str">
        <f>IF(AND($BD16&lt;&gt;"H",$BD16&lt;&gt;"V"),"",IF(BI16=$BD16,1,0))</f>
        <v/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-22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"17",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"4",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"7",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72" t="str">
        <f>CONCATENATE("Week ",IF($BD$27="",IF($BD$21="",IF($BD$13="",IF($BD$5="",0,1),2),3),4)," Scores")</f>
        <v>Week 1 Scores</v>
      </c>
      <c r="CC67" s="273"/>
      <c r="CD67" s="274"/>
      <c r="CE67" s="195"/>
      <c r="CF67" s="272" t="s">
        <v>105</v>
      </c>
      <c r="CG67" s="273"/>
      <c r="CH67" s="274"/>
      <c r="CI67" s="62"/>
      <c r="CJ67" s="272" t="s">
        <v>114</v>
      </c>
      <c r="CK67" s="273"/>
      <c r="CL67" s="274"/>
      <c r="CM67" s="272" t="s">
        <v>110</v>
      </c>
      <c r="CN67" s="273"/>
      <c r="CO67" s="273"/>
      <c r="CP67" s="273"/>
      <c r="CQ67" s="273"/>
      <c r="CR67" s="273"/>
      <c r="CS67" s="274"/>
      <c r="CT67" s="1"/>
      <c r="DK67" s="1"/>
      <c r="DL67" s="27" t="str">
        <f>CONCATENATE($DM$5,$M$14,$DN$5)</f>
        <v xml:space="preserve">   "17",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95"/>
      <c r="CF68" s="3" t="s">
        <v>4</v>
      </c>
      <c r="CG68" s="63" t="s">
        <v>5</v>
      </c>
      <c r="CH68" s="64" t="s">
        <v>7</v>
      </c>
      <c r="CI68" s="193"/>
      <c r="CJ68" s="2" t="s">
        <v>4</v>
      </c>
      <c r="CK68" s="63" t="s">
        <v>5</v>
      </c>
      <c r="CL68" s="64" t="s">
        <v>6</v>
      </c>
      <c r="CM68" s="86" t="s">
        <v>106</v>
      </c>
      <c r="CN68" s="277" t="s">
        <v>107</v>
      </c>
      <c r="CO68" s="306"/>
      <c r="CP68" s="277" t="s">
        <v>108</v>
      </c>
      <c r="CQ68" s="306"/>
      <c r="CR68" s="277" t="s">
        <v>109</v>
      </c>
      <c r="CS68" s="278"/>
      <c r="CT68" s="1"/>
      <c r="DK68" s="1"/>
      <c r="DL68" s="27" t="str">
        <f>CONCATENATE($DM$5,$M$15,$DN$5)</f>
        <v xml:space="preserve">   "4",</v>
      </c>
      <c r="DM68" s="37"/>
      <c r="DN68" s="37"/>
    </row>
    <row r="69" spans="2:118" ht="15" customHeight="1" x14ac:dyDescent="0.2">
      <c r="CB69" s="71">
        <f ca="1">IF(CC69="","",OFFSET($AK$32,$G$62,0))</f>
        <v>1</v>
      </c>
      <c r="CC69" s="65" t="str">
        <f ca="1">IF(OR($AI$2="",$AI$2=0,CD69=""),"",$AI$2)</f>
        <v>JH</v>
      </c>
      <c r="CD69" s="66">
        <f ca="1">OFFSET($AL$32,$G$62,0)</f>
        <v>27</v>
      </c>
      <c r="CE69" s="195"/>
      <c r="CF69" s="74">
        <f>IF(CH69="","",RANK(CH69,CH$69:CH$80,1))</f>
        <v>1</v>
      </c>
      <c r="CG69" s="65" t="str">
        <f>IF(OR($AI$2="",$AI$2=0,CH69=""),"",$AI$2)</f>
        <v>JH</v>
      </c>
      <c r="CH69" s="66">
        <f>$AL$32</f>
        <v>27</v>
      </c>
      <c r="CI69" s="194"/>
      <c r="CJ69" s="77">
        <f>IF(CK69="","",RANK(CL69,CL$69:CL$80,0))</f>
        <v>1</v>
      </c>
      <c r="CK69" s="65" t="str">
        <f>IF(OR($AI$2="",$AI$2=0),"",$AI$2)</f>
        <v>JH</v>
      </c>
      <c r="CL69" s="78">
        <f>IF(OR(CK69="",CK69=0),"",SUM(CM69,CO69,CQ69,CS69))</f>
        <v>60</v>
      </c>
      <c r="CM69" s="87">
        <f>IF(CK69="","",-$BO$4)</f>
        <v>-10</v>
      </c>
      <c r="CN69" s="227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CO69" s="90">
        <f>IF(CN69="","",IF(AND($BO$46&gt;0,$AK$10=1),$BO$6/$BO$12,0)+IF(AND($BO$46&gt;1,$AK$18=1),$BO$6/$BO$20,0)+IF(AND($BO$46&gt;2,$AK$24=1),$BO$6/$BO$26,0)+IF(AND($BO$46&gt;3,$AK$29=1),$BO$6/$BO$31,0))</f>
        <v>10</v>
      </c>
      <c r="CP69" s="228" t="str">
        <f>IF($AK$32=1,"✓","")</f>
        <v>✓</v>
      </c>
      <c r="CQ69" s="90">
        <f>IF(CP69="✓",IF($BO$33&gt;1,($BO$7+$BO$8)/$BO$33,$BO$7/$BO$33),"")</f>
        <v>60</v>
      </c>
      <c r="CR69" s="228" t="str">
        <f>IF($AK$32=2,"✓","")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"7",</v>
      </c>
      <c r="DM69" s="37"/>
      <c r="DN69" s="37"/>
    </row>
    <row r="70" spans="2:118" ht="15" customHeight="1" x14ac:dyDescent="0.2">
      <c r="CB70" s="72">
        <f ca="1">IF(CC70="","",OFFSET($I$32,$G$62,0))</f>
        <v>2</v>
      </c>
      <c r="CC70" s="67" t="str">
        <f ca="1">IF(OR($G$2="",$G$2=0,CD70=""),"",$G$2)</f>
        <v>BM</v>
      </c>
      <c r="CD70" s="68">
        <f ca="1">OFFSET($J$32,$G$62,0)</f>
        <v>30</v>
      </c>
      <c r="CE70" s="196"/>
      <c r="CF70" s="75">
        <f>IF(CH70="","",RANK(CH70,CH$69:CH$80,1))</f>
        <v>2</v>
      </c>
      <c r="CG70" s="67" t="str">
        <f>IF(OR($G$2="",$G$2=0,CH70=""),"",$G$2)</f>
        <v>BM</v>
      </c>
      <c r="CH70" s="68">
        <f>$J$32</f>
        <v>30</v>
      </c>
      <c r="CI70" s="194"/>
      <c r="CJ70" s="80">
        <f>IF(CK70="","",RANK(CL70,CL$69:CL$80,0))</f>
        <v>2</v>
      </c>
      <c r="CK70" s="67" t="str">
        <f>IF(OR($G$2="",$G$2=0),"",$G$2)</f>
        <v>BM</v>
      </c>
      <c r="CL70" s="81">
        <f>IF(OR(CK70="",CK70=0),"",SUM(CM70,CO70,CQ70,CS70))</f>
        <v>10</v>
      </c>
      <c r="CM70" s="88">
        <f>IF(CK70="","",-$BO$4)</f>
        <v>-10</v>
      </c>
      <c r="CN70" s="22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0" s="91" t="str">
        <f>IF(CN70="","",IF(AND($BO$46&gt;0,$I$10=1),$BO$6/$BO$12,0)+IF(AND($BO$46&gt;1,$I$18=1),$BO$6/$BO$20,0)+IF(AND($BO$46&gt;2,$I$24=1),$BO$6/$BO$26,0)+IF(AND($BO$46&gt;3,$I$29=1),$BO$6/$BO$31,0))</f>
        <v/>
      </c>
      <c r="CP70" s="230" t="str">
        <f>IF($I$32=1,"✓","")</f>
        <v/>
      </c>
      <c r="CQ70" s="91" t="str">
        <f>IF(CP70="✓",IF($BO$33&gt;1,($BO$7+$BO$8)/$BO$33,$BO$7/$BO$33),"")</f>
        <v/>
      </c>
      <c r="CR70" s="230" t="str">
        <f>IF($I$32=2,"✓","")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IF(CC71="","",OFFSET($Q$32,$G$62,0))</f>
        <v>3</v>
      </c>
      <c r="CC71" s="67" t="str">
        <f ca="1">IF(OR($O$2="",$O$2=0,CD71=""),"",$O$2)</f>
        <v>CP</v>
      </c>
      <c r="CD71" s="68">
        <f ca="1">OFFSET($R$32,$G$62,0)</f>
        <v>42</v>
      </c>
      <c r="CE71" s="196"/>
      <c r="CF71" s="75">
        <f>IF(CH71="","",RANK(CH71,CH$69:CH$80,1))</f>
        <v>3</v>
      </c>
      <c r="CG71" s="67" t="str">
        <f>IF(OR($O$2="",$O$2=0,CH71=""),"",$O$2)</f>
        <v>CP</v>
      </c>
      <c r="CH71" s="68">
        <f>$R$32</f>
        <v>42</v>
      </c>
      <c r="CI71" s="194"/>
      <c r="CJ71" s="80">
        <f>IF(CK71="","",RANK(CL71,CL$69:CL$80,0))</f>
        <v>3</v>
      </c>
      <c r="CK71" s="67" t="str">
        <f>IF(OR($K$2="",$K$2=0),"",$K$2)</f>
        <v>CK</v>
      </c>
      <c r="CL71" s="81">
        <f>IF(OR(CK71="",CK71=0),"",SUM(CM71,CO71,CQ71,CS71))</f>
        <v>-10</v>
      </c>
      <c r="CM71" s="88">
        <f>IF(CK71="","",-$BO$4)</f>
        <v>-10</v>
      </c>
      <c r="CN71" s="229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1" s="91" t="str">
        <f>IF(CN71="","",IF(AND($BO$46&gt;0,$M$10=1),$BO$6/$BO$12,0)+IF(AND($BO$46&gt;1,$M$18=1),$BO$6/$BO$20,0)+IF(AND($BO$46&gt;2,$M$24=1),$BO$6/$BO$26,0)+IF(AND($BO$46&gt;3,$M$29=1),$BO$6/$BO$31,0))</f>
        <v/>
      </c>
      <c r="CP71" s="230" t="str">
        <f>IF($M$32=1,"✓","")</f>
        <v/>
      </c>
      <c r="CQ71" s="91" t="str">
        <f>IF(CP71="✓",IF($BO$33&gt;1,($BO$7+$BO$8)/$BO$33,$BO$7/$BO$33),"")</f>
        <v/>
      </c>
      <c r="CR71" s="230" t="str">
        <f>IF($M$32=2,"✓","")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IF(CC72="","",OFFSET($AS$32,$G$62,0))</f>
        <v>4</v>
      </c>
      <c r="CC72" s="67" t="str">
        <f ca="1">IF(OR($AQ$2="",$AQ$2=0,CD72=""),"",$AQ$2)</f>
        <v>KC</v>
      </c>
      <c r="CD72" s="68">
        <f ca="1">OFFSET($AT$32,$G$62,0)</f>
        <v>45</v>
      </c>
      <c r="CE72" s="196"/>
      <c r="CF72" s="75">
        <f>IF(CH72="","",RANK(CH72,CH$69:CH$80,1))</f>
        <v>4</v>
      </c>
      <c r="CG72" s="67" t="str">
        <f>IF(OR($AQ$2="",$AQ$2=0,CH72=""),"",$AQ$2)</f>
        <v>KC</v>
      </c>
      <c r="CH72" s="68">
        <f>$AT$32</f>
        <v>45</v>
      </c>
      <c r="CI72" s="194"/>
      <c r="CJ72" s="80">
        <f>IF(CK72="","",RANK(CL72,CL$69:CL$80,0))</f>
        <v>3</v>
      </c>
      <c r="CK72" s="67" t="str">
        <f>IF(OR($O$2="",$O$2=0),"",$O$2)</f>
        <v>CP</v>
      </c>
      <c r="CL72" s="81">
        <f>IF(OR(CK72="",CK72=0),"",SUM(CM72,CO72,CQ72,CS72))</f>
        <v>-10</v>
      </c>
      <c r="CM72" s="88">
        <f>IF(CK72="","",-$BO$4)</f>
        <v>-10</v>
      </c>
      <c r="CN72" s="22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2" s="91" t="str">
        <f>IF(CN72="","",IF(AND($BO$46&gt;0,$Q$10=1),$BO$6/$BO$12,0)+IF(AND($BO$46&gt;1,$Q$18=1),$BO$6/$BO$20,0)+IF(AND($BO$46&gt;2,$Q$24=1),$BO$6/$BO$26,0)+IF(AND($BO$46&gt;3,$Q$29=1),$BO$6/$BO$31,0))</f>
        <v/>
      </c>
      <c r="CP72" s="230" t="str">
        <f>IF($Q$32=1,"✓","")</f>
        <v/>
      </c>
      <c r="CQ72" s="91" t="str">
        <f>IF(CP72="✓",IF($BO$33&gt;1,($BO$7+$BO$8)/$BO$33,$BO$7/$BO$33),"")</f>
        <v/>
      </c>
      <c r="CR72" s="230" t="str">
        <f>IF($Q$32=2,"✓","")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IF(CC73="","",OFFSET($BA$32,$G$62,0))</f>
        <v>5</v>
      </c>
      <c r="CC73" s="67" t="str">
        <f ca="1">IF(OR($AY$2="",$AY$2=0,CD73=""),"",$AY$2)</f>
        <v>RR</v>
      </c>
      <c r="CD73" s="68">
        <f ca="1">OFFSET($BB$32,$G$62,0)</f>
        <v>47</v>
      </c>
      <c r="CE73" s="196"/>
      <c r="CF73" s="75">
        <f>IF(CH73="","",RANK(CH73,CH$69:CH$80,1))</f>
        <v>5</v>
      </c>
      <c r="CG73" s="67" t="str">
        <f>IF(OR($AY$2="",$AY$2=0,CH73=""),"",$AY$2)</f>
        <v>RR</v>
      </c>
      <c r="CH73" s="68">
        <f>$BB$32</f>
        <v>47</v>
      </c>
      <c r="CI73" s="194"/>
      <c r="CJ73" s="80">
        <f>IF(CK73="","",RANK(CL73,CL$69:CL$80,0))</f>
        <v>3</v>
      </c>
      <c r="CK73" s="67" t="str">
        <f>IF(OR($S$2="",$S$2=0),"",$S$2)</f>
        <v>DC</v>
      </c>
      <c r="CL73" s="81">
        <f>IF(OR(CK73="",CK73=0),"",SUM(CM73,CO73,CQ73,CS73))</f>
        <v>-10</v>
      </c>
      <c r="CM73" s="88">
        <f>IF(CK73="","",-$BO$4)</f>
        <v>-10</v>
      </c>
      <c r="CN73" s="22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3" s="91" t="str">
        <f>IF(CN73="","",IF(AND($BO$46&gt;0,$U$10=1),$BO$6/$BO$12,0)+IF(AND($BO$46&gt;1,$U$18=1),$BO$6/$BO$20,0)+IF(AND($BO$46&gt;2,$U$24=1),$BO$6/$BO$26,0)+IF(AND($BO$46&gt;3,$U$29=1),$BO$6/$BO$31,0))</f>
        <v/>
      </c>
      <c r="CP73" s="230" t="str">
        <f>IF($U$32=1,"✓","")</f>
        <v/>
      </c>
      <c r="CQ73" s="91" t="str">
        <f>IF(CP73="✓",IF($BO$33&gt;1,($BO$7+$BO$8)/$BO$33,$BO$7/$BO$33),"")</f>
        <v/>
      </c>
      <c r="CR73" s="230" t="str">
        <f>IF($U$32=2,"✓","")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IF(CC74="","",OFFSET($Y$32,$G$62,0))</f>
        <v>6</v>
      </c>
      <c r="CC74" s="67" t="str">
        <f ca="1">IF(OR($W$2="",$W$2=0,CD74=""),"",$W$2)</f>
        <v>DH</v>
      </c>
      <c r="CD74" s="68">
        <f ca="1">OFFSET($Z$32,$G$62,0)</f>
        <v>50</v>
      </c>
      <c r="CE74" s="196"/>
      <c r="CF74" s="75">
        <f>IF(CH74="","",RANK(CH74,CH$69:CH$80,1))</f>
        <v>6</v>
      </c>
      <c r="CG74" s="67" t="str">
        <f>IF(OR($W$2="",$W$2=0,CH74=""),"",$W$2)</f>
        <v>DH</v>
      </c>
      <c r="CH74" s="68">
        <f>$Z$32</f>
        <v>50</v>
      </c>
      <c r="CI74" s="194"/>
      <c r="CJ74" s="80">
        <f>IF(CK74="","",RANK(CL74,CL$69:CL$80,0))</f>
        <v>3</v>
      </c>
      <c r="CK74" s="67" t="str">
        <f>IF(OR($W$2="",$W$2=0),"",$W$2)</f>
        <v>DH</v>
      </c>
      <c r="CL74" s="81">
        <f>IF(OR(CK74="",CK74=0),"",SUM(CM74,CO74,CQ74,CS74))</f>
        <v>-10</v>
      </c>
      <c r="CM74" s="88">
        <f>IF(CK74="","",-$BO$4)</f>
        <v>-10</v>
      </c>
      <c r="CN74" s="22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4" s="91" t="str">
        <f>IF(CN74="","",IF(AND($BO$46&gt;0,$Y$10=1),$BO$6/$BO$12,0)+IF(AND($BO$46&gt;1,$Y$18=1),$BO$6/$BO$20,0)+IF(AND($BO$46&gt;2,$Y$24=1),$BO$6/$BO$26,0)+IF(AND($BO$46&gt;3,$Y$29=1),$BO$6/$BO$31,0))</f>
        <v/>
      </c>
      <c r="CP74" s="230" t="str">
        <f>IF($Y$32=1,"✓","")</f>
        <v/>
      </c>
      <c r="CQ74" s="91" t="str">
        <f>IF(CP74="✓",IF($BO$33&gt;1,($BO$7+$BO$8)/$BO$33,$BO$7/$BO$33),"")</f>
        <v/>
      </c>
      <c r="CR74" s="230" t="str">
        <f>IF($Y$32=2,"✓","")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IF(CC75="","",OFFSET($AO$32,$G$62,0))</f>
        <v>7</v>
      </c>
      <c r="CC75" s="67" t="str">
        <f ca="1">IF(OR($AM$2="",$AM$2=0,CD75=""),"",$AM$2)</f>
        <v>JL</v>
      </c>
      <c r="CD75" s="68">
        <f ca="1">OFFSET($AP$32,$G$62,0)</f>
        <v>53</v>
      </c>
      <c r="CE75" s="196"/>
      <c r="CF75" s="75">
        <f>IF(CH75="","",RANK(CH75,CH$69:CH$80,1))</f>
        <v>7</v>
      </c>
      <c r="CG75" s="67" t="str">
        <f>IF(OR($AM$2="",$AM$2=0,CH75=""),"",$AM$2)</f>
        <v>JL</v>
      </c>
      <c r="CH75" s="68">
        <f>$AP$32</f>
        <v>53</v>
      </c>
      <c r="CI75" s="194"/>
      <c r="CJ75" s="80">
        <f>IF(CK75="","",RANK(CL75,CL$69:CL$80,0))</f>
        <v>3</v>
      </c>
      <c r="CK75" s="67" t="str">
        <f>IF(OR($AA$2="",$AA$2=0),"",$AA$2)</f>
        <v>GP</v>
      </c>
      <c r="CL75" s="81">
        <f>IF(OR(CK75="",CK75=0),"",SUM(CM75,CO75,CQ75,CS75))</f>
        <v>-10</v>
      </c>
      <c r="CM75" s="88">
        <f>IF(CK75="","",-$BO$4)</f>
        <v>-10</v>
      </c>
      <c r="CN75" s="229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5" s="91" t="str">
        <f>IF(CN75="","",IF(AND($BO$46&gt;0,$AC$10=1),$BO$6/$BO$12,0)+IF(AND($BO$46&gt;1,$AC$18=1),$BO$6/$BO$20,0)+IF(AND($BO$46&gt;2,$AC$24=1),$BO$6/$BO$26,0)+IF(AND($BO$46&gt;3,$AC$29=1),$BO$6/$BO$31,0))</f>
        <v/>
      </c>
      <c r="CP75" s="230" t="str">
        <f>IF($AC$32=1,"✓","")</f>
        <v/>
      </c>
      <c r="CQ75" s="91" t="str">
        <f>IF(CP75="✓",IF($BO$33&gt;1,($BO$7+$BO$8)/$BO$33,$BO$7/$BO$33),"")</f>
        <v/>
      </c>
      <c r="CR75" s="230" t="str">
        <f>IF($AC$32=2,"✓","")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IF(CC76="","",OFFSET($U$32,$G$62,0))</f>
        <v>8</v>
      </c>
      <c r="CC76" s="67" t="str">
        <f ca="1">IF(OR($S$2="",$S$2=0,CD76=""),"",$S$2)</f>
        <v>DC</v>
      </c>
      <c r="CD76" s="68">
        <f ca="1">OFFSET($V$32,$G$62,0)</f>
        <v>54</v>
      </c>
      <c r="CE76" s="196"/>
      <c r="CF76" s="75">
        <f>IF(CH76="","",RANK(CH76,CH$69:CH$80,1))</f>
        <v>8</v>
      </c>
      <c r="CG76" s="67" t="str">
        <f>IF(OR($S$2="",$S$2=0,CH76=""),"",$S$2)</f>
        <v>DC</v>
      </c>
      <c r="CH76" s="68">
        <f>$V$32</f>
        <v>54</v>
      </c>
      <c r="CI76" s="194"/>
      <c r="CJ76" s="80">
        <f>IF(CK76="","",RANK(CL76,CL$69:CL$80,0))</f>
        <v>3</v>
      </c>
      <c r="CK76" s="67" t="str">
        <f>IF(OR($AE$2="",$AE$2=0),"",$AE$2)</f>
        <v>JG</v>
      </c>
      <c r="CL76" s="81">
        <f>IF(OR(CK76="",CK76=0),"",SUM(CM76,CO76,CQ76,CS76))</f>
        <v>-10</v>
      </c>
      <c r="CM76" s="88">
        <f>IF(CK76="","",-$BO$4)</f>
        <v>-10</v>
      </c>
      <c r="CN76" s="22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30" t="str">
        <f>IF($AG$32=1,"✓","")</f>
        <v/>
      </c>
      <c r="CQ76" s="91" t="str">
        <f>IF(CP76="✓",IF($BO$33&gt;1,($BO$7+$BO$8)/$BO$33,$BO$7/$BO$33),"")</f>
        <v/>
      </c>
      <c r="CR76" s="230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IF(CC77="","",OFFSET($AC$32,$G$62,0))</f>
        <v>9</v>
      </c>
      <c r="CC77" s="67" t="str">
        <f ca="1">IF(OR($AA$2="",$AA$2=0,CD77=""),"",$AA$2)</f>
        <v>GP</v>
      </c>
      <c r="CD77" s="68">
        <f ca="1">OFFSET($AD$32,$G$62,0)</f>
        <v>57</v>
      </c>
      <c r="CE77" s="196"/>
      <c r="CF77" s="75">
        <f>IF(CH77="","",RANK(CH77,CH$69:CH$80,1))</f>
        <v>9</v>
      </c>
      <c r="CG77" s="67" t="str">
        <f>IF(OR($AA$2="",$AA$2=0,CH77=""),"",$AA$2)</f>
        <v>GP</v>
      </c>
      <c r="CH77" s="68">
        <f>$AD$32</f>
        <v>57</v>
      </c>
      <c r="CI77" s="194"/>
      <c r="CJ77" s="80">
        <f>IF(CK77="","",RANK(CL77,CL$69:CL$80,0))</f>
        <v>3</v>
      </c>
      <c r="CK77" s="67" t="str">
        <f>IF(OR($AM$2="",$AM$2=0),"",$AM$2)</f>
        <v>JL</v>
      </c>
      <c r="CL77" s="81">
        <f>IF(OR(CK77="",CK77=0),"",SUM(CM77,CO77,CQ77,CS77))</f>
        <v>-10</v>
      </c>
      <c r="CM77" s="88">
        <f>IF(CK77="","",-$BO$4)</f>
        <v>-10</v>
      </c>
      <c r="CN77" s="229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7" s="91" t="str">
        <f>IF(CN77="","",IF(AND($BO$46&gt;0,$AO$10=1),$BO$6/$BO$12,0)+IF(AND($BO$46&gt;1,$AO$18=1),$BO$6/$BO$20,0)+IF(AND($BO$46&gt;2,$AO$24=1),$BO$6/$BO$26,0)+IF(AND($BO$46&gt;3,$AO$29=1),$BO$6/$BO$31,0))</f>
        <v/>
      </c>
      <c r="CP77" s="230" t="str">
        <f>IF($AO$32=1,"✓","")</f>
        <v/>
      </c>
      <c r="CQ77" s="91" t="str">
        <f>IF(CP77="✓",IF($BO$33&gt;1,($BO$7+$BO$8)/$BO$33,$BO$7/$BO$33),"")</f>
        <v/>
      </c>
      <c r="CR77" s="230" t="str">
        <f>IF($AO$32=2,"✓","")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IF(CC78="","",OFFSET($AW$32,$G$62,0))</f>
        <v>9</v>
      </c>
      <c r="CC78" s="67" t="str">
        <f ca="1">IF(OR($AU$2="",$AU$2=0,CD78=""),"",$AU$2)</f>
        <v>KK</v>
      </c>
      <c r="CD78" s="68">
        <f ca="1">OFFSET($AX$32,$G$62,0)</f>
        <v>57</v>
      </c>
      <c r="CE78" s="196"/>
      <c r="CF78" s="75">
        <f>IF(CH78="","",RANK(CH78,CH$69:CH$80,1))</f>
        <v>9</v>
      </c>
      <c r="CG78" s="67" t="str">
        <f>IF(OR($AU$2="",$AU$2=0,CH78=""),"",$AU$2)</f>
        <v>KK</v>
      </c>
      <c r="CH78" s="68">
        <f>$AX$32</f>
        <v>57</v>
      </c>
      <c r="CI78" s="194"/>
      <c r="CJ78" s="80">
        <f>IF(CK78="","",RANK(CL78,CL$69:CL$80,0))</f>
        <v>3</v>
      </c>
      <c r="CK78" s="67" t="str">
        <f>IF(OR($AQ$2="",$AQ$2=0),"",$AQ$2)</f>
        <v>KC</v>
      </c>
      <c r="CL78" s="81">
        <f>IF(OR(CK78="",CK78=0),"",SUM(CM78,CO78,CQ78,CS78))</f>
        <v>-10</v>
      </c>
      <c r="CM78" s="88">
        <f>IF(CK78="","",-$BO$4)</f>
        <v>-10</v>
      </c>
      <c r="CN78" s="22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8" s="91" t="str">
        <f>IF(CN78="","",IF(AND($BO$46&gt;0,$AS$10=1),$BO$6/$BO$12,0)+IF(AND($BO$46&gt;1,$AS$18=1),$BO$6/$BO$20,0)+IF(AND($BO$46&gt;2,$AS$24=1),$BO$6/$BO$26,0)+IF(AND($BO$46&gt;3,$AS$29=1),$BO$6/$BO$31,0))</f>
        <v/>
      </c>
      <c r="CP78" s="230" t="str">
        <f>IF($AS$32=1,"✓","")</f>
        <v/>
      </c>
      <c r="CQ78" s="91" t="str">
        <f>IF(CP78="✓",IF($BO$33&gt;1,($BO$7+$BO$8)/$BO$33,$BO$7/$BO$33),"")</f>
        <v/>
      </c>
      <c r="CR78" s="230" t="str">
        <f>IF($AS$32=2,"✓","")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IF(CC79="","",OFFSET($M$32,$G$62,0))</f>
        <v>11</v>
      </c>
      <c r="CC79" s="67" t="str">
        <f ca="1">IF(OR($K$2="",$K$2=0,CD79=""),"",$K$2)</f>
        <v>CK</v>
      </c>
      <c r="CD79" s="68">
        <f ca="1">OFFSET($N$32,$G$62,0)</f>
        <v>60</v>
      </c>
      <c r="CE79" s="196"/>
      <c r="CF79" s="75">
        <f>IF(CH79="","",RANK(CH79,CH$69:CH$80,1))</f>
        <v>11</v>
      </c>
      <c r="CG79" s="67" t="str">
        <f>IF(OR($K$2="",$K$2=0,CH79=""),"",$K$2)</f>
        <v>CK</v>
      </c>
      <c r="CH79" s="68">
        <f>$N$32</f>
        <v>60</v>
      </c>
      <c r="CI79" s="194"/>
      <c r="CJ79" s="80">
        <f>IF(CK79="","",RANK(CL79,CL$69:CL$80,0))</f>
        <v>3</v>
      </c>
      <c r="CK79" s="67" t="str">
        <f>IF(OR($AU$2="",$AU$2=0),"",$AU$2)</f>
        <v>KK</v>
      </c>
      <c r="CL79" s="81">
        <f>IF(OR(CK79="",CK79=0),"",SUM(CM79,CO79,CQ79,CS79))</f>
        <v>-10</v>
      </c>
      <c r="CM79" s="88">
        <f>IF(CK79="","",-$BO$4)</f>
        <v>-10</v>
      </c>
      <c r="CN79" s="22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30" t="str">
        <f>IF($AW$32=1,"✓","")</f>
        <v/>
      </c>
      <c r="CQ79" s="91" t="str">
        <f>IF(CP79="✓",IF($BO$33&gt;1,($BO$7+$BO$8)/$BO$33,$BO$7/$BO$33),"")</f>
        <v/>
      </c>
      <c r="CR79" s="230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"60",</v>
      </c>
      <c r="DM79" s="24"/>
      <c r="DN79" s="24"/>
    </row>
    <row r="80" spans="2:118" ht="15" customHeight="1" thickBot="1" x14ac:dyDescent="0.25">
      <c r="CB80" s="73">
        <f ca="1">IF(CC80="","",OFFSET($AG$32,$G$62,0))</f>
        <v>12</v>
      </c>
      <c r="CC80" s="69" t="str">
        <f ca="1">IF(OR($AE$2="",$AE$2=0,CD80=""),"",$AE$2)</f>
        <v>JG</v>
      </c>
      <c r="CD80" s="70">
        <f ca="1">OFFSET($AH$32,$G$62,0)</f>
        <v>61</v>
      </c>
      <c r="CE80" s="196"/>
      <c r="CF80" s="76">
        <f>IF(CH80="","",RANK(CH80,CH$69:CH$80,1))</f>
        <v>12</v>
      </c>
      <c r="CG80" s="69" t="str">
        <f>IF(OR($AE$2="",$AE$2=0,CH80=""),"",$AE$2)</f>
        <v>JG</v>
      </c>
      <c r="CH80" s="70">
        <f>$AH$32</f>
        <v>61</v>
      </c>
      <c r="CI80" s="194"/>
      <c r="CJ80" s="83">
        <f>IF(CK80="","",RANK(CL80,CL$69:CL$80,0))</f>
        <v>3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3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32" t="str">
        <f>IF($BA$32=1,"✓","")</f>
        <v/>
      </c>
      <c r="CQ80" s="92" t="str">
        <f>IF(CP80="✓",IF($BO$33&gt;1,($BO$7+$BO$8)/$BO$33,$BO$7/$BO$33),"")</f>
        <v/>
      </c>
      <c r="CR80" s="232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72" t="str">
        <f>CONCATENATE($Z$1," Results")</f>
        <v>2017 Football Pool Results</v>
      </c>
      <c r="CV82" s="273"/>
      <c r="CW82" s="273"/>
      <c r="CX82" s="273"/>
      <c r="CY82" s="273"/>
      <c r="CZ82" s="273"/>
      <c r="DA82" s="273"/>
      <c r="DB82" s="273"/>
      <c r="DC82" s="273"/>
      <c r="DD82" s="273"/>
      <c r="DE82" s="273"/>
      <c r="DF82" s="273"/>
      <c r="DG82" s="273"/>
      <c r="DH82" s="273"/>
      <c r="DI82" s="273"/>
      <c r="DJ82" s="274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98" t="s">
        <v>5</v>
      </c>
      <c r="CV83" s="279" t="s">
        <v>111</v>
      </c>
      <c r="CW83" s="301" t="s">
        <v>112</v>
      </c>
      <c r="CX83" s="302"/>
      <c r="CY83" s="302"/>
      <c r="CZ83" s="302"/>
      <c r="DA83" s="302"/>
      <c r="DB83" s="302"/>
      <c r="DC83" s="303"/>
      <c r="DD83" s="302" t="s">
        <v>113</v>
      </c>
      <c r="DE83" s="302"/>
      <c r="DF83" s="302"/>
      <c r="DG83" s="302"/>
      <c r="DH83" s="302"/>
      <c r="DI83" s="302"/>
      <c r="DJ83" s="303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99"/>
      <c r="CV84" s="280"/>
      <c r="CW84" s="296" t="s">
        <v>100</v>
      </c>
      <c r="CX84" s="292" t="s">
        <v>99</v>
      </c>
      <c r="CY84" s="292" t="s">
        <v>100</v>
      </c>
      <c r="CZ84" s="292" t="s">
        <v>101</v>
      </c>
      <c r="DA84" s="292"/>
      <c r="DB84" s="292" t="s">
        <v>102</v>
      </c>
      <c r="DC84" s="304"/>
      <c r="DD84" s="294" t="str">
        <f>CONCATENATE("Cost to Play ($",$BO$4,")")</f>
        <v>Cost to Play ($10)</v>
      </c>
      <c r="DE84" s="292" t="s">
        <v>99</v>
      </c>
      <c r="DF84" s="292"/>
      <c r="DG84" s="292" t="s">
        <v>103</v>
      </c>
      <c r="DH84" s="292"/>
      <c r="DI84" s="292" t="s">
        <v>104</v>
      </c>
      <c r="DJ84" s="304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300"/>
      <c r="CV85" s="281"/>
      <c r="CW85" s="297"/>
      <c r="CX85" s="293"/>
      <c r="CY85" s="293"/>
      <c r="CZ85" s="293"/>
      <c r="DA85" s="293"/>
      <c r="DB85" s="293"/>
      <c r="DC85" s="305"/>
      <c r="DD85" s="295"/>
      <c r="DE85" s="293"/>
      <c r="DF85" s="293"/>
      <c r="DG85" s="293"/>
      <c r="DH85" s="293"/>
      <c r="DI85" s="293"/>
      <c r="DJ85" s="305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98" t="str">
        <f>IF(OR($AI$2="",$AI$2=0),"",$AI$2)</f>
        <v>JH</v>
      </c>
      <c r="CV86" s="203">
        <f>IF(CU86="","",SUM(CW86,CY86,DA86,DC86,DD86,DF86,DH86,DJ86))</f>
        <v>102</v>
      </c>
      <c r="CW86" s="204">
        <v>-51</v>
      </c>
      <c r="CX86" s="205">
        <v>3</v>
      </c>
      <c r="CY86" s="206">
        <v>93</v>
      </c>
      <c r="CZ86" s="207" t="s">
        <v>142</v>
      </c>
      <c r="DA86" s="206" t="s">
        <v>142</v>
      </c>
      <c r="DB86" s="208" t="s">
        <v>142</v>
      </c>
      <c r="DC86" s="209" t="s">
        <v>142</v>
      </c>
      <c r="DD86" s="210">
        <f>IF(CU86="","",-$BO$4)</f>
        <v>-10</v>
      </c>
      <c r="DE86" s="205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DF86" s="206">
        <f>IF(DE86="","",IF(AND($BO$46&gt;0,$AK$10=1),$BO$6/$BO$12,0)+IF(AND($BO$46&gt;1,$AK$18=1),$BO$6/$BO$20,0)+IF(AND($BO$46&gt;2,$AK$24=1),$BO$6/$BO$26,0)+IF(AND($BO$46&gt;3,$AK$29=1),$BO$6/$BO$31,0))</f>
        <v>10</v>
      </c>
      <c r="DG86" s="207" t="str">
        <f>IF($AK$32=1,"✓","")</f>
        <v>✓</v>
      </c>
      <c r="DH86" s="206">
        <f>IF(DG86="✓",IF($BO$33&gt;1,($BO$7+$BO$8)/$BO$33,$BO$7/$BO$33),"")</f>
        <v>60</v>
      </c>
      <c r="DI86" s="208" t="str">
        <f>IF($AK$32=2,"✓","")</f>
        <v/>
      </c>
      <c r="DJ86" s="209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97" t="str">
        <f>IF(OR($AE$2="",$AE$2=0),"",$AE$2)</f>
        <v>JG</v>
      </c>
      <c r="CV87" s="211">
        <f>IF(CU87="","",SUM(CW87,CY87,DA87,DC87,DD87,DF87,DH87,DJ87))</f>
        <v>63</v>
      </c>
      <c r="CW87" s="212">
        <v>-51</v>
      </c>
      <c r="CX87" s="213">
        <v>4</v>
      </c>
      <c r="CY87" s="214">
        <v>124</v>
      </c>
      <c r="CZ87" s="215" t="s">
        <v>142</v>
      </c>
      <c r="DA87" s="214" t="s">
        <v>142</v>
      </c>
      <c r="DB87" s="216" t="s">
        <v>142</v>
      </c>
      <c r="DC87" s="217" t="s">
        <v>142</v>
      </c>
      <c r="DD87" s="218">
        <f>IF(CU87="","",-$BO$4)</f>
        <v>-10</v>
      </c>
      <c r="DE87" s="213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87" s="214" t="str">
        <f>IF(DE87="","",IF(AND($BO$46&gt;0,$AG$10=1),$BO$6/$BO$12,0)+IF(AND($BO$46&gt;1,$AG$18=1),$BO$6/$BO$20,0)+IF(AND($BO$46&gt;2,$AG$24=1),$BO$6/$BO$26,0)+IF(AND($BO$46&gt;3,$AG$29=1),$BO$6/$BO$31,0))</f>
        <v/>
      </c>
      <c r="DG87" s="215" t="str">
        <f>IF($AG$32=1,"✓","")</f>
        <v/>
      </c>
      <c r="DH87" s="214" t="str">
        <f>IF(DG87="✓",IF($BO$33&gt;1,($BO$7+$BO$8)/$BO$33,$BO$7/$BO$33),"")</f>
        <v/>
      </c>
      <c r="DI87" s="216" t="str">
        <f>IF($AG$32=2,"✓","")</f>
        <v/>
      </c>
      <c r="DJ87" s="217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97" t="str">
        <f>IF(OR($G$2="",$G$2=0),"",$G$2)</f>
        <v>BM</v>
      </c>
      <c r="CV88" s="211">
        <f>IF(CU88="","",SUM(CW88,CY88,DA88,DC88,DD88,DF88,DH88,DJ88))</f>
        <v>41</v>
      </c>
      <c r="CW88" s="212">
        <v>-51</v>
      </c>
      <c r="CX88" s="213">
        <v>1</v>
      </c>
      <c r="CY88" s="214">
        <v>31</v>
      </c>
      <c r="CZ88" s="215" t="s">
        <v>141</v>
      </c>
      <c r="DA88" s="214">
        <v>51</v>
      </c>
      <c r="DB88" s="216" t="s">
        <v>142</v>
      </c>
      <c r="DC88" s="217" t="s">
        <v>142</v>
      </c>
      <c r="DD88" s="218">
        <f>IF(CU88="","",-$BO$4)</f>
        <v>-10</v>
      </c>
      <c r="DE88" s="213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88" s="214" t="str">
        <f>IF(DE88="","",IF(AND($BO$46&gt;0,$I$10=1),$BO$6/$BO$12,0)+IF(AND($BO$46&gt;1,$I$18=1),$BO$6/$BO$20,0)+IF(AND($BO$46&gt;2,$I$24=1),$BO$6/$BO$26,0)+IF(AND($BO$46&gt;3,$I$29=1),$BO$6/$BO$31,0))</f>
        <v/>
      </c>
      <c r="DG88" s="215" t="str">
        <f>IF($I$32=1,"✓","")</f>
        <v/>
      </c>
      <c r="DH88" s="214" t="str">
        <f>IF(DG88="✓",IF($BO$33&gt;1,($BO$7+$BO$8)/$BO$33,$BO$7/$BO$33),"")</f>
        <v/>
      </c>
      <c r="DI88" s="216" t="str">
        <f>IF($I$32=2,"✓","")</f>
        <v>✓</v>
      </c>
      <c r="DJ88" s="217">
        <f>IF(DI88="✓",$BO$8/$BP$33,"")</f>
        <v>20</v>
      </c>
      <c r="DL88" s="46"/>
      <c r="DM88" s="24"/>
      <c r="DN88" s="24"/>
    </row>
    <row r="89" spans="99:118" ht="15" customHeight="1" x14ac:dyDescent="0.2">
      <c r="CU89" s="197" t="str">
        <f>IF(OR($S$2="",$S$2=0),"",$S$2)</f>
        <v>DC</v>
      </c>
      <c r="CV89" s="211">
        <f>IF(CU89="","",SUM(CW89,CY89,DA89,DC89,DD89,DF89,DH89,DJ89))</f>
        <v>1</v>
      </c>
      <c r="CW89" s="212">
        <v>-51</v>
      </c>
      <c r="CX89" s="213">
        <v>2</v>
      </c>
      <c r="CY89" s="214">
        <v>62</v>
      </c>
      <c r="CZ89" s="215" t="s">
        <v>142</v>
      </c>
      <c r="DA89" s="214" t="s">
        <v>142</v>
      </c>
      <c r="DB89" s="216" t="s">
        <v>142</v>
      </c>
      <c r="DC89" s="217" t="s">
        <v>142</v>
      </c>
      <c r="DD89" s="218">
        <f>IF(CU89="","",-$BO$4)</f>
        <v>-10</v>
      </c>
      <c r="DE89" s="213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9" s="214" t="str">
        <f>IF(DE89="","",IF(AND($BO$46&gt;0,$U$10=1),$BO$6/$BO$12,0)+IF(AND($BO$46&gt;1,$U$18=1),$BO$6/$BO$20,0)+IF(AND($BO$46&gt;2,$U$24=1),$BO$6/$BO$26,0)+IF(AND($BO$46&gt;3,$U$29=1),$BO$6/$BO$31,0))</f>
        <v/>
      </c>
      <c r="DG89" s="215" t="str">
        <f>IF($U$32=1,"✓","")</f>
        <v/>
      </c>
      <c r="DH89" s="214" t="str">
        <f>IF(DG89="✓",IF($BO$33&gt;1,($BO$7+$BO$8)/$BO$33,$BO$7/$BO$33),"")</f>
        <v/>
      </c>
      <c r="DI89" s="216" t="str">
        <f>IF($U$32=2,"✓","")</f>
        <v/>
      </c>
      <c r="DJ89" s="217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97" t="str">
        <f>IF(OR($W$2="",$W$2=0),"",$W$2)</f>
        <v>DH</v>
      </c>
      <c r="CV90" s="211">
        <f>IF(CU90="","",SUM(CW90,CY90,DA90,DC90,DD90,DF90,DH90,DJ90))</f>
        <v>1</v>
      </c>
      <c r="CW90" s="212">
        <v>-51</v>
      </c>
      <c r="CX90" s="213">
        <v>2</v>
      </c>
      <c r="CY90" s="214">
        <v>62</v>
      </c>
      <c r="CZ90" s="215" t="s">
        <v>142</v>
      </c>
      <c r="DA90" s="214" t="s">
        <v>142</v>
      </c>
      <c r="DB90" s="216" t="s">
        <v>142</v>
      </c>
      <c r="DC90" s="217" t="s">
        <v>142</v>
      </c>
      <c r="DD90" s="218">
        <f>IF(CU90="","",-$BO$4)</f>
        <v>-10</v>
      </c>
      <c r="DE90" s="213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0" s="214" t="str">
        <f>IF(DE90="","",IF(AND($BO$46&gt;0,$Y$10=1),$BO$6/$BO$12,0)+IF(AND($BO$46&gt;1,$Y$18=1),$BO$6/$BO$20,0)+IF(AND($BO$46&gt;2,$Y$24=1),$BO$6/$BO$26,0)+IF(AND($BO$46&gt;3,$Y$29=1),$BO$6/$BO$31,0))</f>
        <v/>
      </c>
      <c r="DG90" s="215" t="str">
        <f>IF($Y$32=1,"✓","")</f>
        <v/>
      </c>
      <c r="DH90" s="214" t="str">
        <f>IF(DG90="✓",IF($BO$33&gt;1,($BO$7+$BO$8)/$BO$33,$BO$7/$BO$33),"")</f>
        <v/>
      </c>
      <c r="DI90" s="216" t="str">
        <f>IF($Y$32=2,"✓","")</f>
        <v/>
      </c>
      <c r="DJ90" s="217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97" t="str">
        <f>IF(OR($AA$2="",$AA$2=0),"",$AA$2)</f>
        <v>GP</v>
      </c>
      <c r="CV91" s="211">
        <f>IF(CU91="","",SUM(CW91,CY91,DA91,DC91,DD91,DF91,DH91,DJ91))</f>
        <v>1</v>
      </c>
      <c r="CW91" s="212">
        <v>-51</v>
      </c>
      <c r="CX91" s="213">
        <v>2</v>
      </c>
      <c r="CY91" s="214">
        <v>62</v>
      </c>
      <c r="CZ91" s="215" t="s">
        <v>142</v>
      </c>
      <c r="DA91" s="214" t="s">
        <v>142</v>
      </c>
      <c r="DB91" s="216" t="s">
        <v>142</v>
      </c>
      <c r="DC91" s="217" t="s">
        <v>142</v>
      </c>
      <c r="DD91" s="218">
        <f>IF(CU91="","",-$BO$4)</f>
        <v>-10</v>
      </c>
      <c r="DE91" s="213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1" s="214" t="str">
        <f>IF(DE91="","",IF(AND($BO$46&gt;0,$AC$10=1),$BO$6/$BO$12,0)+IF(AND($BO$46&gt;1,$AC$18=1),$BO$6/$BO$20,0)+IF(AND($BO$46&gt;2,$AC$24=1),$BO$6/$BO$26,0)+IF(AND($BO$46&gt;3,$AC$29=1),$BO$6/$BO$31,0))</f>
        <v/>
      </c>
      <c r="DG91" s="215" t="str">
        <f>IF($AC$32=1,"✓","")</f>
        <v/>
      </c>
      <c r="DH91" s="214" t="str">
        <f>IF(DG91="✓",IF($BO$33&gt;1,($BO$7+$BO$8)/$BO$33,$BO$7/$BO$33),"")</f>
        <v/>
      </c>
      <c r="DI91" s="216" t="str">
        <f>IF($AC$32=2,"✓","")</f>
        <v/>
      </c>
      <c r="DJ91" s="217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97" t="str">
        <f>IF(OR($AU$2="",$AU$2=0),"",$AU$2)</f>
        <v>KK</v>
      </c>
      <c r="CV92" s="211">
        <f>IF(CU92="","",SUM(CW92,CY92,DA92,DC92,DD92,DF92,DH92,DJ92))</f>
        <v>-27</v>
      </c>
      <c r="CW92" s="212">
        <v>-51</v>
      </c>
      <c r="CX92" s="213" t="s">
        <v>142</v>
      </c>
      <c r="CY92" s="214" t="s">
        <v>142</v>
      </c>
      <c r="CZ92" s="215" t="s">
        <v>142</v>
      </c>
      <c r="DA92" s="214" t="s">
        <v>142</v>
      </c>
      <c r="DB92" s="216" t="s">
        <v>141</v>
      </c>
      <c r="DC92" s="217">
        <v>34</v>
      </c>
      <c r="DD92" s="218">
        <f>IF(CU92="","",-$BO$4)</f>
        <v>-10</v>
      </c>
      <c r="DE92" s="213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2" s="214" t="str">
        <f>IF(DE92="","",IF(AND($BO$46&gt;0,$AW$10=1),$BO$6/$BO$12,0)+IF(AND($BO$46&gt;1,$AW$18=1),$BO$6/$BO$20,0)+IF(AND($BO$46&gt;2,$AW$24=1),$BO$6/$BO$26,0)+IF(AND($BO$46&gt;3,$AW$29=1),$BO$6/$BO$31,0))</f>
        <v/>
      </c>
      <c r="DG92" s="215" t="str">
        <f>IF($AW$32=1,"✓","")</f>
        <v/>
      </c>
      <c r="DH92" s="214" t="str">
        <f>IF(DG92="✓",IF($BO$33&gt;1,($BO$7+$BO$8)/$BO$33,$BO$7/$BO$33),"")</f>
        <v/>
      </c>
      <c r="DI92" s="216" t="str">
        <f>IF($AW$32=2,"✓","")</f>
        <v/>
      </c>
      <c r="DJ92" s="217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97" t="str">
        <f>IF(OR($AM$2="",$AM$2=0),"",$AM$2)</f>
        <v>JL</v>
      </c>
      <c r="CV93" s="211">
        <f>IF(CU93="","",SUM(CW93,CY93,DA93,DC93,DD93,DF93,DH93,DJ93))</f>
        <v>-30</v>
      </c>
      <c r="CW93" s="212">
        <v>-51</v>
      </c>
      <c r="CX93" s="213">
        <v>1</v>
      </c>
      <c r="CY93" s="214">
        <v>31</v>
      </c>
      <c r="CZ93" s="215" t="s">
        <v>142</v>
      </c>
      <c r="DA93" s="214" t="s">
        <v>142</v>
      </c>
      <c r="DB93" s="216" t="s">
        <v>142</v>
      </c>
      <c r="DC93" s="217" t="s">
        <v>142</v>
      </c>
      <c r="DD93" s="218">
        <f>IF(CU93="","",-$BO$4)</f>
        <v>-10</v>
      </c>
      <c r="DE93" s="213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3" s="214" t="str">
        <f>IF(DE93="","",IF(AND($BO$46&gt;0,$AO$10=1),$BO$6/$BO$12,0)+IF(AND($BO$46&gt;1,$AO$18=1),$BO$6/$BO$20,0)+IF(AND($BO$46&gt;2,$AO$24=1),$BO$6/$BO$26,0)+IF(AND($BO$46&gt;3,$AO$29=1),$BO$6/$BO$31,0))</f>
        <v/>
      </c>
      <c r="DG93" s="215" t="str">
        <f>IF($AO$32=1,"✓","")</f>
        <v/>
      </c>
      <c r="DH93" s="214" t="str">
        <f>IF(DG93="✓",IF($BO$33&gt;1,($BO$7+$BO$8)/$BO$33,$BO$7/$BO$33),"")</f>
        <v/>
      </c>
      <c r="DI93" s="216" t="str">
        <f>IF($AO$32=2,"✓","")</f>
        <v/>
      </c>
      <c r="DJ93" s="217" t="str">
        <f>IF(DI93="✓",$BO$8/$BP$33,"")</f>
        <v/>
      </c>
      <c r="DL93" s="27" t="str">
        <f>CONCATENATE($DM$5,$O$8,$DN$5)</f>
        <v xml:space="preserve">   "H",</v>
      </c>
      <c r="DM93" s="24"/>
      <c r="DN93" s="24"/>
    </row>
    <row r="94" spans="99:118" ht="15" customHeight="1" x14ac:dyDescent="0.2">
      <c r="CU94" s="197" t="str">
        <f>IF(OR($AQ$2="",$AQ$2=0),"",$AQ$2)</f>
        <v>KC</v>
      </c>
      <c r="CV94" s="211">
        <f>IF(CU94="","",SUM(CW94,CY94,DA94,DC94,DD94,DF94,DH94,DJ94))</f>
        <v>-30</v>
      </c>
      <c r="CW94" s="212">
        <v>-51</v>
      </c>
      <c r="CX94" s="213">
        <v>1</v>
      </c>
      <c r="CY94" s="214">
        <v>31</v>
      </c>
      <c r="CZ94" s="215" t="s">
        <v>142</v>
      </c>
      <c r="DA94" s="214" t="s">
        <v>142</v>
      </c>
      <c r="DB94" s="216" t="s">
        <v>142</v>
      </c>
      <c r="DC94" s="217" t="s">
        <v>142</v>
      </c>
      <c r="DD94" s="218">
        <f>IF(CU94="","",-$BO$4)</f>
        <v>-10</v>
      </c>
      <c r="DE94" s="213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4" s="214" t="str">
        <f>IF(DE94="","",IF(AND($BO$46&gt;0,$AS$10=1),$BO$6/$BO$12,0)+IF(AND($BO$46&gt;1,$AS$18=1),$BO$6/$BO$20,0)+IF(AND($BO$46&gt;2,$AS$24=1),$BO$6/$BO$26,0)+IF(AND($BO$46&gt;3,$AS$29=1),$BO$6/$BO$31,0))</f>
        <v/>
      </c>
      <c r="DG94" s="215" t="str">
        <f>IF($AS$32=1,"✓","")</f>
        <v/>
      </c>
      <c r="DH94" s="214" t="str">
        <f>IF(DG94="✓",IF($BO$33&gt;1,($BO$7+$BO$8)/$BO$33,$BO$7/$BO$33),"")</f>
        <v/>
      </c>
      <c r="DI94" s="216" t="str">
        <f>IF($AS$32=2,"✓","")</f>
        <v/>
      </c>
      <c r="DJ94" s="217" t="str">
        <f>IF(DI94="✓",$BO$8/$BP$33,"")</f>
        <v/>
      </c>
      <c r="DL94" s="27" t="str">
        <f>CONCATENATE($DM$5,$O$13,$DN$5)</f>
        <v xml:space="preserve">   "V",</v>
      </c>
      <c r="DM94" s="24"/>
      <c r="DN94" s="24"/>
    </row>
    <row r="95" spans="99:118" ht="15" customHeight="1" x14ac:dyDescent="0.2">
      <c r="CU95" s="255" t="str">
        <f>IF(OR($AY$2="",$AY$2=0),"",$AY$2)</f>
        <v>RR</v>
      </c>
      <c r="CV95" s="211">
        <f>IF(CU95="","",SUM(CW95,CY95,DA95,DC95,DD95,DF95,DH95,DJ95))</f>
        <v>-30</v>
      </c>
      <c r="CW95" s="212">
        <v>-51</v>
      </c>
      <c r="CX95" s="213">
        <v>1</v>
      </c>
      <c r="CY95" s="214">
        <v>31</v>
      </c>
      <c r="CZ95" s="215" t="s">
        <v>142</v>
      </c>
      <c r="DA95" s="214" t="s">
        <v>142</v>
      </c>
      <c r="DB95" s="216" t="s">
        <v>142</v>
      </c>
      <c r="DC95" s="217" t="s">
        <v>142</v>
      </c>
      <c r="DD95" s="218">
        <f>IF(CU95="","",-$BO$4)</f>
        <v>-10</v>
      </c>
      <c r="DE95" s="213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5" s="214" t="str">
        <f>IF(DE95="","",IF(AND($BO$46&gt;0,$BA$10=1),$BO$6/$BO$12,0)+IF(AND($BO$46&gt;1,$BA$18=1),$BO$6/$BO$20,0)+IF(AND($BO$46&gt;2,$BA$24=1),$BO$6/$BO$26,0)+IF(AND($BO$46&gt;3,$BA$29=1),$BO$6/$BO$31,0))</f>
        <v/>
      </c>
      <c r="DG95" s="215" t="str">
        <f>IF($BA$32=1,"✓","")</f>
        <v/>
      </c>
      <c r="DH95" s="214" t="str">
        <f>IF(DG95="✓",IF($BO$33&gt;1,($BO$7+$BO$8)/$BO$33,$BO$7/$BO$33),"")</f>
        <v/>
      </c>
      <c r="DI95" s="216" t="str">
        <f>IF($BA$32=2,"✓","")</f>
        <v/>
      </c>
      <c r="DJ95" s="217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97" t="str">
        <f>IF(OR($K$2="",$K$2=0),"",$K$2)</f>
        <v>CK</v>
      </c>
      <c r="CV96" s="211">
        <f>IF(CU96="","",SUM(CW96,CY96,DA96,DC96,DD96,DF96,DH96,DJ96))</f>
        <v>-61</v>
      </c>
      <c r="CW96" s="212">
        <v>-51</v>
      </c>
      <c r="CX96" s="213" t="s">
        <v>142</v>
      </c>
      <c r="CY96" s="214" t="s">
        <v>142</v>
      </c>
      <c r="CZ96" s="215" t="s">
        <v>142</v>
      </c>
      <c r="DA96" s="214" t="s">
        <v>142</v>
      </c>
      <c r="DB96" s="216" t="s">
        <v>142</v>
      </c>
      <c r="DC96" s="217" t="s">
        <v>142</v>
      </c>
      <c r="DD96" s="218">
        <f>IF(CU96="","",-$BO$4)</f>
        <v>-10</v>
      </c>
      <c r="DE96" s="213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6" s="214" t="str">
        <f>IF(DE96="","",IF(AND($BO$46&gt;0,$M$10=1),$BO$6/$BO$12,0)+IF(AND($BO$46&gt;1,$M$18=1),$BO$6/$BO$20,0)+IF(AND($BO$46&gt;2,$M$24=1),$BO$6/$BO$26,0)+IF(AND($BO$46&gt;3,$M$29=1),$BO$6/$BO$31,0))</f>
        <v/>
      </c>
      <c r="DG96" s="215" t="str">
        <f>IF($M$32=1,"✓","")</f>
        <v/>
      </c>
      <c r="DH96" s="214" t="str">
        <f>IF(DG96="✓",IF($BO$33&gt;1,($BO$7+$BO$8)/$BO$33,$BO$7/$BO$33),"")</f>
        <v/>
      </c>
      <c r="DI96" s="216" t="str">
        <f>IF($M$32=2,"✓","")</f>
        <v/>
      </c>
      <c r="DJ96" s="217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56" t="str">
        <f>IF(OR($O$2="",$O$2=0),"",$O$2)</f>
        <v>CP</v>
      </c>
      <c r="CV97" s="219">
        <f>IF(CU97="","",SUM(CW97,CY97,DA97,DC97,DD97,DF97,DH97,DJ97))</f>
        <v>-61</v>
      </c>
      <c r="CW97" s="220">
        <v>-51</v>
      </c>
      <c r="CX97" s="221" t="s">
        <v>142</v>
      </c>
      <c r="CY97" s="222" t="s">
        <v>142</v>
      </c>
      <c r="CZ97" s="223" t="s">
        <v>142</v>
      </c>
      <c r="DA97" s="222" t="s">
        <v>142</v>
      </c>
      <c r="DB97" s="224" t="s">
        <v>142</v>
      </c>
      <c r="DC97" s="225" t="s">
        <v>142</v>
      </c>
      <c r="DD97" s="226">
        <f>IF(CU97="","",-$BO$4)</f>
        <v>-10</v>
      </c>
      <c r="DE97" s="22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7" s="222" t="str">
        <f>IF(DE97="","",IF(AND($BO$46&gt;0,$Q$10=1),$BO$6/$BO$12,0)+IF(AND($BO$46&gt;1,$Q$18=1),$BO$6/$BO$20,0)+IF(AND($BO$46&gt;2,$Q$24=1),$BO$6/$BO$26,0)+IF(AND($BO$46&gt;3,$Q$29=1),$BO$6/$BO$31,0))</f>
        <v/>
      </c>
      <c r="DG97" s="223" t="str">
        <f>IF($Q$32=1,"✓","")</f>
        <v/>
      </c>
      <c r="DH97" s="222" t="str">
        <f>IF(DG97="✓",IF($BO$33&gt;1,($BO$7+$BO$8)/$BO$33,$BO$7/$BO$33),"")</f>
        <v/>
      </c>
      <c r="DI97" s="224" t="str">
        <f>IF($Q$32=2,"✓","")</f>
        <v/>
      </c>
      <c r="DJ97" s="225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"7",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"6",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"6",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"6",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"13",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"7",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"5",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"50",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"46",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"V",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"V",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"V",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"12",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"2",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"2",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"12",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"4",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"11",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"2",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"5",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"H",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"10",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"10",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"10",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"7",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"51",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"H",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"H",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"7",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"10",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"10",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"14",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"14",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"14",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"14",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"14",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"54",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"56",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"V",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"V",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"7",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"7",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"7",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"3",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"7",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"7",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"38",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"38",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"H",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"V",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"6",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"4",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"5",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"3",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"9",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"5",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"3",</v>
      </c>
      <c r="DM321" s="24"/>
      <c r="DN321" s="24"/>
    </row>
    <row r="322" spans="116:118" x14ac:dyDescent="0.2">
      <c r="DL322" s="27" t="str">
        <f>CONCATENATE($DM$5,$AK$21,$DN$5)</f>
        <v xml:space="preserve">   "",</v>
      </c>
      <c r="DM322" s="24"/>
      <c r="DN322" s="24"/>
    </row>
    <row r="323" spans="116:118" x14ac:dyDescent="0.2">
      <c r="DL323" s="27" t="str">
        <f>CONCATENATE($DM$5,$AK$22,$DN$5)</f>
        <v xml:space="preserve">   "",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"53",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"V",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"V",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"V",</v>
      </c>
      <c r="DM349" s="24"/>
      <c r="DN349" s="24"/>
    </row>
    <row r="350" spans="116:118" x14ac:dyDescent="0.2">
      <c r="DL350" s="27" t="str">
        <f>CONCATENATE($DM$5,$AM$21,$DN$5)</f>
        <v xml:space="preserve">   "",</v>
      </c>
      <c r="DM350" s="24"/>
      <c r="DN350" s="24"/>
    </row>
    <row r="351" spans="116:118" x14ac:dyDescent="0.2">
      <c r="DL351" s="27" t="str">
        <f>CONCATENATE($DM$5,$AM$22,$DN$5)</f>
        <v xml:space="preserve">   "",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"8",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"1",</v>
      </c>
      <c r="DM358" s="24"/>
      <c r="DN358" s="24"/>
    </row>
    <row r="359" spans="116:118" x14ac:dyDescent="0.2">
      <c r="DL359" s="27" t="str">
        <f>CONCATENATE($DM$5,$AO$8,$DN$5)</f>
        <v xml:space="preserve">   "4",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"13",</v>
      </c>
      <c r="DM361" s="24"/>
      <c r="DN361" s="24"/>
    </row>
    <row r="362" spans="116:118" x14ac:dyDescent="0.2">
      <c r="DL362" s="27" t="str">
        <f>CONCATENATE($DM$5,$AO$15,$DN$5)</f>
        <v xml:space="preserve">   "1",</v>
      </c>
      <c r="DM362" s="24"/>
      <c r="DN362" s="24"/>
    </row>
    <row r="363" spans="116:118" x14ac:dyDescent="0.2">
      <c r="DL363" s="27" t="str">
        <f>CONCATENATE($DM$5,$AO$16,$DN$5)</f>
        <v xml:space="preserve">   "1",</v>
      </c>
      <c r="DM363" s="24"/>
      <c r="DN363" s="24"/>
    </row>
    <row r="364" spans="116:118" x14ac:dyDescent="0.2">
      <c r="DL364" s="27" t="str">
        <f>CONCATENATE($DM$5,$AO$21,$DN$5)</f>
        <v xml:space="preserve">   "",</v>
      </c>
      <c r="DM364" s="24"/>
      <c r="DN364" s="24"/>
    </row>
    <row r="365" spans="116:118" x14ac:dyDescent="0.2">
      <c r="DL365" s="27" t="str">
        <f>CONCATENATE($DM$5,$AO$22,$DN$5)</f>
        <v xml:space="preserve">   "",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"47",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"47",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"V",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"",</v>
      </c>
      <c r="DM392" s="24"/>
      <c r="DN392" s="24"/>
    </row>
    <row r="393" spans="116:118" x14ac:dyDescent="0.2">
      <c r="DL393" s="27" t="str">
        <f>CONCATENATE($DM$5,$AQ$22,$DN$5)</f>
        <v xml:space="preserve">   "",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"8",</v>
      </c>
      <c r="DM398" s="24"/>
      <c r="DN398" s="24"/>
    </row>
    <row r="399" spans="116:118" x14ac:dyDescent="0.2">
      <c r="DL399" s="27" t="str">
        <f>CONCATENATE($DM$5,$AS$6,$DN$5)</f>
        <v xml:space="preserve">   "6",</v>
      </c>
      <c r="DM399" s="24"/>
      <c r="DN399" s="24"/>
    </row>
    <row r="400" spans="116:118" x14ac:dyDescent="0.2">
      <c r="DL400" s="27" t="str">
        <f>CONCATENATE($DM$5,$AS$7,$DN$5)</f>
        <v xml:space="preserve">   "8",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"3",</v>
      </c>
      <c r="DM402" s="24"/>
      <c r="DN402" s="24"/>
    </row>
    <row r="403" spans="116:118" x14ac:dyDescent="0.2">
      <c r="DL403" s="27" t="str">
        <f>CONCATENATE($DM$5,$AS$14,$DN$5)</f>
        <v xml:space="preserve">   "13",</v>
      </c>
      <c r="DM403" s="24"/>
      <c r="DN403" s="24"/>
    </row>
    <row r="404" spans="116:118" x14ac:dyDescent="0.2">
      <c r="DL404" s="27" t="str">
        <f>CONCATENATE($DM$5,$AS$15,$DN$5)</f>
        <v xml:space="preserve">   "7",</v>
      </c>
      <c r="DM404" s="24"/>
      <c r="DN404" s="24"/>
    </row>
    <row r="405" spans="116:118" x14ac:dyDescent="0.2">
      <c r="DL405" s="27" t="str">
        <f>CONCATENATE($DM$5,$AS$16,$DN$5)</f>
        <v xml:space="preserve">   "5",</v>
      </c>
      <c r="DM405" s="24"/>
      <c r="DN405" s="24"/>
    </row>
    <row r="406" spans="116:118" x14ac:dyDescent="0.2">
      <c r="DL406" s="27" t="str">
        <f>CONCATENATE($DM$5,$AS$21,$DN$5)</f>
        <v xml:space="preserve">   "",</v>
      </c>
      <c r="DM406" s="24"/>
      <c r="DN406" s="24"/>
    </row>
    <row r="407" spans="116:118" x14ac:dyDescent="0.2">
      <c r="DL407" s="27" t="str">
        <f>CONCATENATE($DM$5,$AS$22,$DN$5)</f>
        <v xml:space="preserve">   "",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"48",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"46",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"V",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"10",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"10",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"7",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"21",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"17",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"7",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"54",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"48",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"H",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"14",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"14",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"3",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"42",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"38",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"Titans",</v>
      </c>
      <c r="DM510" s="24"/>
      <c r="DN510" s="24"/>
    </row>
    <row r="511" spans="99:118" x14ac:dyDescent="0.2">
      <c r="DL511" s="27" t="str">
        <f>CONCATENATE($DM$5,$C$6,$DN$5)</f>
        <v xml:space="preserve">   "Falcons",</v>
      </c>
      <c r="DM511" s="24"/>
      <c r="DN511" s="24"/>
    </row>
    <row r="512" spans="99:118" x14ac:dyDescent="0.2">
      <c r="DL512" s="27" t="str">
        <f>CONCATENATE($DM$5,$C$7,$DN$5)</f>
        <v xml:space="preserve">   "Bills",</v>
      </c>
      <c r="DM512" s="24"/>
      <c r="DN512" s="24"/>
    </row>
    <row r="513" spans="116:118" x14ac:dyDescent="0.2">
      <c r="DL513" s="27" t="str">
        <f>CONCATENATE($DM$5,$C$8,$DN$5)</f>
        <v xml:space="preserve">   "Panthers",</v>
      </c>
      <c r="DM513" s="24"/>
      <c r="DN513" s="24"/>
    </row>
    <row r="514" spans="116:118" x14ac:dyDescent="0.2">
      <c r="DL514" s="27" t="str">
        <f>CONCATENATE($DM$5,$C$13,$DN$5)</f>
        <v xml:space="preserve">   "Falcons",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"Jaguars",</v>
      </c>
      <c r="DM516" s="24"/>
      <c r="DN516" s="24"/>
    </row>
    <row r="517" spans="116:118" x14ac:dyDescent="0.2">
      <c r="DL517" s="27" t="str">
        <f>CONCATENATE($DM$5,$C$16,$DN$5)</f>
        <v xml:space="preserve">   "Saints",</v>
      </c>
      <c r="DM517" s="24"/>
      <c r="DN517" s="24"/>
    </row>
    <row r="518" spans="116:118" x14ac:dyDescent="0.2">
      <c r="DL518" s="27" t="str">
        <f>CONCATENATE($DM$5,$C$21,$DN$5)</f>
        <v xml:space="preserve">   "",</v>
      </c>
      <c r="DM518" s="24"/>
      <c r="DN518" s="24"/>
    </row>
    <row r="519" spans="116:118" x14ac:dyDescent="0.2">
      <c r="DL519" s="27" t="str">
        <f>CONCATENATE($DM$5,$C$22,$DN$5)</f>
        <v xml:space="preserve">   "",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"Chiefs",</v>
      </c>
      <c r="DM524" s="59"/>
    </row>
    <row r="525" spans="116:118" x14ac:dyDescent="0.2">
      <c r="DL525" s="27" t="str">
        <f>CONCATENATE($DM$5,$E$6,$DN$5)</f>
        <v xml:space="preserve">   "Rams",</v>
      </c>
      <c r="DM525" s="59"/>
    </row>
    <row r="526" spans="116:118" x14ac:dyDescent="0.2">
      <c r="DL526" s="27" t="str">
        <f>CONCATENATE($DM$5,$E$7,$DN$5)</f>
        <v xml:space="preserve">   "Jaguars",</v>
      </c>
      <c r="DM526" s="59"/>
    </row>
    <row r="527" spans="116:118" x14ac:dyDescent="0.2">
      <c r="DL527" s="27" t="str">
        <f>CONCATENATE($DM$5,$E$8,$DN$5)</f>
        <v xml:space="preserve">   "Saints",</v>
      </c>
      <c r="DM527" s="59"/>
    </row>
    <row r="528" spans="116:118" x14ac:dyDescent="0.2">
      <c r="DL528" s="27" t="str">
        <f>CONCATENATE($DM$5,$E$13,$DN$5)</f>
        <v xml:space="preserve">   "Eagles",</v>
      </c>
      <c r="DM528" s="59"/>
    </row>
    <row r="529" spans="116:118" x14ac:dyDescent="0.2">
      <c r="DL529" s="27" t="str">
        <f>CONCATENATE($DM$5,$E$14,$DN$5)</f>
        <v xml:space="preserve">   "Patriots",</v>
      </c>
      <c r="DM529" s="59"/>
    </row>
    <row r="530" spans="116:118" x14ac:dyDescent="0.2">
      <c r="DL530" s="27" t="str">
        <f>CONCATENATE($DM$5,$E$15,$DN$5)</f>
        <v xml:space="preserve">   "Steelers",</v>
      </c>
      <c r="DM530" s="59"/>
    </row>
    <row r="531" spans="116:118" x14ac:dyDescent="0.2">
      <c r="DL531" s="27" t="str">
        <f>CONCATENATE($DM$5,$E$16,$DN$5)</f>
        <v xml:space="preserve">   "Vikings",</v>
      </c>
      <c r="DM531" s="59"/>
    </row>
    <row r="532" spans="116:118" x14ac:dyDescent="0.2">
      <c r="DL532" s="27" t="str">
        <f>CONCATENATE($DM$5,$E$21,$DN$5)</f>
        <v xml:space="preserve">   "",</v>
      </c>
      <c r="DM532" s="59"/>
    </row>
    <row r="533" spans="116:118" x14ac:dyDescent="0.2">
      <c r="DL533" s="27" t="str">
        <f>CONCATENATE($DM$5,$E$22,$DN$5)</f>
        <v xml:space="preserve">   "",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"22",</v>
      </c>
      <c r="DM538" s="59"/>
    </row>
    <row r="539" spans="116:118" x14ac:dyDescent="0.2">
      <c r="DL539" s="27" t="str">
        <f>CONCATENATE($DM$5,$B$6,$DN$5)</f>
        <v xml:space="preserve">   "26",</v>
      </c>
      <c r="DM539" s="59"/>
    </row>
    <row r="540" spans="116:118" x14ac:dyDescent="0.2">
      <c r="DL540" s="27" t="str">
        <f>CONCATENATE($DM$5,$B$7,$DN$5)</f>
        <v xml:space="preserve">   "3",</v>
      </c>
      <c r="DM540" s="59"/>
    </row>
    <row r="541" spans="116:118" x14ac:dyDescent="0.2">
      <c r="DL541" s="27" t="str">
        <f>CONCATENATE($DM$5,$B$8,$DN$5)</f>
        <v xml:space="preserve">   "26",</v>
      </c>
      <c r="DM541" s="59"/>
    </row>
    <row r="542" spans="116:118" x14ac:dyDescent="0.2">
      <c r="DL542" s="27" t="str">
        <f>CONCATENATE($DM$5,$B$13,$DN$5)</f>
        <v xml:space="preserve">   "",</v>
      </c>
      <c r="DM542" s="59"/>
    </row>
    <row r="543" spans="116:118" x14ac:dyDescent="0.2">
      <c r="DL543" s="27" t="str">
        <f>CONCATENATE($DM$5,$B$14,$DN$5)</f>
        <v xml:space="preserve">   "",</v>
      </c>
      <c r="DM543" s="59"/>
    </row>
    <row r="544" spans="116:118" x14ac:dyDescent="0.2">
      <c r="DL544" s="27" t="str">
        <f>CONCATENATE($DM$5,$B$15,$DN$5)</f>
        <v xml:space="preserve">   "",</v>
      </c>
      <c r="DM544" s="24"/>
      <c r="DN544" s="24"/>
    </row>
    <row r="545" spans="116:118" x14ac:dyDescent="0.2">
      <c r="DL545" s="27" t="str">
        <f>CONCATENATE($DM$5,$B$16,$DN$5)</f>
        <v xml:space="preserve">   "",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"21",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"10",</v>
      </c>
      <c r="DM554" s="24"/>
      <c r="DN554" s="24"/>
    </row>
    <row r="555" spans="116:118" x14ac:dyDescent="0.2">
      <c r="DL555" s="27" t="str">
        <f>CONCATENATE($DM$5,$F$8,$DN$5)</f>
        <v xml:space="preserve">   "31",</v>
      </c>
      <c r="DM555" s="24"/>
      <c r="DN555" s="24"/>
    </row>
    <row r="556" spans="116:118" x14ac:dyDescent="0.2">
      <c r="DL556" s="27" t="str">
        <f>CONCATENATE($DM$5,$F$13,$DN$5)</f>
        <v xml:space="preserve">   "",</v>
      </c>
      <c r="DM556" s="24"/>
      <c r="DN556" s="24"/>
    </row>
    <row r="557" spans="116:118" x14ac:dyDescent="0.2">
      <c r="DL557" s="27" t="str">
        <f>CONCATENATE($DM$5,$F$14,$DN$5)</f>
        <v xml:space="preserve">   "",</v>
      </c>
      <c r="DM557" s="24"/>
      <c r="DN557" s="24"/>
    </row>
    <row r="558" spans="116:118" x14ac:dyDescent="0.2">
      <c r="DL558" s="27" t="str">
        <f>CONCATENATE($DM$5,$F$15,$DN$5)</f>
        <v xml:space="preserve">   "",</v>
      </c>
      <c r="DM558" s="24"/>
      <c r="DN558" s="24"/>
    </row>
    <row r="559" spans="116:118" x14ac:dyDescent="0.2">
      <c r="DL559" s="27" t="str">
        <f>CONCATENATE($DM$5,$F$16,$DN$5)</f>
        <v xml:space="preserve">   "",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200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8522" divId="Post_Season_Results_1" sourceType="range" sourceRef="CB67:CH80" destinationFile="D:\Football Pool\Web Pages\2017 Football Pool Page\fp_results.html"/>
    <webPublishItem id="14120" divId="Final_Post_Season_Results" sourceType="range" sourceRef="CF67:CS80" destinationFile="C:\Users\Jerry\Desktop\Test\fp_results_2016.html"/>
    <webPublishItem id="8528" divId="Post_Season_Results_2" sourceType="range" sourceRef="CJ67:CS80" destinationFile="D:\Football Pool\Web Pages\2017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2018-01-13T07:14:18Z</dcterms:modified>
</cp:coreProperties>
</file>