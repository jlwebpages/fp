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20" windowWidth="9720" windowHeight="7320" tabRatio="279"/>
  </bookViews>
  <sheets>
    <sheet name="NFL Post Season" sheetId="1" r:id="rId1"/>
  </sheets>
  <definedNames>
    <definedName name="_xlnm.Print_Area" localSheetId="0">'NFL Post Season'!$B$1:$BB$30</definedName>
    <definedName name="_xlnm.Print_Titles" localSheetId="0">'NFL Post Season'!$F:$F</definedName>
  </definedNames>
  <calcPr calcId="162913" fullCalcOnLoad="1"/>
</workbook>
</file>

<file path=xl/calcChain.xml><?xml version="1.0" encoding="utf-8"?>
<calcChain xmlns="http://schemas.openxmlformats.org/spreadsheetml/2006/main">
  <c r="DT15" i="1" l="1"/>
  <c r="DO15" i="1"/>
  <c r="DT14" i="1"/>
  <c r="DO14" i="1"/>
  <c r="DT13" i="1"/>
  <c r="DO13" i="1"/>
  <c r="DT12" i="1"/>
  <c r="DO12" i="1"/>
  <c r="CU77" i="1"/>
  <c r="CU92" i="1"/>
  <c r="DD92" i="1"/>
  <c r="CU83" i="1"/>
  <c r="DD83" i="1"/>
  <c r="CU89" i="1"/>
  <c r="DD89" i="1"/>
  <c r="CU88" i="1"/>
  <c r="DD88" i="1"/>
  <c r="DD87" i="1"/>
  <c r="CU87" i="1"/>
  <c r="CU86" i="1"/>
  <c r="DD86" i="1"/>
  <c r="CU91" i="1"/>
  <c r="DD91" i="1"/>
  <c r="CU85" i="1"/>
  <c r="DD85" i="1"/>
  <c r="CU90" i="1"/>
  <c r="CU84" i="1"/>
  <c r="DD84" i="1"/>
  <c r="CU82" i="1"/>
  <c r="DD82" i="1"/>
  <c r="CU81" i="1"/>
  <c r="DD79" i="1"/>
  <c r="CK75" i="1"/>
  <c r="CK74" i="1"/>
  <c r="CK65" i="1"/>
  <c r="CM65" i="1"/>
  <c r="CK73" i="1"/>
  <c r="CM73" i="1"/>
  <c r="CK72" i="1"/>
  <c r="CK71" i="1"/>
  <c r="CM71" i="1"/>
  <c r="CK70" i="1"/>
  <c r="CK69" i="1"/>
  <c r="CK68" i="1"/>
  <c r="CM68" i="1"/>
  <c r="CK64" i="1"/>
  <c r="CK66" i="1"/>
  <c r="CK67" i="1"/>
  <c r="CM67" i="1"/>
  <c r="DL532" i="1"/>
  <c r="DL530" i="1"/>
  <c r="DL529" i="1"/>
  <c r="DL528" i="1"/>
  <c r="DL526" i="1"/>
  <c r="DL525" i="1"/>
  <c r="DL524" i="1"/>
  <c r="DL490" i="1"/>
  <c r="DL488" i="1"/>
  <c r="DL487" i="1"/>
  <c r="DL486" i="1"/>
  <c r="DL484" i="1"/>
  <c r="DL483" i="1"/>
  <c r="DL482" i="1"/>
  <c r="DL448" i="1"/>
  <c r="DL446" i="1"/>
  <c r="DL445" i="1"/>
  <c r="DL444" i="1"/>
  <c r="DL442" i="1"/>
  <c r="DL441" i="1"/>
  <c r="DL440" i="1"/>
  <c r="DL406" i="1"/>
  <c r="DL404" i="1"/>
  <c r="DL403" i="1"/>
  <c r="DL402" i="1"/>
  <c r="DL400" i="1"/>
  <c r="DL399" i="1"/>
  <c r="DL398" i="1"/>
  <c r="DL364" i="1"/>
  <c r="DL362" i="1"/>
  <c r="DL361" i="1"/>
  <c r="DL360" i="1"/>
  <c r="DL358" i="1"/>
  <c r="DL357" i="1"/>
  <c r="DL356" i="1"/>
  <c r="DL322" i="1"/>
  <c r="DL320" i="1"/>
  <c r="DL319" i="1"/>
  <c r="DL318" i="1"/>
  <c r="DL316" i="1"/>
  <c r="DL315" i="1"/>
  <c r="DL314" i="1"/>
  <c r="DL280" i="1"/>
  <c r="DL278" i="1"/>
  <c r="DL277" i="1"/>
  <c r="DL276" i="1"/>
  <c r="DL274" i="1"/>
  <c r="DL273" i="1"/>
  <c r="DL272" i="1"/>
  <c r="DL238" i="1"/>
  <c r="DL236" i="1"/>
  <c r="DL235" i="1"/>
  <c r="DL234" i="1"/>
  <c r="DL232" i="1"/>
  <c r="DL231" i="1"/>
  <c r="DL230" i="1"/>
  <c r="DL196" i="1"/>
  <c r="DL194" i="1"/>
  <c r="DL193" i="1"/>
  <c r="DL192" i="1"/>
  <c r="DL190" i="1"/>
  <c r="DL189" i="1"/>
  <c r="DL188" i="1"/>
  <c r="DL154" i="1"/>
  <c r="DL152" i="1"/>
  <c r="DL151" i="1"/>
  <c r="DL150" i="1"/>
  <c r="DL148" i="1"/>
  <c r="DL147" i="1"/>
  <c r="DL146" i="1"/>
  <c r="DL112" i="1"/>
  <c r="DL110" i="1"/>
  <c r="DL109" i="1"/>
  <c r="DL108" i="1"/>
  <c r="DL106" i="1"/>
  <c r="DL105" i="1"/>
  <c r="DL104" i="1"/>
  <c r="DL70" i="1"/>
  <c r="DL68" i="1"/>
  <c r="DL67" i="1"/>
  <c r="DL66" i="1"/>
  <c r="DL64" i="1"/>
  <c r="DL63" i="1"/>
  <c r="DL62" i="1"/>
  <c r="F25" i="1"/>
  <c r="F21" i="1"/>
  <c r="F16" i="1"/>
  <c r="BL16" i="1"/>
  <c r="F9" i="1"/>
  <c r="DL534" i="1"/>
  <c r="DL492" i="1"/>
  <c r="DL450" i="1"/>
  <c r="DL408" i="1"/>
  <c r="DL366" i="1"/>
  <c r="DL324" i="1"/>
  <c r="DL282" i="1"/>
  <c r="DL240" i="1"/>
  <c r="DL198" i="1"/>
  <c r="DL156" i="1"/>
  <c r="DL114" i="1"/>
  <c r="DL72" i="1"/>
  <c r="DL533" i="1"/>
  <c r="DL531" i="1"/>
  <c r="DL527" i="1"/>
  <c r="DL491" i="1"/>
  <c r="DL489" i="1"/>
  <c r="DL485" i="1"/>
  <c r="DL449" i="1"/>
  <c r="DL447" i="1"/>
  <c r="DL443" i="1"/>
  <c r="DL407" i="1"/>
  <c r="DL405" i="1"/>
  <c r="DL401" i="1"/>
  <c r="DL365" i="1"/>
  <c r="DL363" i="1"/>
  <c r="DL359" i="1"/>
  <c r="DL323" i="1"/>
  <c r="DL321" i="1"/>
  <c r="DL317" i="1"/>
  <c r="DL281" i="1"/>
  <c r="DL279" i="1"/>
  <c r="DL275" i="1"/>
  <c r="DL239" i="1"/>
  <c r="DL237" i="1"/>
  <c r="DL233" i="1"/>
  <c r="DL197" i="1"/>
  <c r="DL195" i="1"/>
  <c r="DL191" i="1"/>
  <c r="DL155" i="1"/>
  <c r="DL153" i="1"/>
  <c r="DL149" i="1"/>
  <c r="DL113" i="1"/>
  <c r="DL111" i="1"/>
  <c r="DL107" i="1"/>
  <c r="DL71" i="1"/>
  <c r="DL69" i="1"/>
  <c r="DL65" i="1"/>
  <c r="BK25" i="1"/>
  <c r="BL25" i="1"/>
  <c r="BK21" i="1"/>
  <c r="BK16" i="1"/>
  <c r="BK9" i="1"/>
  <c r="K4" i="1"/>
  <c r="BD5" i="1"/>
  <c r="N5" i="1"/>
  <c r="BF5" i="1"/>
  <c r="BH5" i="1"/>
  <c r="BI5" i="1"/>
  <c r="DL5" i="1"/>
  <c r="BD6" i="1"/>
  <c r="J6" i="1"/>
  <c r="BF6" i="1"/>
  <c r="BH6" i="1"/>
  <c r="BI6" i="1"/>
  <c r="DL6" i="1"/>
  <c r="BD7" i="1"/>
  <c r="N7" i="1"/>
  <c r="BF7" i="1"/>
  <c r="BH7" i="1"/>
  <c r="BI7" i="1"/>
  <c r="DL7" i="1"/>
  <c r="BD8" i="1"/>
  <c r="R8" i="1"/>
  <c r="BF8" i="1"/>
  <c r="BH8" i="1"/>
  <c r="BI8" i="1"/>
  <c r="DL8" i="1"/>
  <c r="DL9" i="1"/>
  <c r="DL10" i="1"/>
  <c r="K11" i="1"/>
  <c r="G57" i="1"/>
  <c r="H57" i="1"/>
  <c r="I57" i="1"/>
  <c r="J57" i="1"/>
  <c r="K57" i="1"/>
  <c r="L57" i="1"/>
  <c r="M57" i="1"/>
  <c r="N57" i="1"/>
  <c r="O57" i="1"/>
  <c r="P57" i="1"/>
  <c r="Q57" i="1"/>
  <c r="R57" i="1"/>
  <c r="DL11" i="1"/>
  <c r="AH12" i="1"/>
  <c r="BD12" i="1"/>
  <c r="R12" i="1"/>
  <c r="BF12" i="1"/>
  <c r="BH12" i="1"/>
  <c r="BI12" i="1"/>
  <c r="BK12" i="1"/>
  <c r="DL12" i="1"/>
  <c r="AH13" i="1"/>
  <c r="BD13" i="1"/>
  <c r="N13" i="1"/>
  <c r="BF13" i="1"/>
  <c r="BH13" i="1"/>
  <c r="BI13" i="1"/>
  <c r="BK13" i="1"/>
  <c r="BL13" i="1"/>
  <c r="DL13" i="1"/>
  <c r="AH14" i="1"/>
  <c r="AL14" i="1"/>
  <c r="BD14" i="1"/>
  <c r="BF14" i="1"/>
  <c r="N14" i="1"/>
  <c r="BH14" i="1"/>
  <c r="BI14" i="1"/>
  <c r="DL14" i="1"/>
  <c r="AH15" i="1"/>
  <c r="BD15" i="1"/>
  <c r="BF15" i="1"/>
  <c r="BH15" i="1"/>
  <c r="BI15" i="1"/>
  <c r="BK15" i="1"/>
  <c r="DL15" i="1"/>
  <c r="AH17" i="1"/>
  <c r="K18" i="1"/>
  <c r="BD19" i="1"/>
  <c r="R19" i="1"/>
  <c r="BF19" i="1"/>
  <c r="BH19" i="1"/>
  <c r="BI19" i="1"/>
  <c r="BD20" i="1"/>
  <c r="R20" i="1"/>
  <c r="BF20" i="1"/>
  <c r="BH20" i="1"/>
  <c r="BI20" i="1"/>
  <c r="DL19" i="1"/>
  <c r="DL20" i="1"/>
  <c r="G23" i="1"/>
  <c r="DL21" i="1"/>
  <c r="J24" i="1"/>
  <c r="N24" i="1"/>
  <c r="R24" i="1"/>
  <c r="V24" i="1"/>
  <c r="V26" i="1"/>
  <c r="Z24" i="1"/>
  <c r="Z26" i="1"/>
  <c r="AD24" i="1"/>
  <c r="AD26" i="1"/>
  <c r="AH24" i="1"/>
  <c r="AL24" i="1"/>
  <c r="AL26" i="1"/>
  <c r="AP24" i="1"/>
  <c r="AT24" i="1"/>
  <c r="AX24" i="1"/>
  <c r="BB24" i="1"/>
  <c r="BD24" i="1"/>
  <c r="G52" i="1"/>
  <c r="BF24" i="1"/>
  <c r="BH24" i="1"/>
  <c r="BI24" i="1"/>
  <c r="DL22" i="1"/>
  <c r="J26" i="1"/>
  <c r="N26" i="1"/>
  <c r="R26" i="1"/>
  <c r="AH26" i="1"/>
  <c r="AH39" i="1"/>
  <c r="AP26" i="1"/>
  <c r="AT26" i="1"/>
  <c r="AT39" i="1"/>
  <c r="AX26" i="1"/>
  <c r="BB26" i="1"/>
  <c r="BB39" i="1"/>
  <c r="DL23" i="1"/>
  <c r="C27" i="1"/>
  <c r="DL24" i="1"/>
  <c r="DL25" i="1"/>
  <c r="DL26" i="1"/>
  <c r="DL27" i="1"/>
  <c r="BO32" i="1"/>
  <c r="BO33" i="1"/>
  <c r="BO34" i="1"/>
  <c r="BO35" i="1"/>
  <c r="G42" i="1"/>
  <c r="AQ42" i="1"/>
  <c r="AI43" i="1"/>
  <c r="S44" i="1"/>
  <c r="AM44" i="1"/>
  <c r="K45" i="1"/>
  <c r="G46" i="1"/>
  <c r="K47" i="1"/>
  <c r="O47" i="1"/>
  <c r="S47" i="1"/>
  <c r="AA47" i="1"/>
  <c r="AE47" i="1"/>
  <c r="AI47" i="1"/>
  <c r="AQ47" i="1"/>
  <c r="AU47" i="1"/>
  <c r="AY47" i="1"/>
  <c r="O48" i="1"/>
  <c r="W50" i="1"/>
  <c r="AQ50" i="1"/>
  <c r="S52" i="1"/>
  <c r="W52" i="1"/>
  <c r="AI52" i="1"/>
  <c r="AY52" i="1"/>
  <c r="BI52" i="1"/>
  <c r="DL28" i="1"/>
  <c r="DL29" i="1"/>
  <c r="DL76" i="1"/>
  <c r="DL77" i="1"/>
  <c r="DL78" i="1"/>
  <c r="DL79" i="1"/>
  <c r="DL80" i="1"/>
  <c r="DL81" i="1"/>
  <c r="DL82" i="1"/>
  <c r="DL83" i="1"/>
  <c r="DL84" i="1"/>
  <c r="DL85" i="1"/>
  <c r="DL86" i="1"/>
  <c r="DL90" i="1"/>
  <c r="DL91" i="1"/>
  <c r="DL92" i="1"/>
  <c r="DL93" i="1"/>
  <c r="DL94" i="1"/>
  <c r="DL95" i="1"/>
  <c r="DL96" i="1"/>
  <c r="DL97" i="1"/>
  <c r="DL98" i="1"/>
  <c r="DL99" i="1"/>
  <c r="DL100" i="1"/>
  <c r="DL118" i="1"/>
  <c r="DL119" i="1"/>
  <c r="DL120" i="1"/>
  <c r="DL121" i="1"/>
  <c r="DL122" i="1"/>
  <c r="DL123" i="1"/>
  <c r="DL124" i="1"/>
  <c r="DL125" i="1"/>
  <c r="DL126" i="1"/>
  <c r="DL127" i="1"/>
  <c r="DL128" i="1"/>
  <c r="DL132" i="1"/>
  <c r="DL133" i="1"/>
  <c r="DL134" i="1"/>
  <c r="DL135" i="1"/>
  <c r="DL136" i="1"/>
  <c r="DL137" i="1"/>
  <c r="DL138" i="1"/>
  <c r="DL139" i="1"/>
  <c r="DL140" i="1"/>
  <c r="DL141" i="1"/>
  <c r="DL142" i="1"/>
  <c r="DL160" i="1"/>
  <c r="DL161" i="1"/>
  <c r="DL162" i="1"/>
  <c r="DL163" i="1"/>
  <c r="DL164" i="1"/>
  <c r="DL165" i="1"/>
  <c r="DL166" i="1"/>
  <c r="DL167" i="1"/>
  <c r="DL168" i="1"/>
  <c r="DL169" i="1"/>
  <c r="DL170" i="1"/>
  <c r="DL174" i="1"/>
  <c r="DL175" i="1"/>
  <c r="DL176" i="1"/>
  <c r="DL177" i="1"/>
  <c r="DL178" i="1"/>
  <c r="DL179" i="1"/>
  <c r="DL180" i="1"/>
  <c r="DL181" i="1"/>
  <c r="DL182" i="1"/>
  <c r="DL183" i="1"/>
  <c r="DL184" i="1"/>
  <c r="DL202" i="1"/>
  <c r="DL203" i="1"/>
  <c r="DL204" i="1"/>
  <c r="DL205" i="1"/>
  <c r="DL206" i="1"/>
  <c r="DL207" i="1"/>
  <c r="DL208" i="1"/>
  <c r="DL209" i="1"/>
  <c r="DL210" i="1"/>
  <c r="DL211" i="1"/>
  <c r="DL212" i="1"/>
  <c r="DL216" i="1"/>
  <c r="DL217" i="1"/>
  <c r="DL218" i="1"/>
  <c r="DL219" i="1"/>
  <c r="DL220" i="1"/>
  <c r="DL221" i="1"/>
  <c r="DL222" i="1"/>
  <c r="DL223" i="1"/>
  <c r="DL224" i="1"/>
  <c r="DL225" i="1"/>
  <c r="DL226" i="1"/>
  <c r="DL244" i="1"/>
  <c r="DL245" i="1"/>
  <c r="DL246" i="1"/>
  <c r="DL247" i="1"/>
  <c r="DL248" i="1"/>
  <c r="DL249" i="1"/>
  <c r="DL250" i="1"/>
  <c r="DL251" i="1"/>
  <c r="DL252" i="1"/>
  <c r="DL253" i="1"/>
  <c r="DL254" i="1"/>
  <c r="DL258" i="1"/>
  <c r="DL259" i="1"/>
  <c r="DL260" i="1"/>
  <c r="DL261" i="1"/>
  <c r="DL262" i="1"/>
  <c r="DL263" i="1"/>
  <c r="DL264" i="1"/>
  <c r="DL265" i="1"/>
  <c r="DL266" i="1"/>
  <c r="DL267" i="1"/>
  <c r="DL268" i="1"/>
  <c r="DL286" i="1"/>
  <c r="DL287" i="1"/>
  <c r="DL288" i="1"/>
  <c r="DL289" i="1"/>
  <c r="DL290" i="1"/>
  <c r="DL291" i="1"/>
  <c r="DL292" i="1"/>
  <c r="DL293" i="1"/>
  <c r="DL294" i="1"/>
  <c r="DL295" i="1"/>
  <c r="DL296" i="1"/>
  <c r="DL300" i="1"/>
  <c r="DL301" i="1"/>
  <c r="DL302" i="1"/>
  <c r="DL303" i="1"/>
  <c r="DL304" i="1"/>
  <c r="DL305" i="1"/>
  <c r="DL306" i="1"/>
  <c r="DL307" i="1"/>
  <c r="DL308" i="1"/>
  <c r="DL309" i="1"/>
  <c r="DL310" i="1"/>
  <c r="DL328" i="1"/>
  <c r="DL329" i="1"/>
  <c r="DL330" i="1"/>
  <c r="DL331" i="1"/>
  <c r="DL332" i="1"/>
  <c r="DL333" i="1"/>
  <c r="DL334" i="1"/>
  <c r="DL335" i="1"/>
  <c r="DL336" i="1"/>
  <c r="DL337" i="1"/>
  <c r="DL338" i="1"/>
  <c r="DL342" i="1"/>
  <c r="DL343" i="1"/>
  <c r="DL344" i="1"/>
  <c r="DL345" i="1"/>
  <c r="DL346" i="1"/>
  <c r="DL347" i="1"/>
  <c r="DL348" i="1"/>
  <c r="DL349" i="1"/>
  <c r="DL350" i="1"/>
  <c r="DL351" i="1"/>
  <c r="DL352" i="1"/>
  <c r="DL370" i="1"/>
  <c r="DL371" i="1"/>
  <c r="DL372" i="1"/>
  <c r="DL373" i="1"/>
  <c r="DL374" i="1"/>
  <c r="DL375" i="1"/>
  <c r="DL376" i="1"/>
  <c r="DL377" i="1"/>
  <c r="DL378" i="1"/>
  <c r="DL379" i="1"/>
  <c r="DL380" i="1"/>
  <c r="DL384" i="1"/>
  <c r="DL385" i="1"/>
  <c r="DL386" i="1"/>
  <c r="DL387" i="1"/>
  <c r="DL388" i="1"/>
  <c r="DL389" i="1"/>
  <c r="DL390" i="1"/>
  <c r="DL391" i="1"/>
  <c r="DL392" i="1"/>
  <c r="DL393" i="1"/>
  <c r="DL394" i="1"/>
  <c r="DL412" i="1"/>
  <c r="DL413" i="1"/>
  <c r="DL414" i="1"/>
  <c r="DL415" i="1"/>
  <c r="DL416" i="1"/>
  <c r="DL417" i="1"/>
  <c r="DL418" i="1"/>
  <c r="DL419" i="1"/>
  <c r="DL420" i="1"/>
  <c r="DL421" i="1"/>
  <c r="DL422" i="1"/>
  <c r="DL426" i="1"/>
  <c r="DL427" i="1"/>
  <c r="DL428" i="1"/>
  <c r="DL429" i="1"/>
  <c r="DL430" i="1"/>
  <c r="DL431" i="1"/>
  <c r="DL432" i="1"/>
  <c r="DL433" i="1"/>
  <c r="DL434" i="1"/>
  <c r="DL435" i="1"/>
  <c r="DL436" i="1"/>
  <c r="DL454" i="1"/>
  <c r="DL455" i="1"/>
  <c r="DL456" i="1"/>
  <c r="DL457" i="1"/>
  <c r="DL458" i="1"/>
  <c r="DL459" i="1"/>
  <c r="DL460" i="1"/>
  <c r="DL461" i="1"/>
  <c r="DL462" i="1"/>
  <c r="DL463" i="1"/>
  <c r="DL464" i="1"/>
  <c r="DL468" i="1"/>
  <c r="DL469" i="1"/>
  <c r="DL470" i="1"/>
  <c r="DL471" i="1"/>
  <c r="DL472" i="1"/>
  <c r="DL473" i="1"/>
  <c r="DL474" i="1"/>
  <c r="DL475" i="1"/>
  <c r="DL476" i="1"/>
  <c r="DL477" i="1"/>
  <c r="DL478" i="1"/>
  <c r="DL496" i="1"/>
  <c r="DL497" i="1"/>
  <c r="DL498" i="1"/>
  <c r="DL499" i="1"/>
  <c r="DL500" i="1"/>
  <c r="DL501" i="1"/>
  <c r="DL502" i="1"/>
  <c r="DL503" i="1"/>
  <c r="DL504" i="1"/>
  <c r="DL505" i="1"/>
  <c r="DL506" i="1"/>
  <c r="DL510" i="1"/>
  <c r="DL511" i="1"/>
  <c r="DL512" i="1"/>
  <c r="DL513" i="1"/>
  <c r="DL514" i="1"/>
  <c r="DL515" i="1"/>
  <c r="DL516" i="1"/>
  <c r="DL517" i="1"/>
  <c r="DL518" i="1"/>
  <c r="DL519" i="1"/>
  <c r="DL520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6" i="1"/>
  <c r="DL567" i="1"/>
  <c r="DL568" i="1"/>
  <c r="DL569" i="1"/>
  <c r="DL570" i="1"/>
  <c r="DL571" i="1"/>
  <c r="DL572" i="1"/>
  <c r="DL573" i="1"/>
  <c r="DL574" i="1"/>
  <c r="DL575" i="1"/>
  <c r="DL576" i="1"/>
  <c r="DL580" i="1"/>
  <c r="DL581" i="1"/>
  <c r="DL582" i="1"/>
  <c r="DL583" i="1"/>
  <c r="DL584" i="1"/>
  <c r="DL585" i="1"/>
  <c r="DL586" i="1"/>
  <c r="DL587" i="1"/>
  <c r="DL588" i="1"/>
  <c r="DL589" i="1"/>
  <c r="DL590" i="1"/>
  <c r="DL593" i="1"/>
  <c r="DL594" i="1"/>
  <c r="DL595" i="1"/>
  <c r="DL596" i="1"/>
  <c r="DL597" i="1"/>
  <c r="G45" i="1"/>
  <c r="BI45" i="1"/>
  <c r="AE45" i="1"/>
  <c r="AA45" i="1"/>
  <c r="AY50" i="1"/>
  <c r="O50" i="1"/>
  <c r="AI42" i="1"/>
  <c r="AY42" i="1"/>
  <c r="O42" i="1"/>
  <c r="G48" i="1"/>
  <c r="W48" i="1"/>
  <c r="CM69" i="1"/>
  <c r="CM72" i="1"/>
  <c r="CM75" i="1"/>
  <c r="CM74" i="1"/>
  <c r="K46" i="1"/>
  <c r="AA46" i="1"/>
  <c r="AQ46" i="1"/>
  <c r="AI46" i="1"/>
  <c r="BI46" i="1"/>
  <c r="S46" i="1"/>
  <c r="O44" i="1"/>
  <c r="AU44" i="1"/>
  <c r="W44" i="1"/>
  <c r="AQ44" i="1"/>
  <c r="AA44" i="1"/>
  <c r="AY44" i="1"/>
  <c r="AU46" i="1"/>
  <c r="BI44" i="1"/>
  <c r="K44" i="1"/>
  <c r="AE51" i="1"/>
  <c r="W42" i="1"/>
  <c r="BI42" i="1"/>
  <c r="S42" i="1"/>
  <c r="K42" i="1"/>
  <c r="AE42" i="1"/>
  <c r="AA42" i="1"/>
  <c r="AU42" i="1"/>
  <c r="G50" i="1"/>
  <c r="AM50" i="1"/>
  <c r="AU50" i="1"/>
  <c r="S50" i="1"/>
  <c r="BI50" i="1"/>
  <c r="G47" i="1"/>
  <c r="W47" i="1"/>
  <c r="AM47" i="1"/>
  <c r="BI47" i="1"/>
  <c r="CM70" i="1"/>
  <c r="CM66" i="1"/>
  <c r="DD90" i="1"/>
  <c r="BL21" i="1"/>
  <c r="AP39" i="1"/>
  <c r="CM64" i="1"/>
  <c r="AP25" i="1"/>
  <c r="AP56" i="1"/>
  <c r="G58" i="1"/>
  <c r="AI50" i="1"/>
  <c r="K50" i="1"/>
  <c r="AE46" i="1"/>
  <c r="W46" i="1"/>
  <c r="O46" i="1"/>
  <c r="AM46" i="1"/>
  <c r="AI44" i="1"/>
  <c r="AE44" i="1"/>
  <c r="G44" i="1"/>
  <c r="DD81" i="1"/>
  <c r="AD6" i="1"/>
  <c r="G43" i="1"/>
  <c r="W43" i="1"/>
  <c r="AM43" i="1"/>
  <c r="BI43" i="1"/>
  <c r="BO37" i="1"/>
  <c r="AL6" i="1"/>
  <c r="K43" i="1"/>
  <c r="AA43" i="1"/>
  <c r="AQ43" i="1"/>
  <c r="AE43" i="1"/>
  <c r="AX39" i="1"/>
  <c r="AX25" i="1"/>
  <c r="AX56" i="1"/>
  <c r="S48" i="1"/>
  <c r="AI48" i="1"/>
  <c r="AY48" i="1"/>
  <c r="K48" i="1"/>
  <c r="AM48" i="1"/>
  <c r="BI48" i="1"/>
  <c r="AE48" i="1"/>
  <c r="AA48" i="1"/>
  <c r="AD8" i="1"/>
  <c r="AD10" i="1"/>
  <c r="O45" i="1"/>
  <c r="W45" i="1"/>
  <c r="AI45" i="1"/>
  <c r="AL8" i="1"/>
  <c r="AQ45" i="1"/>
  <c r="AM45" i="1"/>
  <c r="AY45" i="1"/>
  <c r="AQ48" i="1"/>
  <c r="S45" i="1"/>
  <c r="AM52" i="1"/>
  <c r="AU48" i="1"/>
  <c r="AU45" i="1"/>
  <c r="AY43" i="1"/>
  <c r="S43" i="1"/>
  <c r="O51" i="1"/>
  <c r="AY51" i="1"/>
  <c r="AE50" i="1"/>
  <c r="AA50" i="1"/>
  <c r="AU43" i="1"/>
  <c r="O43" i="1"/>
  <c r="BO36" i="1"/>
  <c r="CB62" i="1"/>
  <c r="K52" i="1"/>
  <c r="AA52" i="1"/>
  <c r="AQ52" i="1"/>
  <c r="BO40" i="1"/>
  <c r="O52" i="1"/>
  <c r="AE52" i="1"/>
  <c r="AU52" i="1"/>
  <c r="BO6" i="1"/>
  <c r="BK7" i="1"/>
  <c r="BL7" i="1"/>
  <c r="BK6" i="1"/>
  <c r="BL6" i="1"/>
  <c r="BK8" i="1"/>
  <c r="BL8" i="1"/>
  <c r="BL10" i="1"/>
  <c r="BK5" i="1"/>
  <c r="BL5" i="1"/>
  <c r="AT6" i="1"/>
  <c r="V6" i="1"/>
  <c r="AP6" i="1"/>
  <c r="R6" i="1"/>
  <c r="BB6" i="1"/>
  <c r="AH6" i="1"/>
  <c r="N6" i="1"/>
  <c r="AX6" i="1"/>
  <c r="Z6" i="1"/>
  <c r="BB5" i="1"/>
  <c r="AL5" i="1"/>
  <c r="V5" i="1"/>
  <c r="J5" i="1"/>
  <c r="AM42" i="1"/>
  <c r="AX5" i="1"/>
  <c r="AH5" i="1"/>
  <c r="R5" i="1"/>
  <c r="AT5" i="1"/>
  <c r="AD5" i="1"/>
  <c r="AP5" i="1"/>
  <c r="Z5" i="1"/>
  <c r="AD7" i="1"/>
  <c r="AT7" i="1"/>
  <c r="Z7" i="1"/>
  <c r="J7" i="1"/>
  <c r="AP7" i="1"/>
  <c r="V7" i="1"/>
  <c r="BB7" i="1"/>
  <c r="AL7" i="1"/>
  <c r="AL10" i="1"/>
  <c r="AL33" i="1"/>
  <c r="R7" i="1"/>
  <c r="R10" i="1"/>
  <c r="R33" i="1"/>
  <c r="AX7" i="1"/>
  <c r="AH7" i="1"/>
  <c r="AD33" i="1"/>
  <c r="BB8" i="1"/>
  <c r="BB10" i="1"/>
  <c r="Z8" i="1"/>
  <c r="Z10" i="1"/>
  <c r="Z33" i="1"/>
  <c r="AX8" i="1"/>
  <c r="AX10" i="1"/>
  <c r="V8" i="1"/>
  <c r="V10" i="1"/>
  <c r="AT8" i="1"/>
  <c r="AT10" i="1"/>
  <c r="N8" i="1"/>
  <c r="N10" i="1"/>
  <c r="AH8" i="1"/>
  <c r="AH10" i="1"/>
  <c r="J8" i="1"/>
  <c r="J10" i="1"/>
  <c r="J33" i="1"/>
  <c r="BL33" i="1"/>
  <c r="BB33" i="1"/>
  <c r="BL9" i="1"/>
  <c r="AP8" i="1"/>
  <c r="AP10" i="1"/>
  <c r="N33" i="1"/>
  <c r="AH33" i="1"/>
  <c r="AT33" i="1"/>
  <c r="V33" i="1"/>
  <c r="AX33" i="1"/>
  <c r="AP33" i="1"/>
  <c r="AO10" i="1"/>
  <c r="AP32" i="1"/>
  <c r="AS10" i="1"/>
  <c r="U10" i="1"/>
  <c r="AH9" i="1"/>
  <c r="AH53" i="1"/>
  <c r="N9" i="1"/>
  <c r="N53" i="1"/>
  <c r="BB9" i="1"/>
  <c r="BB53" i="1"/>
  <c r="R9" i="1"/>
  <c r="R53" i="1"/>
  <c r="AG10" i="1"/>
  <c r="AC10" i="1"/>
  <c r="Q10" i="1"/>
  <c r="AX9" i="1"/>
  <c r="AX53" i="1"/>
  <c r="AD9" i="1"/>
  <c r="AD53" i="1"/>
  <c r="V9" i="1"/>
  <c r="V53" i="1"/>
  <c r="AW10" i="1"/>
  <c r="AK10" i="1"/>
  <c r="I10" i="1"/>
  <c r="BA10" i="1"/>
  <c r="Z9" i="1"/>
  <c r="Z53" i="1"/>
  <c r="Y10" i="1"/>
  <c r="AT9" i="1"/>
  <c r="AT53" i="1"/>
  <c r="J9" i="1"/>
  <c r="J53" i="1"/>
  <c r="AL9" i="1"/>
  <c r="AL53" i="1"/>
  <c r="M10" i="1"/>
  <c r="AP9" i="1"/>
  <c r="AP53" i="1"/>
  <c r="BK10" i="1"/>
  <c r="BL32" i="1"/>
  <c r="J32" i="1"/>
  <c r="Z32" i="1"/>
  <c r="AL32" i="1"/>
  <c r="V32" i="1"/>
  <c r="AX32" i="1"/>
  <c r="R32" i="1"/>
  <c r="AT32" i="1"/>
  <c r="AH32" i="1"/>
  <c r="N32" i="1"/>
  <c r="BB32" i="1"/>
  <c r="AD32" i="1"/>
  <c r="BO10" i="1"/>
  <c r="DO7" i="1"/>
  <c r="BK14" i="1"/>
  <c r="BL12" i="1"/>
  <c r="AP12" i="1"/>
  <c r="AY46" i="1"/>
  <c r="AX12" i="1"/>
  <c r="AL12" i="1"/>
  <c r="Z12" i="1"/>
  <c r="N12" i="1"/>
  <c r="J12" i="1"/>
  <c r="BB12" i="1"/>
  <c r="AT12" i="1"/>
  <c r="AD12" i="1"/>
  <c r="V12" i="1"/>
  <c r="R13" i="1"/>
  <c r="AX13" i="1"/>
  <c r="AT13" i="1"/>
  <c r="AP13" i="1"/>
  <c r="Z13" i="1"/>
  <c r="J13" i="1"/>
  <c r="BB13" i="1"/>
  <c r="AL13" i="1"/>
  <c r="V13" i="1"/>
  <c r="AD13" i="1"/>
  <c r="J14" i="1"/>
  <c r="BL14" i="1"/>
  <c r="BB14" i="1"/>
  <c r="AD14" i="1"/>
  <c r="AH35" i="1"/>
  <c r="AT14" i="1"/>
  <c r="V14" i="1"/>
  <c r="AG17" i="1"/>
  <c r="AH34" i="1"/>
  <c r="AX14" i="1"/>
  <c r="R14" i="1"/>
  <c r="AP14" i="1"/>
  <c r="Z14" i="1"/>
  <c r="O49" i="1"/>
  <c r="AE49" i="1"/>
  <c r="W49" i="1"/>
  <c r="G49" i="1"/>
  <c r="AY49" i="1"/>
  <c r="S49" i="1"/>
  <c r="BI49" i="1"/>
  <c r="AH16" i="1"/>
  <c r="AH54" i="1"/>
  <c r="AI49" i="1"/>
  <c r="AD15" i="1"/>
  <c r="AD17" i="1"/>
  <c r="AP15" i="1"/>
  <c r="AP17" i="1"/>
  <c r="J15" i="1"/>
  <c r="J17" i="1"/>
  <c r="AM49" i="1"/>
  <c r="AA49" i="1"/>
  <c r="BO38" i="1"/>
  <c r="AL15" i="1"/>
  <c r="AL17" i="1"/>
  <c r="AQ49" i="1"/>
  <c r="AU49" i="1"/>
  <c r="K49" i="1"/>
  <c r="BL15" i="1"/>
  <c r="BL17" i="1"/>
  <c r="BL35" i="1"/>
  <c r="AL35" i="1"/>
  <c r="AD35" i="1"/>
  <c r="J35" i="1"/>
  <c r="AP35" i="1"/>
  <c r="AX15" i="1"/>
  <c r="AX17" i="1"/>
  <c r="R15" i="1"/>
  <c r="R17" i="1"/>
  <c r="AT15" i="1"/>
  <c r="AT17" i="1"/>
  <c r="N15" i="1"/>
  <c r="N17" i="1"/>
  <c r="Z15" i="1"/>
  <c r="Z17" i="1"/>
  <c r="BB15" i="1"/>
  <c r="BB17" i="1"/>
  <c r="V15" i="1"/>
  <c r="V17" i="1"/>
  <c r="AX35" i="1"/>
  <c r="Z35" i="1"/>
  <c r="Y17" i="1"/>
  <c r="N35" i="1"/>
  <c r="AX16" i="1"/>
  <c r="AX54" i="1"/>
  <c r="AT35" i="1"/>
  <c r="AT16" i="1"/>
  <c r="AT54" i="1"/>
  <c r="V35" i="1"/>
  <c r="U17" i="1"/>
  <c r="BB35" i="1"/>
  <c r="BB16" i="1"/>
  <c r="BB54" i="1"/>
  <c r="R35" i="1"/>
  <c r="V34" i="1"/>
  <c r="Z34" i="1"/>
  <c r="V16" i="1"/>
  <c r="V54" i="1"/>
  <c r="N16" i="1"/>
  <c r="N54" i="1"/>
  <c r="AO17" i="1"/>
  <c r="BK17" i="1"/>
  <c r="BL34" i="1"/>
  <c r="AD16" i="1"/>
  <c r="AD54" i="1"/>
  <c r="AC17" i="1"/>
  <c r="AL16" i="1"/>
  <c r="AL54" i="1"/>
  <c r="J16" i="1"/>
  <c r="J54" i="1"/>
  <c r="I17" i="1"/>
  <c r="AK17" i="1"/>
  <c r="AP16" i="1"/>
  <c r="AP54" i="1"/>
  <c r="R16" i="1"/>
  <c r="R54" i="1"/>
  <c r="BA17" i="1"/>
  <c r="Z16" i="1"/>
  <c r="Z54" i="1"/>
  <c r="AW17" i="1"/>
  <c r="M17" i="1"/>
  <c r="N34" i="1"/>
  <c r="J34" i="1"/>
  <c r="Q17" i="1"/>
  <c r="AX34" i="1"/>
  <c r="AP34" i="1"/>
  <c r="BB34" i="1"/>
  <c r="AL34" i="1"/>
  <c r="AD34" i="1"/>
  <c r="AS17" i="1"/>
  <c r="AT34" i="1"/>
  <c r="R34" i="1"/>
  <c r="BO17" i="1"/>
  <c r="BK19" i="1"/>
  <c r="BL19" i="1"/>
  <c r="BL22" i="1"/>
  <c r="BL37" i="1"/>
  <c r="BK20" i="1"/>
  <c r="BL20" i="1"/>
  <c r="S51" i="1"/>
  <c r="AI51" i="1"/>
  <c r="AT20" i="1"/>
  <c r="AD20" i="1"/>
  <c r="N20" i="1"/>
  <c r="AP20" i="1"/>
  <c r="Z20" i="1"/>
  <c r="J20" i="1"/>
  <c r="R22" i="1"/>
  <c r="CD65" i="1"/>
  <c r="CC65" i="1"/>
  <c r="CB65" i="1" s="1"/>
  <c r="AA51" i="1"/>
  <c r="BO39" i="1"/>
  <c r="BO41" i="1"/>
  <c r="G51" i="1"/>
  <c r="AU51" i="1"/>
  <c r="W51" i="1"/>
  <c r="BB20" i="1"/>
  <c r="AL20" i="1"/>
  <c r="V20" i="1"/>
  <c r="BI51" i="1"/>
  <c r="K51" i="1"/>
  <c r="AQ51" i="1"/>
  <c r="AM51" i="1"/>
  <c r="AX20" i="1"/>
  <c r="AH20" i="1"/>
  <c r="AX19" i="1"/>
  <c r="AX22" i="1"/>
  <c r="AX28" i="1"/>
  <c r="AL19" i="1"/>
  <c r="AL22" i="1"/>
  <c r="CD69" i="1"/>
  <c r="CC69" i="1"/>
  <c r="CB69" i="1"/>
  <c r="R37" i="1"/>
  <c r="AT19" i="1"/>
  <c r="AT22" i="1"/>
  <c r="CD67" i="1"/>
  <c r="CC67" i="1" s="1"/>
  <c r="CB67" i="1" s="1"/>
  <c r="AH19" i="1"/>
  <c r="AH22" i="1"/>
  <c r="CD73" i="1"/>
  <c r="CC73" i="1" s="1"/>
  <c r="CB73" i="1" s="1"/>
  <c r="V19" i="1"/>
  <c r="V22" i="1"/>
  <c r="CD70" i="1"/>
  <c r="CC70" i="1"/>
  <c r="CB70" i="1"/>
  <c r="N19" i="1"/>
  <c r="N22" i="1"/>
  <c r="CD64" i="1"/>
  <c r="CC64" i="1"/>
  <c r="CB64" i="1" s="1"/>
  <c r="AD19" i="1"/>
  <c r="AD22" i="1"/>
  <c r="CD74" i="1"/>
  <c r="CC74" i="1" s="1"/>
  <c r="CB74" i="1" s="1"/>
  <c r="J19" i="1"/>
  <c r="J22" i="1"/>
  <c r="CD75" i="1"/>
  <c r="CC75" i="1" s="1"/>
  <c r="CB75" i="1" s="1"/>
  <c r="BB19" i="1"/>
  <c r="BB22" i="1"/>
  <c r="CD72" i="1"/>
  <c r="CC72" i="1"/>
  <c r="CB72" i="1"/>
  <c r="AP19" i="1"/>
  <c r="AP22" i="1"/>
  <c r="CD68" i="1"/>
  <c r="CC68" i="1"/>
  <c r="CB68" i="1" s="1"/>
  <c r="Z19" i="1"/>
  <c r="Z22" i="1"/>
  <c r="CD66" i="1"/>
  <c r="CC66" i="1" s="1"/>
  <c r="CB66" i="1" s="1"/>
  <c r="AH28" i="1"/>
  <c r="AH41" i="1"/>
  <c r="AL37" i="1"/>
  <c r="AX37" i="1"/>
  <c r="CD71" i="1"/>
  <c r="CC71" i="1"/>
  <c r="CB71" i="1" s="1"/>
  <c r="BB37" i="1"/>
  <c r="BB21" i="1"/>
  <c r="BB55" i="1"/>
  <c r="J37" i="1"/>
  <c r="AH37" i="1"/>
  <c r="N28" i="1"/>
  <c r="CH69" i="1"/>
  <c r="N37" i="1"/>
  <c r="N21" i="1"/>
  <c r="N55" i="1"/>
  <c r="Z37" i="1"/>
  <c r="AD37" i="1"/>
  <c r="AT37" i="1"/>
  <c r="AP37" i="1"/>
  <c r="AP21" i="1"/>
  <c r="AP55" i="1"/>
  <c r="V37" i="1"/>
  <c r="Z21" i="1"/>
  <c r="Z55" i="1"/>
  <c r="AH21" i="1"/>
  <c r="AH55" i="1"/>
  <c r="V21" i="1"/>
  <c r="V55" i="1"/>
  <c r="AT21" i="1"/>
  <c r="AT55" i="1"/>
  <c r="AD21" i="1"/>
  <c r="AD55" i="1"/>
  <c r="AX21" i="1"/>
  <c r="AX55" i="1"/>
  <c r="J21" i="1"/>
  <c r="J55" i="1"/>
  <c r="AL21" i="1"/>
  <c r="AL55" i="1"/>
  <c r="R21" i="1"/>
  <c r="R55" i="1"/>
  <c r="BA22" i="1"/>
  <c r="AC22" i="1"/>
  <c r="AO22" i="1"/>
  <c r="Y22" i="1"/>
  <c r="Z36" i="1"/>
  <c r="AG22" i="1"/>
  <c r="N41" i="1"/>
  <c r="AS22" i="1"/>
  <c r="U22" i="1"/>
  <c r="I22" i="1"/>
  <c r="M22" i="1"/>
  <c r="AW22" i="1"/>
  <c r="BK22" i="1"/>
  <c r="BL36" i="1"/>
  <c r="Q22" i="1"/>
  <c r="AK22" i="1"/>
  <c r="DE82" i="1"/>
  <c r="CN66" i="1"/>
  <c r="DE88" i="1"/>
  <c r="DF88" i="1"/>
  <c r="CV88" i="1"/>
  <c r="CN73" i="1"/>
  <c r="CO73" i="1"/>
  <c r="CN64" i="1"/>
  <c r="DE84" i="1"/>
  <c r="DE90" i="1"/>
  <c r="DF90" i="1"/>
  <c r="CV90" i="1"/>
  <c r="CN68" i="1"/>
  <c r="CO68" i="1"/>
  <c r="DE91" i="1"/>
  <c r="DF91" i="1"/>
  <c r="CV91" i="1"/>
  <c r="CN70" i="1"/>
  <c r="CO70" i="1"/>
  <c r="CN74" i="1"/>
  <c r="CO74" i="1"/>
  <c r="CL74" i="1"/>
  <c r="DE83" i="1"/>
  <c r="DF83" i="1"/>
  <c r="CV83" i="1"/>
  <c r="CN65" i="1"/>
  <c r="DE89" i="1"/>
  <c r="AP36" i="1"/>
  <c r="DE86" i="1"/>
  <c r="DF86" i="1"/>
  <c r="CV86" i="1"/>
  <c r="CN71" i="1"/>
  <c r="CO71" i="1"/>
  <c r="CN75" i="1"/>
  <c r="CO75" i="1"/>
  <c r="DE92" i="1"/>
  <c r="DF92" i="1"/>
  <c r="CV92" i="1"/>
  <c r="CN72" i="1"/>
  <c r="CO72" i="1"/>
  <c r="DE87" i="1"/>
  <c r="DF87" i="1"/>
  <c r="CV87" i="1"/>
  <c r="DE81" i="1"/>
  <c r="DF81" i="1"/>
  <c r="CV81" i="1"/>
  <c r="CN67" i="1"/>
  <c r="CO67" i="1"/>
  <c r="CN69" i="1"/>
  <c r="CO69" i="1"/>
  <c r="DE85" i="1"/>
  <c r="DF85" i="1"/>
  <c r="CV85" i="1"/>
  <c r="AD36" i="1"/>
  <c r="BB36" i="1"/>
  <c r="AH36" i="1"/>
  <c r="V36" i="1"/>
  <c r="N36" i="1"/>
  <c r="AT36" i="1"/>
  <c r="AX36" i="1"/>
  <c r="J36" i="1"/>
  <c r="AL36" i="1"/>
  <c r="R36" i="1"/>
  <c r="BO22" i="1"/>
  <c r="R28" i="1"/>
  <c r="DO8" i="1"/>
  <c r="AG29" i="1"/>
  <c r="AP28" i="1"/>
  <c r="AP41" i="1"/>
  <c r="AT28" i="1"/>
  <c r="CH65" i="1"/>
  <c r="J28" i="1"/>
  <c r="BB28" i="1"/>
  <c r="BB41" i="1"/>
  <c r="AH29" i="1"/>
  <c r="BP32" i="1"/>
  <c r="D3" i="1"/>
  <c r="AO29" i="1"/>
  <c r="CH68" i="1"/>
  <c r="AP29" i="1"/>
  <c r="Z25" i="1"/>
  <c r="Z56" i="1"/>
  <c r="Z39" i="1"/>
  <c r="Z28" i="1"/>
  <c r="Y29" i="1"/>
  <c r="AH25" i="1"/>
  <c r="AH56" i="1"/>
  <c r="AG28" i="1"/>
  <c r="CP71" i="1"/>
  <c r="CQ71" i="1"/>
  <c r="CH75" i="1"/>
  <c r="AW29" i="1"/>
  <c r="AX29" i="1"/>
  <c r="CH72" i="1"/>
  <c r="AX41" i="1"/>
  <c r="AL39" i="1"/>
  <c r="AL25" i="1"/>
  <c r="AL56" i="1"/>
  <c r="AL28" i="1"/>
  <c r="CG68" i="1"/>
  <c r="CH66" i="1"/>
  <c r="Z29" i="1"/>
  <c r="Z41" i="1"/>
  <c r="CG75" i="1"/>
  <c r="CF75" i="1"/>
  <c r="CG72" i="1"/>
  <c r="AL41" i="1"/>
  <c r="CH67" i="1"/>
  <c r="AK29" i="1"/>
  <c r="AL29" i="1"/>
  <c r="CG66" i="1"/>
  <c r="CG67" i="1"/>
  <c r="N29" i="1"/>
  <c r="M29" i="1"/>
  <c r="CG69" i="1"/>
  <c r="N25" i="1"/>
  <c r="N56" i="1"/>
  <c r="N39" i="1"/>
  <c r="V39" i="1"/>
  <c r="V28" i="1"/>
  <c r="CH70" i="1"/>
  <c r="V25" i="1"/>
  <c r="V56" i="1"/>
  <c r="U29" i="1"/>
  <c r="V41" i="1"/>
  <c r="CG70" i="1"/>
  <c r="V29" i="1"/>
  <c r="AD25" i="1"/>
  <c r="AD56" i="1"/>
  <c r="AD28" i="1"/>
  <c r="AD39" i="1"/>
  <c r="AD41" i="1"/>
  <c r="CH74" i="1"/>
  <c r="AC29" i="1"/>
  <c r="AD29" i="1"/>
  <c r="CG74" i="1"/>
  <c r="I29" i="1"/>
  <c r="J41" i="1"/>
  <c r="J29" i="1"/>
  <c r="CH73" i="1"/>
  <c r="J25" i="1"/>
  <c r="J56" i="1"/>
  <c r="J39" i="1"/>
  <c r="CG73" i="1"/>
  <c r="BB25" i="1"/>
  <c r="BB56" i="1"/>
  <c r="BA29" i="1"/>
  <c r="BB29" i="1"/>
  <c r="CH71" i="1"/>
  <c r="CG71" i="1"/>
  <c r="R29" i="1"/>
  <c r="R25" i="1"/>
  <c r="R56" i="1"/>
  <c r="DI86" i="1"/>
  <c r="DJ86" i="1"/>
  <c r="Q29" i="1"/>
  <c r="Q28" i="1"/>
  <c r="R40" i="1"/>
  <c r="CH64" i="1"/>
  <c r="CF73" i="1"/>
  <c r="R41" i="1"/>
  <c r="R39" i="1"/>
  <c r="DG86" i="1"/>
  <c r="DH86" i="1"/>
  <c r="CR71" i="1"/>
  <c r="CS71" i="1"/>
  <c r="DI84" i="1"/>
  <c r="DJ84" i="1"/>
  <c r="DG84" i="1"/>
  <c r="AH40" i="1"/>
  <c r="AT25" i="1"/>
  <c r="AT56" i="1"/>
  <c r="CF65" i="1"/>
  <c r="AS29" i="1"/>
  <c r="AT29" i="1"/>
  <c r="AT41" i="1"/>
  <c r="BK24" i="1"/>
  <c r="CF66" i="1"/>
  <c r="CG65" i="1"/>
  <c r="AS28" i="1"/>
  <c r="AT40" i="1"/>
  <c r="CF71" i="1"/>
  <c r="CF69" i="1"/>
  <c r="CF67" i="1"/>
  <c r="CF70" i="1"/>
  <c r="CF74" i="1"/>
  <c r="CF72" i="1"/>
  <c r="CF68" i="1"/>
  <c r="CR64" i="1"/>
  <c r="CS64" i="1"/>
  <c r="CP64" i="1"/>
  <c r="CF64" i="1"/>
  <c r="CG64" i="1"/>
  <c r="Y28" i="1"/>
  <c r="AW28" i="1"/>
  <c r="BA28" i="1"/>
  <c r="I28" i="1"/>
  <c r="U28" i="1"/>
  <c r="M28" i="1"/>
  <c r="AK28" i="1"/>
  <c r="AC28" i="1"/>
  <c r="AO28" i="1"/>
  <c r="DG89" i="1"/>
  <c r="CP65" i="1"/>
  <c r="DI89" i="1"/>
  <c r="BL24" i="1"/>
  <c r="BL26" i="1"/>
  <c r="CR65" i="1"/>
  <c r="BL39" i="1"/>
  <c r="BK26" i="1"/>
  <c r="BL38" i="1"/>
  <c r="BL28" i="1"/>
  <c r="DI88" i="1"/>
  <c r="DG88" i="1"/>
  <c r="DH88" i="1"/>
  <c r="CR73" i="1"/>
  <c r="AP40" i="1"/>
  <c r="CP73" i="1"/>
  <c r="CQ73" i="1"/>
  <c r="CP68" i="1"/>
  <c r="CQ68" i="1"/>
  <c r="DI90" i="1"/>
  <c r="DJ90" i="1"/>
  <c r="DG90" i="1"/>
  <c r="DH90" i="1"/>
  <c r="V40" i="1"/>
  <c r="CR68" i="1"/>
  <c r="CS68" i="1"/>
  <c r="CR69" i="1"/>
  <c r="CP69" i="1"/>
  <c r="Z40" i="1"/>
  <c r="DG85" i="1"/>
  <c r="DI85" i="1"/>
  <c r="CR70" i="1"/>
  <c r="CS70" i="1"/>
  <c r="CP70" i="1"/>
  <c r="CQ70" i="1"/>
  <c r="AD40" i="1"/>
  <c r="DI91" i="1"/>
  <c r="DJ91" i="1"/>
  <c r="DG91" i="1"/>
  <c r="DH91" i="1"/>
  <c r="DG81" i="1"/>
  <c r="DH81" i="1"/>
  <c r="J40" i="1"/>
  <c r="CR67" i="1"/>
  <c r="CS67" i="1"/>
  <c r="CP67" i="1"/>
  <c r="CQ67" i="1"/>
  <c r="DI81" i="1"/>
  <c r="DJ81" i="1"/>
  <c r="CP72" i="1"/>
  <c r="CQ72" i="1"/>
  <c r="DG87" i="1"/>
  <c r="DH87" i="1"/>
  <c r="AL40" i="1"/>
  <c r="CR72" i="1"/>
  <c r="DI87" i="1"/>
  <c r="CR75" i="1"/>
  <c r="CS75" i="1"/>
  <c r="CP75" i="1"/>
  <c r="CQ75" i="1"/>
  <c r="DI92" i="1"/>
  <c r="DJ92" i="1"/>
  <c r="DG92" i="1"/>
  <c r="DH92" i="1"/>
  <c r="BB40" i="1"/>
  <c r="N40" i="1"/>
  <c r="CR66" i="1"/>
  <c r="CS66" i="1"/>
  <c r="CP66" i="1"/>
  <c r="CQ66" i="1"/>
  <c r="DI82" i="1"/>
  <c r="DJ82" i="1"/>
  <c r="DG82" i="1"/>
  <c r="DH82" i="1"/>
  <c r="DG83" i="1"/>
  <c r="DH83" i="1"/>
  <c r="DI83" i="1"/>
  <c r="DJ83" i="1"/>
  <c r="AX40" i="1"/>
  <c r="CP74" i="1"/>
  <c r="CQ74" i="1"/>
  <c r="CR74" i="1"/>
  <c r="CS74" i="1"/>
  <c r="BK29" i="1"/>
  <c r="BL29" i="1"/>
  <c r="BL41" i="1"/>
  <c r="BK28" i="1"/>
  <c r="BL40" i="1"/>
  <c r="BO28" i="1"/>
  <c r="BP28" i="1"/>
  <c r="DH84" i="1"/>
  <c r="CQ64" i="1"/>
  <c r="CS73" i="1"/>
  <c r="DJ89" i="1"/>
  <c r="CS65" i="1"/>
  <c r="CQ65" i="1"/>
  <c r="DH89" i="1"/>
  <c r="DJ85" i="1"/>
  <c r="CS69" i="1"/>
  <c r="DJ88" i="1"/>
  <c r="DH85" i="1"/>
  <c r="DJ87" i="1"/>
  <c r="CQ69" i="1"/>
  <c r="CS72" i="1"/>
  <c r="CL75" i="1"/>
  <c r="CL69" i="1"/>
  <c r="CL71" i="1"/>
  <c r="CL70" i="1"/>
  <c r="CL67" i="1"/>
  <c r="CL72" i="1"/>
  <c r="CL68" i="1"/>
  <c r="CL73" i="1"/>
  <c r="I26" i="1"/>
  <c r="M26" i="1"/>
  <c r="AG26" i="1"/>
  <c r="AW26" i="1"/>
  <c r="AC26" i="1"/>
  <c r="U26" i="1"/>
  <c r="Y26" i="1"/>
  <c r="Q26" i="1"/>
  <c r="AK26" i="1"/>
  <c r="AS26" i="1"/>
  <c r="BA26" i="1"/>
  <c r="AO26" i="1"/>
  <c r="BB38" i="1"/>
  <c r="BB2" i="1"/>
  <c r="AH38" i="1"/>
  <c r="AH2" i="1"/>
  <c r="AP2" i="1"/>
  <c r="AP38" i="1"/>
  <c r="AX2" i="1"/>
  <c r="AX38" i="1"/>
  <c r="AT38" i="1"/>
  <c r="DF89" i="1"/>
  <c r="CV89" i="1"/>
  <c r="CO65" i="1"/>
  <c r="CL65" i="1"/>
  <c r="AT2" i="1"/>
  <c r="V38" i="1"/>
  <c r="V2" i="1"/>
  <c r="CO66" i="1"/>
  <c r="CL66" i="1"/>
  <c r="DF82" i="1"/>
  <c r="CV82" i="1"/>
  <c r="N38" i="1"/>
  <c r="N2" i="1"/>
  <c r="CO64" i="1"/>
  <c r="CL64" i="1"/>
  <c r="R2" i="1"/>
  <c r="R38" i="1"/>
  <c r="DF84" i="1"/>
  <c r="CV84" i="1"/>
  <c r="Z2" i="1"/>
  <c r="Z38" i="1"/>
  <c r="AL2" i="1"/>
  <c r="AL38" i="1"/>
  <c r="AD38" i="1"/>
  <c r="AD2" i="1"/>
  <c r="J38" i="1"/>
  <c r="J2" i="1"/>
  <c r="CJ64" i="1"/>
  <c r="CJ72" i="1"/>
  <c r="CJ68" i="1"/>
  <c r="CJ75" i="1"/>
  <c r="CJ74" i="1"/>
  <c r="CJ67" i="1"/>
  <c r="CJ73" i="1"/>
  <c r="CJ71" i="1"/>
  <c r="CJ70" i="1"/>
  <c r="CJ69" i="1"/>
  <c r="CJ66" i="1"/>
  <c r="CJ65" i="1"/>
  <c r="BO26" i="1"/>
</calcChain>
</file>

<file path=xl/sharedStrings.xml><?xml version="1.0" encoding="utf-8"?>
<sst xmlns="http://schemas.openxmlformats.org/spreadsheetml/2006/main" count="717" uniqueCount="160">
  <si>
    <t>by</t>
  </si>
  <si>
    <t>Score</t>
  </si>
  <si>
    <t>Rank =</t>
  </si>
  <si>
    <t>at</t>
  </si>
  <si>
    <t>Prediction</t>
  </si>
  <si>
    <t>Rank</t>
  </si>
  <si>
    <t>Player</t>
  </si>
  <si>
    <t>Amount</t>
  </si>
  <si>
    <t>Total</t>
  </si>
  <si>
    <t>V</t>
  </si>
  <si>
    <t>H</t>
  </si>
  <si>
    <t>Actual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</si>
  <si>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</si>
  <si>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</si>
  <si>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</si>
  <si>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</si>
  <si>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</si>
  <si>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</si>
  <si>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</si>
  <si>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</si>
  <si>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</si>
  <si>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</si>
  <si>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</si>
  <si>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</si>
  <si>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</si>
  <si>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Margin of Victory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</si>
  <si>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</si>
  <si>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</si>
  <si>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</si>
  <si>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</si>
  <si>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</si>
  <si>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</si>
  <si>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</si>
  <si>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</si>
  <si>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</si>
  <si>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</si>
  <si>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</si>
  <si>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</si>
  <si>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</si>
  <si>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</si>
  <si>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</si>
  <si>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</si>
  <si>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</si>
  <si>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</si>
  <si>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</si>
  <si>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</si>
  <si>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</si>
  <si>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</si>
  <si>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</si>
  <si>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</si>
  <si>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</si>
  <si>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</si>
  <si>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</si>
  <si>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</si>
  <si>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</si>
  <si>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</si>
  <si>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</si>
  <si>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</si>
  <si>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</si>
  <si>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</si>
  <si>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</si>
  <si>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</si>
  <si>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 xml:space="preserve">Week 1 Combined Score:  </t>
  </si>
  <si>
    <t xml:space="preserve">Week 2 Combined Score:  </t>
  </si>
  <si>
    <t xml:space="preserve">Week 3 Combined Score:  </t>
  </si>
  <si>
    <t xml:space="preserve">Week 4 Combined Score:  </t>
  </si>
  <si>
    <t xml:space="preserve">Overall Combined Score:  </t>
  </si>
  <si>
    <t>COMPUTER</t>
  </si>
  <si>
    <t xml:space="preserve">Number of winners picked:  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</si>
  <si>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</si>
  <si>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</si>
  <si>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</si>
  <si>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</si>
  <si>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</si>
  <si>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</si>
  <si>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</si>
  <si>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</si>
  <si>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</si>
  <si>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</si>
  <si>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</si>
  <si>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</si>
  <si>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</si>
  <si>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</si>
  <si>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</si>
  <si>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</si>
  <si>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</si>
  <si>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</si>
  <si>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</si>
  <si>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</si>
  <si>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</si>
  <si>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</si>
  <si>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</si>
  <si>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</si>
  <si>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</si>
  <si>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</si>
  <si>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</si>
  <si>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</si>
  <si>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</si>
  <si>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</si>
  <si>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</si>
  <si>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</si>
  <si>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</si>
  <si>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</si>
  <si>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</si>
  <si>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</si>
  <si>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Week 1 Points Predection Score:  </t>
  </si>
  <si>
    <t xml:space="preserve">Week 2 Points Predection Score:  </t>
  </si>
  <si>
    <t xml:space="preserve">Week 3 Points Predection Score:  </t>
  </si>
  <si>
    <t xml:space="preserve">Week 4 Points Predection Score:  </t>
  </si>
  <si>
    <t xml:space="preserve">Participating Players:  </t>
  </si>
  <si>
    <t xml:space="preserve">Current Week Cell Offset:  </t>
  </si>
  <si>
    <t xml:space="preserve">  Week 1 - Wild Card Weekend</t>
  </si>
  <si>
    <t xml:space="preserve">  Week 3 - Conference Championships</t>
  </si>
  <si>
    <t xml:space="preserve">  Week 2 - Divisional Playoffs</t>
  </si>
  <si>
    <t xml:space="preserve">  Week 4 - Super Bowl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</si>
  <si>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</si>
  <si>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</si>
  <si>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</si>
  <si>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</si>
  <si>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</si>
  <si>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</si>
  <si>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</si>
  <si>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</si>
  <si>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</si>
  <si>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</si>
  <si>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</si>
  <si>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</si>
  <si>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NFL POST SEASON</t>
  </si>
  <si>
    <t>Breakdown</t>
  </si>
  <si>
    <t>Winnings</t>
  </si>
  <si>
    <t>Regular Season Breakdown</t>
  </si>
  <si>
    <t>Post Season Breakdown</t>
  </si>
  <si>
    <t>Post Season Winnings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</si>
  <si>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</si>
  <si>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</si>
  <si>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</si>
  <si>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</si>
  <si>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</si>
  <si>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</si>
  <si>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</si>
  <si>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</si>
  <si>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</si>
  <si>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</si>
  <si>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</si>
  <si>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</si>
  <si>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2015 Football Pool</t>
  </si>
  <si>
    <t>Chiefs</t>
  </si>
  <si>
    <t>Steelers</t>
  </si>
  <si>
    <t>Seahawks</t>
  </si>
  <si>
    <t>Packers</t>
  </si>
  <si>
    <t>Texans</t>
  </si>
  <si>
    <t>Bengals</t>
  </si>
  <si>
    <t>Vikings</t>
  </si>
  <si>
    <t>Redskins</t>
  </si>
  <si>
    <t>✓</t>
  </si>
  <si>
    <t/>
  </si>
  <si>
    <t>Patriots</t>
  </si>
  <si>
    <t>Cardinals</t>
  </si>
  <si>
    <t>Panthers</t>
  </si>
  <si>
    <t>Broncos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</si>
</sst>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5" formatCode="&quot;$&quot;#,##0;[Red]\-&quot;$&quot;#,##0"/>
    <numFmt numFmtId="166" formatCode="0_);[Red]\(0\)"/>
    <numFmt numFmtId="167" formatCode="0.0"/>
    <numFmt numFmtId="169" formatCode="#,##0;[Red]#,##0"/>
  </numFmts>
  <fonts count="41" x14ac:knownFonts="1">
    <font>
      <sz val="10"/>
      <name val="Arial"/>
    </font>
    <font>
      <sz val="10"/>
      <name val="Arial"/>
    </font>
    <font>
      <sz val="7"/>
      <name val="Arial"/>
      <family val="2"/>
    </font>
    <font>
      <b/>
      <sz val="10"/>
      <name val="Arial"/>
      <family val="2"/>
    </font>
    <font>
      <sz val="7"/>
      <color indexed="18"/>
      <name val="Arial"/>
      <family val="2"/>
    </font>
    <font>
      <b/>
      <sz val="10"/>
      <color indexed="18"/>
      <name val="Arial"/>
      <family val="2"/>
    </font>
    <font>
      <b/>
      <sz val="11"/>
      <name val="Times New Roman"/>
      <family val="1"/>
    </font>
    <font>
      <b/>
      <sz val="9"/>
      <name val="Times New Roman"/>
      <family val="1"/>
    </font>
    <font>
      <b/>
      <sz val="9"/>
      <color indexed="18"/>
      <name val="Arial"/>
      <family val="2"/>
    </font>
    <font>
      <b/>
      <sz val="12"/>
      <color indexed="18"/>
      <name val="Arial"/>
      <family val="2"/>
    </font>
    <font>
      <sz val="8"/>
      <name val="Arial"/>
      <family val="2"/>
    </font>
    <font>
      <b/>
      <sz val="8"/>
      <color indexed="18"/>
      <name val="Arial"/>
      <family val="2"/>
    </font>
    <font>
      <sz val="8"/>
      <color indexed="18"/>
      <name val="Arial"/>
      <family val="2"/>
    </font>
    <font>
      <sz val="8"/>
      <color indexed="61"/>
      <name val="Arial"/>
      <family val="2"/>
    </font>
    <font>
      <sz val="8"/>
      <color indexed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u/>
      <sz val="10"/>
      <color indexed="18"/>
      <name val="Arial"/>
      <family val="2"/>
    </font>
    <font>
      <sz val="9"/>
      <name val="Arial"/>
      <family val="2"/>
    </font>
    <font>
      <b/>
      <sz val="9"/>
      <color indexed="12"/>
      <name val="Arial"/>
      <family val="2"/>
    </font>
    <font>
      <sz val="10"/>
      <name val="Arial Narrow"/>
      <family val="2"/>
    </font>
    <font>
      <b/>
      <sz val="14"/>
      <color indexed="10"/>
      <name val="Arial Narrow"/>
      <family val="2"/>
    </font>
    <font>
      <b/>
      <sz val="28"/>
      <color indexed="18"/>
      <name val="Comic Sans MS"/>
      <family val="4"/>
    </font>
    <font>
      <b/>
      <sz val="8"/>
      <name val="Arial"/>
      <family val="2"/>
    </font>
    <font>
      <sz val="10"/>
      <color indexed="18"/>
      <name val="Arial"/>
      <family val="2"/>
    </font>
    <font>
      <sz val="10"/>
      <color indexed="18"/>
      <name val="Arial Narrow"/>
      <family val="2"/>
    </font>
    <font>
      <b/>
      <sz val="10"/>
      <color indexed="17"/>
      <name val="Arial"/>
      <family val="2"/>
    </font>
    <font>
      <sz val="9"/>
      <color indexed="18"/>
      <name val="Arial"/>
      <family val="2"/>
    </font>
    <font>
      <sz val="10"/>
      <color indexed="61"/>
      <name val="Arial"/>
      <family val="2"/>
    </font>
    <font>
      <sz val="7"/>
      <color indexed="61"/>
      <name val="Arial"/>
      <family val="2"/>
    </font>
    <font>
      <b/>
      <sz val="13"/>
      <color indexed="16"/>
      <name val="Times New Roman"/>
      <family val="1"/>
    </font>
    <font>
      <sz val="7"/>
      <color indexed="12"/>
      <name val="Arial"/>
      <family val="2"/>
    </font>
    <font>
      <sz val="7"/>
      <color indexed="18"/>
      <name val="Arial Narrow"/>
      <family val="2"/>
    </font>
    <font>
      <b/>
      <sz val="13"/>
      <name val="Times New Roman"/>
      <family val="1"/>
    </font>
    <font>
      <b/>
      <sz val="7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80"/>
      <name val="Arial"/>
      <family val="2"/>
    </font>
    <font>
      <b/>
      <sz val="11"/>
      <color rgb="FF008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32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 tint="-0.34998626667073579"/>
      </bottom>
      <diagonal/>
    </border>
    <border>
      <left style="thin">
        <color theme="1"/>
      </left>
      <right style="thick">
        <color indexed="64"/>
      </right>
      <top style="thin">
        <color theme="1"/>
      </top>
      <bottom style="thin">
        <color theme="0" tint="-0.34998626667073579"/>
      </bottom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/>
      </left>
      <right style="thick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ck">
        <color indexed="64"/>
      </bottom>
      <diagonal/>
    </border>
    <border>
      <left style="thin">
        <color theme="1"/>
      </left>
      <right style="thick">
        <color indexed="64"/>
      </right>
      <top style="thin">
        <color theme="0" tint="-0.34998626667073579"/>
      </top>
      <bottom style="thick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 tint="-0.34998626667073579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indexed="64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0" tint="-0.34998626667073579"/>
      </right>
      <top/>
      <bottom style="thin">
        <color theme="1"/>
      </bottom>
      <diagonal/>
    </border>
    <border>
      <left style="thick">
        <color indexed="64"/>
      </left>
      <right/>
      <top style="thin">
        <color theme="1"/>
      </top>
      <bottom style="thin">
        <color theme="0" tint="-0.34998626667073579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0" tint="-0.34998626667073579"/>
      </bottom>
      <diagonal/>
    </border>
    <border>
      <left style="thick">
        <color indexed="64"/>
      </left>
      <right style="thin">
        <color theme="1"/>
      </right>
      <top/>
      <bottom style="thin">
        <color theme="0" tint="-0.34998626667073579"/>
      </bottom>
      <diagonal/>
    </border>
    <border>
      <left style="thin">
        <color theme="1"/>
      </left>
      <right style="thick">
        <color indexed="64"/>
      </right>
      <top/>
      <bottom style="thin">
        <color theme="0" tint="-0.34998626667073579"/>
      </bottom>
      <diagonal/>
    </border>
    <border>
      <left style="thick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1"/>
      </top>
      <bottom style="thin">
        <color theme="0" tint="-0.34998626667073579"/>
      </bottom>
      <diagonal/>
    </border>
    <border>
      <left/>
      <right/>
      <top style="thin">
        <color theme="1"/>
      </top>
      <bottom style="thin">
        <color theme="0" tint="-0.34998626667073579"/>
      </bottom>
      <diagonal/>
    </border>
    <border>
      <left/>
      <right style="thick">
        <color indexed="64"/>
      </right>
      <top style="thin">
        <color theme="1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theme="1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ck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 style="thin">
        <color theme="0" tint="-0.34998626667073579"/>
      </right>
      <top style="thin">
        <color theme="0" tint="-0.34998626667073579"/>
      </top>
      <bottom style="thick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ck">
        <color indexed="64"/>
      </bottom>
      <diagonal/>
    </border>
    <border>
      <left/>
      <right/>
      <top style="thin">
        <color theme="0" tint="-0.34998626667073579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34998626667073579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ck">
        <color indexed="64"/>
      </top>
      <bottom style="thin">
        <color theme="1"/>
      </bottom>
      <diagonal/>
    </border>
    <border>
      <left/>
      <right style="thin">
        <color theme="0" tint="-0.34998626667073579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4">
    <xf numFmtId="0" fontId="0" fillId="0" borderId="0" xfId="0"/>
    <xf numFmtId="0" fontId="3" fillId="0" borderId="0" xfId="0" applyNumberFormat="1" applyFont="1" applyAlignment="1" applyProtection="1">
      <alignment vertical="center"/>
    </xf>
    <xf numFmtId="0" fontId="2" fillId="0" borderId="0" xfId="0" applyNumberFormat="1" applyFont="1" applyAlignment="1" applyProtection="1">
      <alignment horizontal="center" vertical="center"/>
    </xf>
    <xf numFmtId="0" fontId="2" fillId="0" borderId="0" xfId="1" applyNumberFormat="1" applyFont="1" applyAlignment="1" applyProtection="1">
      <alignment vertical="center"/>
    </xf>
    <xf numFmtId="0" fontId="2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horizontal="center" vertical="center"/>
    </xf>
    <xf numFmtId="0" fontId="15" fillId="2" borderId="1" xfId="0" applyNumberFormat="1" applyFont="1" applyFill="1" applyBorder="1" applyAlignment="1" applyProtection="1">
      <alignment vertical="center"/>
    </xf>
    <xf numFmtId="0" fontId="9" fillId="2" borderId="1" xfId="0" applyNumberFormat="1" applyFont="1" applyFill="1" applyBorder="1" applyAlignment="1" applyProtection="1">
      <alignment horizontal="center" vertical="center"/>
    </xf>
    <xf numFmtId="0" fontId="9" fillId="2" borderId="2" xfId="0" applyNumberFormat="1" applyFont="1" applyFill="1" applyBorder="1" applyAlignment="1" applyProtection="1">
      <alignment horizontal="center" vertical="center"/>
    </xf>
    <xf numFmtId="0" fontId="5" fillId="2" borderId="3" xfId="0" applyNumberFormat="1" applyFont="1" applyFill="1" applyBorder="1" applyAlignment="1" applyProtection="1">
      <alignment horizontal="center" vertical="center"/>
    </xf>
    <xf numFmtId="0" fontId="5" fillId="2" borderId="1" xfId="0" applyNumberFormat="1" applyFont="1" applyFill="1" applyBorder="1" applyAlignment="1" applyProtection="1">
      <alignment horizontal="center" vertical="center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3" fillId="3" borderId="5" xfId="0" applyNumberFormat="1" applyFont="1" applyFill="1" applyBorder="1" applyAlignment="1" applyProtection="1">
      <alignment horizontal="center" vertical="center"/>
    </xf>
    <xf numFmtId="0" fontId="12" fillId="3" borderId="6" xfId="0" applyNumberFormat="1" applyFont="1" applyFill="1" applyBorder="1" applyAlignment="1" applyProtection="1">
      <alignment horizontal="center" vertical="center"/>
    </xf>
    <xf numFmtId="0" fontId="14" fillId="3" borderId="7" xfId="0" applyNumberFormat="1" applyFont="1" applyFill="1" applyBorder="1" applyAlignment="1" applyProtection="1">
      <alignment horizontal="center" vertical="center"/>
    </xf>
    <xf numFmtId="0" fontId="14" fillId="3" borderId="8" xfId="0" applyNumberFormat="1" applyFont="1" applyFill="1" applyBorder="1" applyAlignment="1" applyProtection="1">
      <alignment horizontal="center" vertical="center"/>
    </xf>
    <xf numFmtId="0" fontId="16" fillId="0" borderId="5" xfId="1" applyNumberFormat="1" applyFont="1" applyBorder="1" applyAlignment="1" applyProtection="1">
      <alignment vertical="center"/>
    </xf>
    <xf numFmtId="0" fontId="17" fillId="0" borderId="5" xfId="1" applyNumberFormat="1" applyFont="1" applyFill="1" applyBorder="1" applyAlignment="1" applyProtection="1">
      <alignment horizontal="left" vertical="center"/>
    </xf>
    <xf numFmtId="0" fontId="16" fillId="0" borderId="5" xfId="1" applyNumberFormat="1" applyFont="1" applyBorder="1" applyAlignment="1" applyProtection="1">
      <alignment horizontal="center" vertical="center"/>
    </xf>
    <xf numFmtId="0" fontId="16" fillId="0" borderId="8" xfId="1" applyNumberFormat="1" applyFont="1" applyBorder="1" applyAlignment="1" applyProtection="1">
      <alignment horizontal="center" vertical="center"/>
    </xf>
    <xf numFmtId="0" fontId="14" fillId="0" borderId="9" xfId="1" applyNumberFormat="1" applyFont="1" applyBorder="1" applyAlignment="1" applyProtection="1">
      <alignment horizontal="center" vertical="center"/>
    </xf>
    <xf numFmtId="0" fontId="14" fillId="0" borderId="10" xfId="1" applyNumberFormat="1" applyFont="1" applyBorder="1" applyAlignment="1" applyProtection="1">
      <alignment horizontal="center" vertical="center"/>
    </xf>
    <xf numFmtId="0" fontId="14" fillId="0" borderId="11" xfId="1" applyNumberFormat="1" applyFont="1" applyBorder="1" applyAlignment="1" applyProtection="1">
      <alignment horizontal="center" vertical="center"/>
    </xf>
    <xf numFmtId="0" fontId="18" fillId="0" borderId="12" xfId="1" applyNumberFormat="1" applyFont="1" applyBorder="1" applyAlignment="1" applyProtection="1">
      <alignment horizontal="center" vertical="center"/>
    </xf>
    <xf numFmtId="0" fontId="18" fillId="0" borderId="13" xfId="1" applyNumberFormat="1" applyFont="1" applyBorder="1" applyAlignment="1" applyProtection="1">
      <alignment horizontal="center" vertical="center"/>
    </xf>
    <xf numFmtId="0" fontId="8" fillId="0" borderId="13" xfId="1" applyNumberFormat="1" applyFont="1" applyFill="1" applyBorder="1" applyAlignment="1" applyProtection="1">
      <alignment horizontal="center" vertical="center"/>
    </xf>
    <xf numFmtId="0" fontId="12" fillId="0" borderId="14" xfId="1" applyNumberFormat="1" applyFont="1" applyBorder="1" applyAlignment="1" applyProtection="1">
      <alignment horizontal="left" vertical="center"/>
    </xf>
    <xf numFmtId="0" fontId="12" fillId="0" borderId="13" xfId="1" applyNumberFormat="1" applyFont="1" applyBorder="1" applyAlignment="1" applyProtection="1">
      <alignment horizontal="right" vertical="center"/>
    </xf>
    <xf numFmtId="0" fontId="20" fillId="0" borderId="0" xfId="0" applyNumberFormat="1" applyFont="1" applyAlignment="1" applyProtection="1">
      <alignment horizontal="center" vertical="center"/>
    </xf>
    <xf numFmtId="0" fontId="15" fillId="2" borderId="15" xfId="0" applyNumberFormat="1" applyFont="1" applyFill="1" applyBorder="1" applyAlignment="1" applyProtection="1">
      <alignment vertical="center"/>
    </xf>
    <xf numFmtId="0" fontId="11" fillId="2" borderId="12" xfId="0" applyNumberFormat="1" applyFont="1" applyFill="1" applyBorder="1" applyAlignment="1" applyProtection="1">
      <alignment horizontal="center" vertical="center"/>
    </xf>
    <xf numFmtId="0" fontId="11" fillId="2" borderId="13" xfId="0" applyNumberFormat="1" applyFont="1" applyFill="1" applyBorder="1" applyAlignment="1" applyProtection="1">
      <alignment horizontal="right" vertical="center"/>
    </xf>
    <xf numFmtId="0" fontId="11" fillId="2" borderId="13" xfId="0" applyNumberFormat="1" applyFont="1" applyFill="1" applyBorder="1" applyAlignment="1" applyProtection="1">
      <alignment horizontal="left" vertical="center"/>
    </xf>
    <xf numFmtId="0" fontId="11" fillId="2" borderId="16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center" vertical="center"/>
    </xf>
    <xf numFmtId="0" fontId="12" fillId="0" borderId="0" xfId="0" applyNumberFormat="1" applyFont="1" applyBorder="1" applyAlignment="1" applyProtection="1">
      <alignment horizontal="center" vertical="center"/>
    </xf>
    <xf numFmtId="0" fontId="23" fillId="0" borderId="0" xfId="0" applyNumberFormat="1" applyFont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horizontal="center" vertical="center"/>
    </xf>
    <xf numFmtId="0" fontId="24" fillId="0" borderId="17" xfId="1" applyNumberFormat="1" applyFont="1" applyBorder="1" applyAlignment="1" applyProtection="1">
      <alignment horizontal="center" vertical="center"/>
    </xf>
    <xf numFmtId="0" fontId="24" fillId="0" borderId="0" xfId="1" applyNumberFormat="1" applyFont="1" applyBorder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1" applyNumberFormat="1" applyFont="1" applyAlignment="1" applyProtection="1">
      <alignment vertical="center"/>
    </xf>
    <xf numFmtId="0" fontId="16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6" fillId="0" borderId="0" xfId="0" applyNumberFormat="1" applyFont="1" applyAlignment="1" applyProtection="1">
      <alignment horizontal="left" vertical="center"/>
    </xf>
    <xf numFmtId="0" fontId="19" fillId="0" borderId="18" xfId="1" applyNumberFormat="1" applyFont="1" applyBorder="1" applyAlignment="1" applyProtection="1">
      <alignment horizontal="center" vertical="center"/>
    </xf>
    <xf numFmtId="0" fontId="19" fillId="0" borderId="19" xfId="1" applyNumberFormat="1" applyFont="1" applyBorder="1" applyAlignment="1" applyProtection="1">
      <alignment horizontal="center" vertical="center"/>
    </xf>
    <xf numFmtId="0" fontId="12" fillId="0" borderId="20" xfId="1" applyNumberFormat="1" applyFont="1" applyBorder="1" applyAlignment="1" applyProtection="1">
      <alignment horizontal="left" vertical="center"/>
    </xf>
    <xf numFmtId="0" fontId="12" fillId="0" borderId="21" xfId="1" applyNumberFormat="1" applyFont="1" applyBorder="1" applyAlignment="1" applyProtection="1">
      <alignment horizontal="right" vertical="center"/>
    </xf>
    <xf numFmtId="0" fontId="11" fillId="0" borderId="0" xfId="1" applyNumberFormat="1" applyFont="1" applyAlignment="1" applyProtection="1">
      <alignment horizontal="center" vertical="center"/>
    </xf>
    <xf numFmtId="0" fontId="11" fillId="0" borderId="0" xfId="1" applyNumberFormat="1" applyFont="1" applyAlignment="1" applyProtection="1">
      <alignment horizontal="left" vertical="center"/>
    </xf>
    <xf numFmtId="0" fontId="23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0" fillId="0" borderId="0" xfId="1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1" fontId="20" fillId="0" borderId="0" xfId="0" applyNumberFormat="1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16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left" vertical="center"/>
    </xf>
    <xf numFmtId="165" fontId="26" fillId="2" borderId="2" xfId="0" applyNumberFormat="1" applyFont="1" applyFill="1" applyBorder="1" applyAlignment="1" applyProtection="1">
      <alignment horizontal="center" vertical="center"/>
    </xf>
    <xf numFmtId="165" fontId="26" fillId="2" borderId="22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3" fillId="0" borderId="0" xfId="0" applyNumberFormat="1" applyFont="1" applyAlignment="1" applyProtection="1">
      <alignment horizontal="center" vertical="center"/>
    </xf>
    <xf numFmtId="0" fontId="2" fillId="0" borderId="0" xfId="1" applyNumberFormat="1" applyFont="1" applyAlignment="1" applyProtection="1">
      <alignment horizontal="center" vertical="center"/>
    </xf>
    <xf numFmtId="49" fontId="6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Border="1" applyAlignment="1" applyProtection="1">
      <alignment horizontal="center" vertical="center"/>
    </xf>
    <xf numFmtId="0" fontId="12" fillId="0" borderId="5" xfId="1" applyNumberFormat="1" applyFont="1" applyBorder="1" applyAlignment="1" applyProtection="1">
      <alignment horizontal="left" vertical="center"/>
    </xf>
    <xf numFmtId="0" fontId="18" fillId="0" borderId="23" xfId="1" applyNumberFormat="1" applyFont="1" applyBorder="1" applyAlignment="1" applyProtection="1">
      <alignment horizontal="center" vertical="center"/>
    </xf>
    <xf numFmtId="0" fontId="12" fillId="0" borderId="24" xfId="1" applyNumberFormat="1" applyFont="1" applyBorder="1" applyAlignment="1" applyProtection="1">
      <alignment horizontal="left" vertical="center"/>
    </xf>
    <xf numFmtId="0" fontId="12" fillId="0" borderId="23" xfId="1" applyNumberFormat="1" applyFont="1" applyBorder="1" applyAlignment="1" applyProtection="1">
      <alignment horizontal="right" vertical="center"/>
    </xf>
    <xf numFmtId="0" fontId="27" fillId="0" borderId="16" xfId="1" applyNumberFormat="1" applyFont="1" applyFill="1" applyBorder="1" applyAlignment="1" applyProtection="1">
      <alignment horizontal="right" vertical="center"/>
    </xf>
    <xf numFmtId="0" fontId="27" fillId="0" borderId="25" xfId="1" applyNumberFormat="1" applyFont="1" applyFill="1" applyBorder="1" applyAlignment="1" applyProtection="1">
      <alignment horizontal="right" vertical="center"/>
    </xf>
    <xf numFmtId="0" fontId="12" fillId="0" borderId="13" xfId="1" applyNumberFormat="1" applyFont="1" applyBorder="1" applyAlignment="1" applyProtection="1">
      <alignment horizontal="left" vertical="center"/>
    </xf>
    <xf numFmtId="0" fontId="12" fillId="0" borderId="21" xfId="1" applyNumberFormat="1" applyFont="1" applyBorder="1" applyAlignment="1" applyProtection="1">
      <alignment horizontal="left" vertical="center"/>
    </xf>
    <xf numFmtId="0" fontId="12" fillId="0" borderId="23" xfId="1" applyNumberFormat="1" applyFont="1" applyBorder="1" applyAlignment="1" applyProtection="1">
      <alignment horizontal="left" vertical="center"/>
    </xf>
    <xf numFmtId="0" fontId="5" fillId="2" borderId="13" xfId="0" applyNumberFormat="1" applyFont="1" applyFill="1" applyBorder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5" fillId="2" borderId="15" xfId="0" applyNumberFormat="1" applyFont="1" applyFill="1" applyBorder="1" applyAlignment="1" applyProtection="1">
      <alignment horizontal="center" vertical="center"/>
    </xf>
    <xf numFmtId="0" fontId="12" fillId="3" borderId="26" xfId="0" applyNumberFormat="1" applyFont="1" applyFill="1" applyBorder="1" applyAlignment="1" applyProtection="1">
      <alignment horizontal="center" vertical="center"/>
    </xf>
    <xf numFmtId="0" fontId="16" fillId="0" borderId="26" xfId="1" applyNumberFormat="1" applyFont="1" applyBorder="1" applyAlignment="1" applyProtection="1">
      <alignment horizontal="center" vertical="center"/>
    </xf>
    <xf numFmtId="0" fontId="12" fillId="0" borderId="27" xfId="1" applyNumberFormat="1" applyFont="1" applyBorder="1" applyAlignment="1" applyProtection="1">
      <alignment horizontal="left" vertical="center"/>
    </xf>
    <xf numFmtId="0" fontId="1" fillId="0" borderId="26" xfId="0" applyFont="1" applyBorder="1" applyAlignment="1" applyProtection="1">
      <alignment vertical="center"/>
    </xf>
    <xf numFmtId="0" fontId="1" fillId="0" borderId="5" xfId="0" applyFont="1" applyBorder="1" applyAlignment="1" applyProtection="1">
      <alignment vertical="center"/>
    </xf>
    <xf numFmtId="0" fontId="1" fillId="0" borderId="8" xfId="0" applyFont="1" applyBorder="1" applyAlignment="1" applyProtection="1">
      <alignment vertical="center"/>
    </xf>
    <xf numFmtId="0" fontId="29" fillId="0" borderId="0" xfId="0" applyNumberFormat="1" applyFont="1" applyAlignment="1" applyProtection="1">
      <alignment horizontal="center" vertical="center"/>
    </xf>
    <xf numFmtId="0" fontId="23" fillId="0" borderId="28" xfId="0" applyNumberFormat="1" applyFont="1" applyBorder="1" applyAlignment="1" applyProtection="1">
      <alignment horizontal="center" vertical="center"/>
    </xf>
    <xf numFmtId="0" fontId="23" fillId="0" borderId="29" xfId="0" applyNumberFormat="1" applyFont="1" applyBorder="1" applyAlignment="1" applyProtection="1">
      <alignment horizontal="center" vertical="center"/>
    </xf>
    <xf numFmtId="0" fontId="10" fillId="0" borderId="30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30" xfId="0" applyNumberFormat="1" applyFont="1" applyFill="1" applyBorder="1" applyAlignment="1" applyProtection="1">
      <alignment horizontal="left" vertical="center" wrapText="1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3" fillId="0" borderId="0" xfId="1" applyNumberFormat="1" applyFont="1" applyBorder="1" applyAlignment="1" applyProtection="1">
      <alignment horizontal="center" vertical="center"/>
    </xf>
    <xf numFmtId="0" fontId="13" fillId="0" borderId="31" xfId="1" applyNumberFormat="1" applyFont="1" applyBorder="1" applyAlignment="1" applyProtection="1">
      <alignment horizontal="center" vertical="center"/>
    </xf>
    <xf numFmtId="0" fontId="13" fillId="0" borderId="32" xfId="1" applyNumberFormat="1" applyFont="1" applyBorder="1" applyAlignment="1" applyProtection="1">
      <alignment horizontal="center" vertical="center"/>
    </xf>
    <xf numFmtId="0" fontId="1" fillId="0" borderId="0" xfId="0" applyFont="1" applyAlignment="1" applyProtection="1">
      <alignment vertical="center"/>
    </xf>
    <xf numFmtId="0" fontId="13" fillId="0" borderId="5" xfId="1" applyNumberFormat="1" applyFont="1" applyBorder="1" applyAlignment="1" applyProtection="1">
      <alignment horizontal="left" vertical="center"/>
    </xf>
    <xf numFmtId="0" fontId="18" fillId="0" borderId="32" xfId="1" applyNumberFormat="1" applyFont="1" applyBorder="1" applyAlignment="1" applyProtection="1">
      <alignment horizontal="center" vertical="center"/>
    </xf>
    <xf numFmtId="0" fontId="18" fillId="0" borderId="5" xfId="1" applyNumberFormat="1" applyFont="1" applyBorder="1" applyAlignment="1" applyProtection="1">
      <alignment horizontal="center" vertical="center"/>
    </xf>
    <xf numFmtId="0" fontId="8" fillId="0" borderId="5" xfId="1" applyNumberFormat="1" applyFont="1" applyFill="1" applyBorder="1" applyAlignment="1" applyProtection="1">
      <alignment horizontal="center" vertical="center"/>
    </xf>
    <xf numFmtId="0" fontId="27" fillId="0" borderId="7" xfId="1" applyNumberFormat="1" applyFont="1" applyFill="1" applyBorder="1" applyAlignment="1" applyProtection="1">
      <alignment horizontal="right" vertical="center"/>
    </xf>
    <xf numFmtId="0" fontId="12" fillId="0" borderId="4" xfId="1" applyNumberFormat="1" applyFont="1" applyBorder="1" applyAlignment="1" applyProtection="1">
      <alignment horizontal="left" vertical="center"/>
    </xf>
    <xf numFmtId="0" fontId="12" fillId="0" borderId="5" xfId="1" applyNumberFormat="1" applyFont="1" applyBorder="1" applyAlignment="1" applyProtection="1">
      <alignment horizontal="right" vertical="center"/>
    </xf>
    <xf numFmtId="0" fontId="19" fillId="0" borderId="33" xfId="1" applyNumberFormat="1" applyFont="1" applyBorder="1" applyAlignment="1" applyProtection="1">
      <alignment horizontal="center" vertical="center"/>
    </xf>
    <xf numFmtId="0" fontId="19" fillId="0" borderId="34" xfId="1" applyNumberFormat="1" applyFont="1" applyBorder="1" applyAlignment="1" applyProtection="1">
      <alignment horizontal="center" vertical="center"/>
    </xf>
    <xf numFmtId="0" fontId="12" fillId="0" borderId="26" xfId="1" applyNumberFormat="1" applyFont="1" applyBorder="1" applyAlignment="1" applyProtection="1">
      <alignment horizontal="left" vertical="center"/>
    </xf>
    <xf numFmtId="0" fontId="18" fillId="0" borderId="35" xfId="1" applyNumberFormat="1" applyFont="1" applyBorder="1" applyAlignment="1" applyProtection="1">
      <alignment horizontal="center" vertical="center"/>
    </xf>
    <xf numFmtId="0" fontId="27" fillId="0" borderId="23" xfId="1" applyNumberFormat="1" applyFont="1" applyFill="1" applyBorder="1" applyAlignment="1" applyProtection="1">
      <alignment horizontal="center" vertical="center"/>
    </xf>
    <xf numFmtId="9" fontId="12" fillId="0" borderId="36" xfId="1" applyNumberFormat="1" applyFont="1" applyBorder="1" applyAlignment="1" applyProtection="1">
      <alignment horizontal="center" vertical="center"/>
    </xf>
    <xf numFmtId="9" fontId="12" fillId="0" borderId="37" xfId="1" applyNumberFormat="1" applyFont="1" applyBorder="1" applyAlignment="1" applyProtection="1">
      <alignment horizontal="center" vertical="center"/>
    </xf>
    <xf numFmtId="0" fontId="12" fillId="0" borderId="38" xfId="1" applyNumberFormat="1" applyFont="1" applyBorder="1" applyAlignment="1" applyProtection="1">
      <alignment horizontal="left" vertical="center"/>
    </xf>
    <xf numFmtId="9" fontId="12" fillId="0" borderId="39" xfId="1" applyNumberFormat="1" applyFont="1" applyBorder="1" applyAlignment="1" applyProtection="1">
      <alignment horizontal="center" vertical="center"/>
    </xf>
    <xf numFmtId="0" fontId="14" fillId="0" borderId="40" xfId="1" applyNumberFormat="1" applyFont="1" applyBorder="1" applyAlignment="1" applyProtection="1">
      <alignment horizontal="center" vertical="center"/>
      <protection locked="0"/>
    </xf>
    <xf numFmtId="0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19" fillId="0" borderId="42" xfId="1" applyNumberFormat="1" applyFont="1" applyBorder="1" applyAlignment="1" applyProtection="1">
      <alignment horizontal="center" vertical="center"/>
    </xf>
    <xf numFmtId="0" fontId="19" fillId="0" borderId="43" xfId="1" applyNumberFormat="1" applyFont="1" applyBorder="1" applyAlignment="1" applyProtection="1">
      <alignment horizontal="center" vertical="center"/>
    </xf>
    <xf numFmtId="0" fontId="4" fillId="0" borderId="44" xfId="1" applyNumberFormat="1" applyFont="1" applyBorder="1" applyAlignment="1" applyProtection="1">
      <alignment horizontal="right" vertical="center"/>
    </xf>
    <xf numFmtId="0" fontId="31" fillId="0" borderId="45" xfId="1" applyNumberFormat="1" applyFont="1" applyBorder="1" applyAlignment="1" applyProtection="1">
      <alignment horizontal="center" vertical="center"/>
    </xf>
    <xf numFmtId="0" fontId="31" fillId="0" borderId="46" xfId="1" applyNumberFormat="1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vertical="center"/>
    </xf>
    <xf numFmtId="0" fontId="5" fillId="0" borderId="0" xfId="1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0" fontId="31" fillId="0" borderId="47" xfId="1" applyNumberFormat="1" applyFont="1" applyBorder="1" applyAlignment="1" applyProtection="1">
      <alignment horizontal="center" vertical="center"/>
    </xf>
    <xf numFmtId="0" fontId="32" fillId="0" borderId="44" xfId="1" applyNumberFormat="1" applyFont="1" applyBorder="1" applyAlignment="1" applyProtection="1">
      <alignment horizontal="center" vertical="center"/>
    </xf>
    <xf numFmtId="0" fontId="29" fillId="0" borderId="44" xfId="1" applyNumberFormat="1" applyFont="1" applyBorder="1" applyAlignment="1" applyProtection="1">
      <alignment horizontal="right" vertical="center"/>
    </xf>
    <xf numFmtId="0" fontId="29" fillId="0" borderId="44" xfId="1" applyNumberFormat="1" applyFont="1" applyBorder="1" applyAlignment="1" applyProtection="1">
      <alignment horizontal="center" vertical="center"/>
    </xf>
    <xf numFmtId="0" fontId="29" fillId="0" borderId="47" xfId="1" applyNumberFormat="1" applyFont="1" applyBorder="1" applyAlignment="1" applyProtection="1">
      <alignment horizontal="center" vertical="center"/>
    </xf>
    <xf numFmtId="0" fontId="28" fillId="0" borderId="48" xfId="0" applyFont="1" applyBorder="1" applyAlignment="1" applyProtection="1">
      <alignment horizontal="center" vertical="center"/>
    </xf>
    <xf numFmtId="0" fontId="0" fillId="0" borderId="32" xfId="0" applyBorder="1" applyAlignment="1" applyProtection="1">
      <alignment vertical="center"/>
    </xf>
    <xf numFmtId="0" fontId="13" fillId="0" borderId="49" xfId="1" applyNumberFormat="1" applyFont="1" applyBorder="1" applyAlignment="1" applyProtection="1">
      <alignment horizontal="center" vertical="center"/>
    </xf>
    <xf numFmtId="0" fontId="0" fillId="0" borderId="5" xfId="0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28" fillId="0" borderId="0" xfId="0" applyFont="1" applyFill="1" applyAlignment="1" applyProtection="1">
      <alignment horizontal="center" vertical="center"/>
    </xf>
    <xf numFmtId="0" fontId="16" fillId="0" borderId="0" xfId="0" applyFont="1" applyFill="1" applyAlignment="1" applyProtection="1">
      <alignment vertical="center"/>
    </xf>
    <xf numFmtId="0" fontId="16" fillId="0" borderId="0" xfId="0" applyFont="1" applyFill="1" applyAlignment="1" applyProtection="1">
      <alignment horizontal="center" vertical="center"/>
    </xf>
    <xf numFmtId="0" fontId="16" fillId="0" borderId="0" xfId="0" applyFont="1" applyFill="1" applyAlignment="1" applyProtection="1">
      <alignment horizontal="left" vertical="center"/>
    </xf>
    <xf numFmtId="0" fontId="0" fillId="0" borderId="0" xfId="0" applyFill="1" applyAlignment="1" applyProtection="1">
      <alignment horizontal="center" vertical="center"/>
    </xf>
    <xf numFmtId="0" fontId="10" fillId="0" borderId="0" xfId="0" applyFont="1" applyFill="1" applyBorder="1" applyAlignment="1" applyProtection="1">
      <alignment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6" fillId="0" borderId="0" xfId="0" applyFont="1" applyFill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vertical="center"/>
    </xf>
    <xf numFmtId="1" fontId="2" fillId="0" borderId="0" xfId="0" applyNumberFormat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2" fillId="0" borderId="0" xfId="0" applyNumberFormat="1" applyFont="1" applyFill="1" applyAlignment="1" applyProtection="1">
      <alignment horizontal="right" vertical="center"/>
    </xf>
    <xf numFmtId="0" fontId="2" fillId="0" borderId="0" xfId="0" applyNumberFormat="1" applyFont="1" applyFill="1" applyAlignment="1" applyProtection="1">
      <alignment horizontal="left" vertical="center"/>
    </xf>
    <xf numFmtId="0" fontId="5" fillId="0" borderId="26" xfId="1" applyNumberFormat="1" applyFont="1" applyBorder="1" applyAlignment="1" applyProtection="1">
      <alignment horizontal="left" vertical="center"/>
    </xf>
    <xf numFmtId="0" fontId="32" fillId="0" borderId="44" xfId="1" applyNumberFormat="1" applyFont="1" applyFill="1" applyBorder="1" applyAlignment="1" applyProtection="1">
      <alignment horizontal="right" vertical="center"/>
    </xf>
    <xf numFmtId="0" fontId="37" fillId="0" borderId="50" xfId="1" applyNumberFormat="1" applyFont="1" applyFill="1" applyBorder="1" applyAlignment="1" applyProtection="1">
      <alignment horizontal="center" vertical="center"/>
    </xf>
    <xf numFmtId="0" fontId="10" fillId="0" borderId="51" xfId="0" applyNumberFormat="1" applyFont="1" applyBorder="1" applyAlignment="1" applyProtection="1">
      <alignment horizontal="left" vertical="center"/>
    </xf>
    <xf numFmtId="0" fontId="10" fillId="0" borderId="51" xfId="0" applyNumberFormat="1" applyFont="1" applyFill="1" applyBorder="1" applyAlignment="1" applyProtection="1">
      <alignment horizontal="left" vertical="center"/>
    </xf>
    <xf numFmtId="0" fontId="10" fillId="0" borderId="51" xfId="0" applyNumberFormat="1" applyFont="1" applyFill="1" applyBorder="1" applyAlignment="1" applyProtection="1">
      <alignment horizontal="left" vertical="center" wrapText="1"/>
    </xf>
    <xf numFmtId="0" fontId="10" fillId="0" borderId="51" xfId="0" applyFont="1" applyBorder="1" applyAlignment="1" applyProtection="1">
      <alignment vertical="center"/>
    </xf>
    <xf numFmtId="0" fontId="10" fillId="0" borderId="52" xfId="0" applyNumberFormat="1" applyFont="1" applyBorder="1" applyAlignment="1" applyProtection="1">
      <alignment horizontal="left" vertical="center"/>
    </xf>
    <xf numFmtId="0" fontId="10" fillId="0" borderId="53" xfId="0" applyNumberFormat="1" applyFont="1" applyBorder="1" applyAlignment="1" applyProtection="1">
      <alignment horizontal="left" vertical="center"/>
    </xf>
    <xf numFmtId="0" fontId="10" fillId="0" borderId="29" xfId="0" applyNumberFormat="1" applyFont="1" applyBorder="1" applyAlignment="1" applyProtection="1">
      <alignment horizontal="left" vertical="center"/>
    </xf>
    <xf numFmtId="0" fontId="10" fillId="0" borderId="30" xfId="0" applyFont="1" applyBorder="1" applyAlignment="1" applyProtection="1">
      <alignment vertical="center"/>
    </xf>
    <xf numFmtId="0" fontId="30" fillId="0" borderId="0" xfId="0" applyNumberFormat="1" applyFont="1" applyFill="1" applyAlignment="1" applyProtection="1">
      <alignment horizontal="center" vertical="top"/>
    </xf>
    <xf numFmtId="0" fontId="33" fillId="0" borderId="0" xfId="0" applyNumberFormat="1" applyFont="1" applyAlignment="1" applyProtection="1">
      <alignment horizontal="center" vertical="center"/>
    </xf>
    <xf numFmtId="166" fontId="7" fillId="4" borderId="75" xfId="0" applyNumberFormat="1" applyFont="1" applyFill="1" applyBorder="1" applyAlignment="1" applyProtection="1">
      <alignment horizontal="center" vertical="center"/>
    </xf>
    <xf numFmtId="1" fontId="7" fillId="4" borderId="76" xfId="0" applyNumberFormat="1" applyFont="1" applyFill="1" applyBorder="1" applyAlignment="1" applyProtection="1">
      <alignment horizontal="center" vertical="center"/>
    </xf>
    <xf numFmtId="0" fontId="34" fillId="0" borderId="0" xfId="0" applyNumberFormat="1" applyFont="1" applyAlignment="1" applyProtection="1">
      <alignment horizontal="center" vertical="center"/>
    </xf>
    <xf numFmtId="166" fontId="7" fillId="4" borderId="77" xfId="0" applyNumberFormat="1" applyFont="1" applyFill="1" applyBorder="1" applyAlignment="1" applyProtection="1">
      <alignment horizontal="center" vertical="center"/>
    </xf>
    <xf numFmtId="1" fontId="7" fillId="4" borderId="78" xfId="0" applyNumberFormat="1" applyFont="1" applyFill="1" applyBorder="1" applyAlignment="1" applyProtection="1">
      <alignment horizontal="center" vertical="center"/>
    </xf>
    <xf numFmtId="0" fontId="34" fillId="0" borderId="0" xfId="1" applyNumberFormat="1" applyFont="1" applyAlignment="1" applyProtection="1">
      <alignment horizontal="center" vertical="center"/>
    </xf>
    <xf numFmtId="166" fontId="7" fillId="4" borderId="79" xfId="0" applyNumberFormat="1" applyFont="1" applyFill="1" applyBorder="1" applyAlignment="1" applyProtection="1">
      <alignment horizontal="center" vertical="center"/>
    </xf>
    <xf numFmtId="1" fontId="7" fillId="4" borderId="80" xfId="0" applyNumberFormat="1" applyFont="1" applyFill="1" applyBorder="1" applyAlignment="1" applyProtection="1">
      <alignment horizontal="center" vertical="center"/>
    </xf>
    <xf numFmtId="166" fontId="7" fillId="4" borderId="81" xfId="0" applyNumberFormat="1" applyFont="1" applyFill="1" applyBorder="1" applyAlignment="1" applyProtection="1">
      <alignment horizontal="center" vertical="center"/>
    </xf>
    <xf numFmtId="0" fontId="25" fillId="0" borderId="54" xfId="1" applyNumberFormat="1" applyFont="1" applyBorder="1" applyAlignment="1" applyProtection="1">
      <alignment horizontal="center" vertical="center"/>
    </xf>
    <xf numFmtId="0" fontId="25" fillId="0" borderId="55" xfId="1" applyNumberFormat="1" applyFont="1" applyFill="1" applyBorder="1" applyAlignment="1" applyProtection="1">
      <alignment horizontal="center" vertical="center"/>
    </xf>
    <xf numFmtId="0" fontId="13" fillId="0" borderId="56" xfId="1" applyNumberFormat="1" applyFont="1" applyBorder="1" applyAlignment="1" applyProtection="1">
      <alignment horizontal="center" vertical="center"/>
    </xf>
    <xf numFmtId="0" fontId="25" fillId="0" borderId="57" xfId="1" applyNumberFormat="1" applyFont="1" applyBorder="1" applyAlignment="1" applyProtection="1">
      <alignment horizontal="center" vertical="center"/>
    </xf>
    <xf numFmtId="0" fontId="25" fillId="0" borderId="31" xfId="1" applyNumberFormat="1" applyFont="1" applyFill="1" applyBorder="1" applyAlignment="1" applyProtection="1">
      <alignment horizontal="center" vertical="center"/>
    </xf>
    <xf numFmtId="0" fontId="29" fillId="0" borderId="58" xfId="1" applyNumberFormat="1" applyFont="1" applyBorder="1" applyAlignment="1" applyProtection="1">
      <alignment horizontal="center" vertical="center"/>
    </xf>
    <xf numFmtId="0" fontId="14" fillId="0" borderId="59" xfId="1" applyNumberFormat="1" applyFont="1" applyBorder="1" applyAlignment="1" applyProtection="1">
      <alignment horizontal="center" vertical="center"/>
    </xf>
    <xf numFmtId="0" fontId="14" fillId="0" borderId="60" xfId="1" applyNumberFormat="1" applyFont="1" applyFill="1" applyBorder="1" applyAlignment="1" applyProtection="1">
      <alignment horizontal="center" vertical="center"/>
    </xf>
    <xf numFmtId="0" fontId="14" fillId="0" borderId="40" xfId="1" applyNumberFormat="1" applyFont="1" applyBorder="1" applyAlignment="1" applyProtection="1">
      <alignment horizontal="center" vertical="center"/>
    </xf>
    <xf numFmtId="0" fontId="14" fillId="0" borderId="41" xfId="1" applyNumberFormat="1" applyFont="1" applyFill="1" applyBorder="1" applyAlignment="1" applyProtection="1">
      <alignment horizontal="center" vertical="center"/>
    </xf>
    <xf numFmtId="0" fontId="13" fillId="0" borderId="61" xfId="1" applyNumberFormat="1" applyFont="1" applyBorder="1" applyAlignment="1" applyProtection="1">
      <alignment horizontal="center" vertical="center"/>
    </xf>
    <xf numFmtId="165" fontId="38" fillId="4" borderId="0" xfId="0" applyNumberFormat="1" applyFont="1" applyFill="1" applyBorder="1" applyAlignment="1" applyProtection="1">
      <alignment horizontal="center" vertical="center"/>
    </xf>
    <xf numFmtId="49" fontId="36" fillId="5" borderId="82" xfId="0" applyNumberFormat="1" applyFont="1" applyFill="1" applyBorder="1" applyAlignment="1" applyProtection="1">
      <alignment horizontal="center" vertical="center"/>
    </xf>
    <xf numFmtId="49" fontId="36" fillId="5" borderId="83" xfId="0" applyNumberFormat="1" applyFont="1" applyFill="1" applyBorder="1" applyAlignment="1" applyProtection="1">
      <alignment horizontal="center" vertical="center"/>
    </xf>
    <xf numFmtId="49" fontId="36" fillId="5" borderId="84" xfId="0" applyNumberFormat="1" applyFont="1" applyFill="1" applyBorder="1" applyAlignment="1" applyProtection="1">
      <alignment horizontal="center" vertical="center"/>
    </xf>
    <xf numFmtId="49" fontId="36" fillId="5" borderId="85" xfId="0" applyNumberFormat="1" applyFont="1" applyFill="1" applyBorder="1" applyAlignment="1" applyProtection="1">
      <alignment horizontal="center" vertical="center"/>
    </xf>
    <xf numFmtId="49" fontId="36" fillId="5" borderId="86" xfId="0" applyNumberFormat="1" applyFont="1" applyFill="1" applyBorder="1" applyAlignment="1" applyProtection="1">
      <alignment horizontal="center" vertical="center"/>
    </xf>
    <xf numFmtId="169" fontId="36" fillId="5" borderId="87" xfId="0" applyNumberFormat="1" applyFont="1" applyFill="1" applyBorder="1" applyAlignment="1" applyProtection="1">
      <alignment horizontal="center" vertical="center"/>
    </xf>
    <xf numFmtId="169" fontId="36" fillId="5" borderId="88" xfId="0" applyNumberFormat="1" applyFont="1" applyFill="1" applyBorder="1" applyAlignment="1" applyProtection="1">
      <alignment horizontal="center" vertical="center"/>
    </xf>
    <xf numFmtId="169" fontId="36" fillId="5" borderId="89" xfId="0" applyNumberFormat="1" applyFont="1" applyFill="1" applyBorder="1" applyAlignment="1" applyProtection="1">
      <alignment horizontal="center" vertical="center"/>
    </xf>
    <xf numFmtId="165" fontId="38" fillId="4" borderId="90" xfId="0" applyNumberFormat="1" applyFont="1" applyFill="1" applyBorder="1" applyAlignment="1" applyProtection="1">
      <alignment horizontal="center" vertical="center" shrinkToFit="1"/>
    </xf>
    <xf numFmtId="165" fontId="38" fillId="4" borderId="91" xfId="0" applyNumberFormat="1" applyFont="1" applyFill="1" applyBorder="1" applyAlignment="1" applyProtection="1">
      <alignment horizontal="center" vertical="center" shrinkToFit="1"/>
    </xf>
    <xf numFmtId="0" fontId="36" fillId="4" borderId="92" xfId="0" applyNumberFormat="1" applyFont="1" applyFill="1" applyBorder="1" applyAlignment="1" applyProtection="1">
      <alignment horizontal="center" vertical="center"/>
    </xf>
    <xf numFmtId="165" fontId="38" fillId="4" borderId="93" xfId="0" applyNumberFormat="1" applyFont="1" applyFill="1" applyBorder="1" applyAlignment="1" applyProtection="1">
      <alignment horizontal="center" vertical="center" shrinkToFit="1"/>
    </xf>
    <xf numFmtId="0" fontId="35" fillId="4" borderId="92" xfId="0" applyNumberFormat="1" applyFont="1" applyFill="1" applyBorder="1" applyAlignment="1" applyProtection="1">
      <alignment horizontal="center" vertical="center"/>
    </xf>
    <xf numFmtId="0" fontId="35" fillId="4" borderId="94" xfId="0" applyNumberFormat="1" applyFont="1" applyFill="1" applyBorder="1" applyAlignment="1" applyProtection="1">
      <alignment horizontal="center" vertical="center"/>
    </xf>
    <xf numFmtId="165" fontId="38" fillId="4" borderId="95" xfId="0" applyNumberFormat="1" applyFont="1" applyFill="1" applyBorder="1" applyAlignment="1" applyProtection="1">
      <alignment horizontal="center" vertical="center" shrinkToFit="1"/>
    </xf>
    <xf numFmtId="169" fontId="36" fillId="5" borderId="96" xfId="0" applyNumberFormat="1" applyFont="1" applyFill="1" applyBorder="1" applyAlignment="1" applyProtection="1">
      <alignment horizontal="center" vertical="center"/>
    </xf>
    <xf numFmtId="169" fontId="36" fillId="5" borderId="97" xfId="0" applyNumberFormat="1" applyFont="1" applyFill="1" applyBorder="1" applyAlignment="1" applyProtection="1">
      <alignment horizontal="center" vertical="center"/>
    </xf>
    <xf numFmtId="169" fontId="36" fillId="5" borderId="98" xfId="0" applyNumberFormat="1" applyFont="1" applyFill="1" applyBorder="1" applyAlignment="1" applyProtection="1">
      <alignment horizontal="center" vertical="center"/>
    </xf>
    <xf numFmtId="165" fontId="38" fillId="4" borderId="78" xfId="0" applyNumberFormat="1" applyFont="1" applyFill="1" applyBorder="1" applyAlignment="1" applyProtection="1">
      <alignment horizontal="center" vertical="center" shrinkToFit="1"/>
    </xf>
    <xf numFmtId="165" fontId="38" fillId="4" borderId="99" xfId="0" applyNumberFormat="1" applyFont="1" applyFill="1" applyBorder="1" applyAlignment="1" applyProtection="1">
      <alignment horizontal="center" vertical="center" shrinkToFit="1"/>
    </xf>
    <xf numFmtId="0" fontId="36" fillId="4" borderId="100" xfId="0" applyNumberFormat="1" applyFont="1" applyFill="1" applyBorder="1" applyAlignment="1" applyProtection="1">
      <alignment horizontal="center" vertical="center"/>
    </xf>
    <xf numFmtId="165" fontId="38" fillId="4" borderId="101" xfId="0" applyNumberFormat="1" applyFont="1" applyFill="1" applyBorder="1" applyAlignment="1" applyProtection="1">
      <alignment horizontal="center" vertical="center" shrinkToFit="1"/>
    </xf>
    <xf numFmtId="0" fontId="35" fillId="4" borderId="100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165" fontId="38" fillId="4" borderId="103" xfId="0" applyNumberFormat="1" applyFont="1" applyFill="1" applyBorder="1" applyAlignment="1" applyProtection="1">
      <alignment horizontal="center" vertical="center" shrinkToFit="1"/>
    </xf>
    <xf numFmtId="169" fontId="36" fillId="5" borderId="104" xfId="0" applyNumberFormat="1" applyFont="1" applyFill="1" applyBorder="1" applyAlignment="1" applyProtection="1">
      <alignment horizontal="center" vertical="center"/>
    </xf>
    <xf numFmtId="169" fontId="36" fillId="5" borderId="105" xfId="0" applyNumberFormat="1" applyFont="1" applyFill="1" applyBorder="1" applyAlignment="1" applyProtection="1">
      <alignment horizontal="center" vertical="center"/>
    </xf>
    <xf numFmtId="169" fontId="36" fillId="5" borderId="106" xfId="0" applyNumberFormat="1" applyFont="1" applyFill="1" applyBorder="1" applyAlignment="1" applyProtection="1">
      <alignment horizontal="center" vertical="center"/>
    </xf>
    <xf numFmtId="165" fontId="38" fillId="4" borderId="80" xfId="0" applyNumberFormat="1" applyFont="1" applyFill="1" applyBorder="1" applyAlignment="1" applyProtection="1">
      <alignment horizontal="center" vertical="center" shrinkToFit="1"/>
    </xf>
    <xf numFmtId="165" fontId="38" fillId="4" borderId="107" xfId="0" applyNumberFormat="1" applyFont="1" applyFill="1" applyBorder="1" applyAlignment="1" applyProtection="1">
      <alignment horizontal="center" vertical="center" shrinkToFit="1"/>
    </xf>
    <xf numFmtId="0" fontId="36" fillId="4" borderId="108" xfId="0" applyNumberFormat="1" applyFont="1" applyFill="1" applyBorder="1" applyAlignment="1" applyProtection="1">
      <alignment horizontal="center" vertical="center"/>
    </xf>
    <xf numFmtId="165" fontId="38" fillId="4" borderId="109" xfId="0" applyNumberFormat="1" applyFont="1" applyFill="1" applyBorder="1" applyAlignment="1" applyProtection="1">
      <alignment horizontal="center" vertical="center" shrinkToFit="1"/>
    </xf>
    <xf numFmtId="0" fontId="35" fillId="4" borderId="108" xfId="0" applyNumberFormat="1" applyFont="1" applyFill="1" applyBorder="1" applyAlignment="1" applyProtection="1">
      <alignment horizontal="center" vertical="center"/>
    </xf>
    <xf numFmtId="0" fontId="35" fillId="4" borderId="110" xfId="0" applyNumberFormat="1" applyFont="1" applyFill="1" applyBorder="1" applyAlignment="1" applyProtection="1">
      <alignment horizontal="center" vertical="center"/>
    </xf>
    <xf numFmtId="165" fontId="38" fillId="4" borderId="111" xfId="0" applyNumberFormat="1" applyFont="1" applyFill="1" applyBorder="1" applyAlignment="1" applyProtection="1">
      <alignment horizontal="center" vertical="center" shrinkToFit="1"/>
    </xf>
    <xf numFmtId="0" fontId="36" fillId="5" borderId="112" xfId="0" applyNumberFormat="1" applyFont="1" applyFill="1" applyBorder="1" applyAlignment="1" applyProtection="1">
      <alignment horizontal="center" vertical="center"/>
    </xf>
    <xf numFmtId="165" fontId="38" fillId="5" borderId="112" xfId="0" applyNumberFormat="1" applyFont="1" applyFill="1" applyBorder="1" applyAlignment="1" applyProtection="1">
      <alignment horizontal="center" vertical="center" shrinkToFit="1"/>
    </xf>
    <xf numFmtId="165" fontId="38" fillId="4" borderId="113" xfId="0" applyNumberFormat="1" applyFont="1" applyFill="1" applyBorder="1" applyAlignment="1" applyProtection="1">
      <alignment horizontal="center" vertical="center" shrinkToFit="1"/>
    </xf>
    <xf numFmtId="0" fontId="36" fillId="4" borderId="114" xfId="0" applyFont="1" applyFill="1" applyBorder="1" applyAlignment="1" applyProtection="1">
      <alignment horizontal="center" vertical="center"/>
    </xf>
    <xf numFmtId="165" fontId="38" fillId="4" borderId="115" xfId="0" applyNumberFormat="1" applyFont="1" applyFill="1" applyBorder="1" applyAlignment="1" applyProtection="1">
      <alignment horizontal="center" vertical="center" shrinkToFit="1"/>
    </xf>
    <xf numFmtId="0" fontId="35" fillId="4" borderId="114" xfId="0" applyFont="1" applyFill="1" applyBorder="1" applyAlignment="1" applyProtection="1">
      <alignment horizontal="center" vertical="center"/>
    </xf>
    <xf numFmtId="165" fontId="38" fillId="4" borderId="116" xfId="0" applyNumberFormat="1" applyFont="1" applyFill="1" applyBorder="1" applyAlignment="1" applyProtection="1">
      <alignment horizontal="center" vertical="center" shrinkToFit="1"/>
    </xf>
    <xf numFmtId="165" fontId="38" fillId="4" borderId="117" xfId="0" applyNumberFormat="1" applyFont="1" applyFill="1" applyBorder="1" applyAlignment="1" applyProtection="1">
      <alignment horizontal="center" vertical="center" shrinkToFit="1"/>
    </xf>
    <xf numFmtId="0" fontId="36" fillId="5" borderId="118" xfId="0" applyNumberFormat="1" applyFont="1" applyFill="1" applyBorder="1" applyAlignment="1" applyProtection="1">
      <alignment horizontal="center" vertical="center"/>
    </xf>
    <xf numFmtId="165" fontId="38" fillId="5" borderId="118" xfId="0" applyNumberFormat="1" applyFont="1" applyFill="1" applyBorder="1" applyAlignment="1" applyProtection="1">
      <alignment horizontal="center" vertical="center" shrinkToFit="1"/>
    </xf>
    <xf numFmtId="165" fontId="38" fillId="4" borderId="119" xfId="0" applyNumberFormat="1" applyFont="1" applyFill="1" applyBorder="1" applyAlignment="1" applyProtection="1">
      <alignment horizontal="center" vertical="center" shrinkToFit="1"/>
    </xf>
    <xf numFmtId="0" fontId="36" fillId="4" borderId="120" xfId="0" applyFont="1" applyFill="1" applyBorder="1" applyAlignment="1" applyProtection="1">
      <alignment horizontal="center" vertical="center"/>
    </xf>
    <xf numFmtId="165" fontId="38" fillId="4" borderId="121" xfId="0" applyNumberFormat="1" applyFont="1" applyFill="1" applyBorder="1" applyAlignment="1" applyProtection="1">
      <alignment horizontal="center" vertical="center" shrinkToFit="1"/>
    </xf>
    <xf numFmtId="0" fontId="35" fillId="4" borderId="120" xfId="0" applyFont="1" applyFill="1" applyBorder="1" applyAlignment="1" applyProtection="1">
      <alignment horizontal="center" vertical="center"/>
    </xf>
    <xf numFmtId="165" fontId="38" fillId="4" borderId="102" xfId="0" applyNumberFormat="1" applyFont="1" applyFill="1" applyBorder="1" applyAlignment="1" applyProtection="1">
      <alignment horizontal="center" vertical="center" shrinkToFit="1"/>
    </xf>
    <xf numFmtId="165" fontId="38" fillId="4" borderId="122" xfId="0" applyNumberFormat="1" applyFont="1" applyFill="1" applyBorder="1" applyAlignment="1" applyProtection="1">
      <alignment horizontal="center" vertical="center" shrinkToFit="1"/>
    </xf>
    <xf numFmtId="0" fontId="36" fillId="5" borderId="123" xfId="0" applyNumberFormat="1" applyFont="1" applyFill="1" applyBorder="1" applyAlignment="1" applyProtection="1">
      <alignment horizontal="center" vertical="center"/>
    </xf>
    <xf numFmtId="165" fontId="38" fillId="5" borderId="123" xfId="0" applyNumberFormat="1" applyFont="1" applyFill="1" applyBorder="1" applyAlignment="1" applyProtection="1">
      <alignment horizontal="center" vertical="center" shrinkToFit="1"/>
    </xf>
    <xf numFmtId="165" fontId="38" fillId="4" borderId="124" xfId="0" applyNumberFormat="1" applyFont="1" applyFill="1" applyBorder="1" applyAlignment="1" applyProtection="1">
      <alignment horizontal="center" vertical="center" shrinkToFit="1"/>
    </xf>
    <xf numFmtId="0" fontId="36" fillId="4" borderId="125" xfId="0" applyFont="1" applyFill="1" applyBorder="1" applyAlignment="1" applyProtection="1">
      <alignment horizontal="center" vertical="center"/>
    </xf>
    <xf numFmtId="165" fontId="38" fillId="4" borderId="126" xfId="0" applyNumberFormat="1" applyFont="1" applyFill="1" applyBorder="1" applyAlignment="1" applyProtection="1">
      <alignment horizontal="center" vertical="center" shrinkToFit="1"/>
    </xf>
    <xf numFmtId="0" fontId="35" fillId="4" borderId="125" xfId="0" applyFont="1" applyFill="1" applyBorder="1" applyAlignment="1" applyProtection="1">
      <alignment horizontal="center" vertical="center"/>
    </xf>
    <xf numFmtId="165" fontId="38" fillId="4" borderId="127" xfId="0" applyNumberFormat="1" applyFont="1" applyFill="1" applyBorder="1" applyAlignment="1" applyProtection="1">
      <alignment horizontal="center" vertical="center" shrinkToFit="1"/>
    </xf>
    <xf numFmtId="165" fontId="38" fillId="4" borderId="128" xfId="0" applyNumberFormat="1" applyFont="1" applyFill="1" applyBorder="1" applyAlignment="1" applyProtection="1">
      <alignment horizontal="center" vertical="center" shrinkToFit="1"/>
    </xf>
    <xf numFmtId="0" fontId="40" fillId="7" borderId="67" xfId="0" applyFont="1" applyFill="1" applyBorder="1" applyAlignment="1" applyProtection="1">
      <alignment horizontal="center" vertical="center" wrapText="1"/>
    </xf>
    <xf numFmtId="0" fontId="40" fillId="7" borderId="74" xfId="0" applyFont="1" applyFill="1" applyBorder="1" applyAlignment="1" applyProtection="1">
      <alignment horizontal="center" vertical="center" wrapText="1"/>
    </xf>
    <xf numFmtId="0" fontId="40" fillId="7" borderId="69" xfId="0" applyFont="1" applyFill="1" applyBorder="1" applyAlignment="1" applyProtection="1">
      <alignment horizontal="center" vertical="center" wrapText="1"/>
    </xf>
    <xf numFmtId="0" fontId="40" fillId="7" borderId="16" xfId="0" applyFont="1" applyFill="1" applyBorder="1" applyAlignment="1" applyProtection="1">
      <alignment horizontal="center" vertical="center" wrapText="1"/>
    </xf>
    <xf numFmtId="49" fontId="36" fillId="5" borderId="129" xfId="0" applyNumberFormat="1" applyFont="1" applyFill="1" applyBorder="1" applyAlignment="1" applyProtection="1">
      <alignment horizontal="center" vertical="center"/>
    </xf>
    <xf numFmtId="49" fontId="36" fillId="5" borderId="130" xfId="0" applyNumberFormat="1" applyFont="1" applyFill="1" applyBorder="1" applyAlignment="1" applyProtection="1">
      <alignment horizontal="center" vertical="center"/>
    </xf>
    <xf numFmtId="49" fontId="36" fillId="5" borderId="131" xfId="0" applyNumberFormat="1" applyFont="1" applyFill="1" applyBorder="1" applyAlignment="1" applyProtection="1">
      <alignment horizontal="center" vertical="center"/>
    </xf>
    <xf numFmtId="0" fontId="39" fillId="5" borderId="71" xfId="0" applyFont="1" applyFill="1" applyBorder="1" applyAlignment="1" applyProtection="1">
      <alignment horizontal="center" vertical="center" wrapText="1"/>
    </xf>
    <xf numFmtId="0" fontId="39" fillId="5" borderId="72" xfId="0" applyFont="1" applyFill="1" applyBorder="1" applyAlignment="1" applyProtection="1">
      <alignment horizontal="center" vertical="center" wrapText="1"/>
    </xf>
    <xf numFmtId="0" fontId="39" fillId="5" borderId="73" xfId="0" applyFont="1" applyFill="1" applyBorder="1" applyAlignment="1" applyProtection="1">
      <alignment horizontal="center" vertical="center" wrapText="1"/>
    </xf>
    <xf numFmtId="0" fontId="39" fillId="6" borderId="62" xfId="0" applyFont="1" applyFill="1" applyBorder="1" applyAlignment="1" applyProtection="1">
      <alignment horizontal="center" vertical="center"/>
    </xf>
    <xf numFmtId="0" fontId="39" fillId="6" borderId="63" xfId="0" applyFont="1" applyFill="1" applyBorder="1" applyAlignment="1" applyProtection="1">
      <alignment horizontal="center" vertical="center"/>
    </xf>
    <xf numFmtId="0" fontId="39" fillId="6" borderId="64" xfId="0" applyFont="1" applyFill="1" applyBorder="1" applyAlignment="1" applyProtection="1">
      <alignment horizontal="center" vertical="center"/>
    </xf>
    <xf numFmtId="0" fontId="40" fillId="7" borderId="68" xfId="0" applyFont="1" applyFill="1" applyBorder="1" applyAlignment="1" applyProtection="1">
      <alignment horizontal="center" vertical="center" wrapText="1"/>
    </xf>
    <xf numFmtId="0" fontId="40" fillId="7" borderId="70" xfId="0" applyFont="1" applyFill="1" applyBorder="1" applyAlignment="1" applyProtection="1">
      <alignment horizontal="center" vertical="center" wrapText="1"/>
    </xf>
    <xf numFmtId="0" fontId="39" fillId="6" borderId="4" xfId="0" applyFont="1" applyFill="1" applyBorder="1" applyAlignment="1" applyProtection="1">
      <alignment horizontal="center" vertical="center"/>
    </xf>
    <xf numFmtId="0" fontId="39" fillId="6" borderId="5" xfId="0" applyFont="1" applyFill="1" applyBorder="1" applyAlignment="1" applyProtection="1">
      <alignment horizontal="center" vertical="center"/>
    </xf>
    <xf numFmtId="0" fontId="39" fillId="6" borderId="7" xfId="0" applyFont="1" applyFill="1" applyBorder="1" applyAlignment="1" applyProtection="1">
      <alignment horizontal="center" vertical="center"/>
    </xf>
    <xf numFmtId="0" fontId="40" fillId="7" borderId="65" xfId="0" applyFont="1" applyFill="1" applyBorder="1" applyAlignment="1" applyProtection="1">
      <alignment horizontal="center" vertical="center" wrapText="1"/>
    </xf>
    <xf numFmtId="0" fontId="40" fillId="7" borderId="66" xfId="0" applyFont="1" applyFill="1" applyBorder="1" applyAlignment="1" applyProtection="1">
      <alignment horizontal="center" vertical="center" wrapText="1"/>
    </xf>
    <xf numFmtId="0" fontId="39" fillId="5" borderId="4" xfId="0" applyFont="1" applyFill="1" applyBorder="1" applyAlignment="1" applyProtection="1">
      <alignment horizontal="center" vertical="center"/>
    </xf>
    <xf numFmtId="0" fontId="39" fillId="5" borderId="5" xfId="0" applyFont="1" applyFill="1" applyBorder="1" applyAlignment="1" applyProtection="1">
      <alignment horizontal="center" vertical="center"/>
    </xf>
    <xf numFmtId="0" fontId="39" fillId="5" borderId="7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91">
    <dxf>
      <numFmt numFmtId="168" formatCode="&quot;$&quot;#,##0.00;[Red]\-&quot;$&quot;#,##0.00"/>
    </dxf>
    <dxf>
      <numFmt numFmtId="168" formatCode="&quot;$&quot;#,##0.00;[Red]\-&quot;$&quot;#,##0.00"/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42"/>
    <pageSetUpPr fitToPage="1"/>
  </sheetPr>
  <dimension ref="A1:DT720"/>
  <sheetViews>
    <sheetView showGridLines="0" tabSelected="1" topLeftCell="B2" zoomScaleNormal="100" workbookViewId="0">
      <pane xSplit="5" ySplit="2" topLeftCell="G4" activePane="bottomRight" state="frozen"/>
      <selection activeCell="B2" sqref="B2"/>
      <selection pane="topRight" activeCell="G2" sqref="G2"/>
      <selection pane="bottomLeft" activeCell="B4" sqref="B4"/>
      <selection pane="bottomRight" activeCell="B24" sqref="B24"/>
    </sheetView>
  </sheetViews>
  <sheetFormatPr defaultRowHeight="12.75" x14ac:dyDescent="0.2"/>
  <cols>
    <col min="1" max="1" width="1.7109375" style="4" customWidth="1"/>
    <col min="2" max="2" width="3.7109375" style="4" customWidth="1"/>
    <col min="3" max="3" width="9.7109375" style="4" customWidth="1"/>
    <col min="4" max="4" width="2.7109375" style="4" customWidth="1"/>
    <col min="5" max="5" width="9.7109375" style="4" customWidth="1"/>
    <col min="6" max="6" width="3.7109375" style="4" customWidth="1"/>
    <col min="7" max="9" width="2.7109375" style="2" customWidth="1"/>
    <col min="10" max="10" width="5.7109375" style="2" customWidth="1"/>
    <col min="11" max="13" width="2.7109375" style="2" customWidth="1"/>
    <col min="14" max="14" width="5.7109375" style="2" customWidth="1"/>
    <col min="15" max="17" width="2.7109375" style="2" customWidth="1"/>
    <col min="18" max="18" width="5.7109375" style="2" customWidth="1"/>
    <col min="19" max="21" width="2.7109375" style="2" customWidth="1"/>
    <col min="22" max="22" width="5.7109375" style="2" customWidth="1"/>
    <col min="23" max="25" width="2.7109375" style="2" customWidth="1"/>
    <col min="26" max="26" width="5.7109375" style="2" customWidth="1"/>
    <col min="27" max="29" width="2.7109375" style="2" customWidth="1"/>
    <col min="30" max="30" width="5.7109375" style="2" customWidth="1"/>
    <col min="31" max="33" width="2.7109375" style="2" customWidth="1"/>
    <col min="34" max="34" width="5.7109375" style="2" customWidth="1"/>
    <col min="35" max="37" width="2.7109375" style="2" customWidth="1"/>
    <col min="38" max="38" width="5.7109375" style="2" customWidth="1"/>
    <col min="39" max="41" width="2.7109375" style="2" customWidth="1"/>
    <col min="42" max="42" width="5.7109375" style="2" customWidth="1"/>
    <col min="43" max="45" width="2.7109375" style="2" customWidth="1"/>
    <col min="46" max="46" width="5.7109375" style="2" customWidth="1"/>
    <col min="47" max="49" width="2.7109375" style="2" customWidth="1"/>
    <col min="50" max="50" width="5.7109375" style="2" customWidth="1"/>
    <col min="51" max="53" width="2.7109375" style="2" customWidth="1"/>
    <col min="54" max="54" width="5.7109375" style="2" customWidth="1"/>
    <col min="55" max="55" width="5.7109375" style="59" customWidth="1"/>
    <col min="56" max="58" width="2.7109375" style="59" customWidth="1"/>
    <col min="59" max="59" width="5.7109375" style="59" customWidth="1"/>
    <col min="60" max="60" width="5.7109375" style="87" hidden="1" customWidth="1"/>
    <col min="61" max="61" width="3.28515625" style="2" customWidth="1"/>
    <col min="62" max="63" width="2.7109375" style="2" customWidth="1"/>
    <col min="64" max="64" width="5.7109375" style="2" customWidth="1"/>
    <col min="65" max="65" width="2.7109375" style="59" customWidth="1"/>
    <col min="66" max="66" width="5.7109375" style="43" customWidth="1"/>
    <col min="67" max="67" width="5.7109375" style="41" customWidth="1"/>
    <col min="68" max="68" width="5.7109375" style="45" customWidth="1"/>
    <col min="69" max="79" width="5.7109375" style="44" customWidth="1"/>
    <col min="80" max="80" width="5.7109375" style="2" customWidth="1"/>
    <col min="81" max="81" width="9.7109375" style="64" customWidth="1"/>
    <col min="82" max="82" width="9.7109375" style="2" customWidth="1"/>
    <col min="83" max="83" width="3.7109375" style="2" customWidth="1"/>
    <col min="84" max="84" width="5.7109375" style="2" customWidth="1"/>
    <col min="85" max="86" width="9.7109375" style="2" customWidth="1"/>
    <col min="87" max="87" width="3.7109375" style="2" customWidth="1"/>
    <col min="88" max="88" width="6.7109375" style="2" customWidth="1"/>
    <col min="89" max="90" width="9.7109375" style="2" customWidth="1"/>
    <col min="91" max="91" width="5.7109375" style="2" customWidth="1"/>
    <col min="92" max="97" width="6.7109375" style="2" customWidth="1"/>
    <col min="98" max="98" width="5.7109375" style="2" customWidth="1"/>
    <col min="99" max="99" width="8.7109375" style="4" customWidth="1"/>
    <col min="100" max="101" width="10.7109375" style="4" customWidth="1"/>
    <col min="102" max="107" width="5.7109375" style="4" customWidth="1"/>
    <col min="108" max="108" width="10.7109375" style="4" customWidth="1"/>
    <col min="109" max="114" width="5.7109375" style="4" customWidth="1"/>
    <col min="115" max="115" width="40.7109375" style="2" customWidth="1"/>
    <col min="116" max="116" width="40.7109375" style="55" customWidth="1"/>
    <col min="117" max="117" width="9.140625" style="5"/>
    <col min="118" max="118" width="9.140625" style="136"/>
    <col min="119" max="16384" width="9.140625" style="4"/>
  </cols>
  <sheetData>
    <row r="1" spans="1:124" s="59" customFormat="1" ht="80.099999999999994" customHeight="1" thickBot="1" x14ac:dyDescent="0.25">
      <c r="A1" s="28"/>
      <c r="B1" s="57"/>
      <c r="C1" s="28"/>
      <c r="D1" s="28"/>
      <c r="E1" s="28"/>
      <c r="F1" s="28"/>
      <c r="G1" s="5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34" t="s">
        <v>145</v>
      </c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X1" s="28"/>
      <c r="AY1" s="28"/>
      <c r="AZ1" s="28"/>
      <c r="BA1" s="28"/>
      <c r="BB1" s="28"/>
      <c r="BH1" s="79"/>
      <c r="BI1" s="28"/>
      <c r="BJ1" s="28"/>
      <c r="BK1" s="28"/>
      <c r="BL1" s="28"/>
      <c r="BN1" s="43"/>
      <c r="BO1" s="60"/>
      <c r="BP1" s="61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DK1" s="64"/>
      <c r="DL1" s="88" t="s">
        <v>70</v>
      </c>
      <c r="DM1" s="89"/>
      <c r="DN1" s="167"/>
    </row>
    <row r="2" spans="1:124" s="59" customFormat="1" ht="24" customHeight="1" thickTop="1" thickBot="1" x14ac:dyDescent="0.25">
      <c r="A2" s="1"/>
      <c r="B2" s="29"/>
      <c r="C2" s="6"/>
      <c r="D2" s="7" t="s">
        <v>127</v>
      </c>
      <c r="E2" s="6"/>
      <c r="F2" s="8"/>
      <c r="G2" s="9"/>
      <c r="H2" s="10" t="s">
        <v>133</v>
      </c>
      <c r="I2" s="10"/>
      <c r="J2" s="62">
        <f>IF(H2="","",IF(AND(COUNTBLANK($BD$5:$BD$8)&lt;4,I10=1),$BO$5/$BO$10,0) + IF(AND(COUNTBLANK($BD$12:$BD$15)&lt;4,I17=1),$BO$5/$BO$17,0) + IF(AND(COUNTBLANK($BD$19:$BD$20)&lt;2,I22=1),$BO$5/$BO$22,0) + IF(AND(COUNTBLANK($BD$24:$BD$24)&lt;1,I26=1),$BO$5/$BO$26,0) + IF($BD$5="",0,IF(I28=2,$BO$7/$BP$28,0)) + IF($BD$5="",0,IF(I28=1,$BO$6/$BO$28,0)) + IF($BD$5="",0,IF(AND($BP$28=0,I28=1),$BO$7/$BO$28,0)) - $BO$3)</f>
        <v>-10</v>
      </c>
      <c r="K2" s="10"/>
      <c r="L2" s="10" t="s">
        <v>134</v>
      </c>
      <c r="M2" s="10"/>
      <c r="N2" s="62">
        <f>IF(L2="","",IF(AND(COUNTBLANK($BD$5:$BD$8)&lt;4,M10=1),$BO$5/$BO$10,0) + IF(AND(COUNTBLANK($BD$12:$BD$15)&lt;4,M17=1),$BO$5/$BO$17,0) + IF(AND(COUNTBLANK($BD$19:$BD$20)&lt;2,M22=1),$BO$5/$BO$22,0) + IF(AND(COUNTBLANK($BD$24:$BD$24)&lt;1,M26=1),$BO$5/$BO$26,0) + IF($BD$5="",0,IF(M28=2,$BO$7/$BP$28,0)) + IF($BD$5="",0,IF(M28=1,$BO$6/$BO$28,0)) + IF($BD$5="",0,IF(AND($BP$28=0,M28=1),$BO$7/$BO$28,0)) - $BO$3)</f>
        <v>0</v>
      </c>
      <c r="O2" s="10"/>
      <c r="P2" s="10" t="s">
        <v>135</v>
      </c>
      <c r="Q2" s="10"/>
      <c r="R2" s="62">
        <f>IF(P2="","",IF(AND(COUNTBLANK($BD$5:$BD$8)&lt;4,Q10=1),$BO$5/$BO$10,0) + IF(AND(COUNTBLANK($BD$12:$BD$15)&lt;4,Q17=1),$BO$5/$BO$17,0) + IF(AND(COUNTBLANK($BD$19:$BD$20)&lt;2,Q22=1),$BO$5/$BO$22,0) + IF(AND(COUNTBLANK($BD$24:$BD$24)&lt;1,Q26=1),$BO$5/$BO$26,0) + IF($BD$5="",0,IF(Q28=2,$BO$7/$BP$28,0)) + IF($BD$5="",0,IF(Q28=1,$BO$6/$BO$28,0)) + IF($BD$5="",0,IF(AND($BP$28=0,Q28=1),$BO$7/$BO$28,0)) - $BO$3)</f>
        <v>65</v>
      </c>
      <c r="S2" s="10"/>
      <c r="T2" s="10" t="s">
        <v>136</v>
      </c>
      <c r="U2" s="10"/>
      <c r="V2" s="62">
        <f>IF(T2="","",IF(AND(COUNTBLANK($BD$5:$BD$8)&lt;4,U10=1),$BO$5/$BO$10,0) + IF(AND(COUNTBLANK($BD$12:$BD$15)&lt;4,U17=1),$BO$5/$BO$17,0) + IF(AND(COUNTBLANK($BD$19:$BD$20)&lt;2,U22=1),$BO$5/$BO$22,0) + IF(AND(COUNTBLANK($BD$24:$BD$24)&lt;1,U26=1),$BO$5/$BO$26,0) + IF($BD$5="",0,IF(U28=2,$BO$7/$BP$28,0)) + IF($BD$5="",0,IF(U28=1,$BO$6/$BO$28,0)) + IF($BD$5="",0,IF(AND($BP$28=0,U28=1),$BO$7/$BO$28,0)) - $BO$3)</f>
        <v>-10</v>
      </c>
      <c r="W2" s="10"/>
      <c r="X2" s="10" t="s">
        <v>137</v>
      </c>
      <c r="Y2" s="10"/>
      <c r="Z2" s="62">
        <f>IF(X2="","",IF(AND(COUNTBLANK($BD$5:$BD$8)&lt;4,Y10=1),$BO$5/$BO$10,0) + IF(AND(COUNTBLANK($BD$12:$BD$15)&lt;4,Y17=1),$BO$5/$BO$17,0) + IF(AND(COUNTBLANK($BD$19:$BD$20)&lt;2,Y22=1),$BO$5/$BO$22,0) + IF(AND(COUNTBLANK($BD$24:$BD$24)&lt;1,Y26=1),$BO$5/$BO$26,0) + IF($BD$5="",0,IF(Y28=2,$BO$7/$BP$28,0)) + IF($BD$5="",0,IF(Y28=1,$BO$6/$BO$28,0)) + IF($BD$5="",0,IF(AND($BP$28=0,Y28=1),$BO$7/$BO$28,0)) - $BO$3)</f>
        <v>-10</v>
      </c>
      <c r="AA2" s="10"/>
      <c r="AB2" s="10" t="s">
        <v>138</v>
      </c>
      <c r="AC2" s="10"/>
      <c r="AD2" s="62">
        <f>IF(AB2="","",IF(AND(COUNTBLANK($BD$5:$BD$8)&lt;4,AC10=1),$BO$5/$BO$10,0) + IF(AND(COUNTBLANK($BD$12:$BD$15)&lt;4,AC17=1),$BO$5/$BO$17,0) + IF(AND(COUNTBLANK($BD$19:$BD$20)&lt;2,AC22=1),$BO$5/$BO$22,0) + IF(AND(COUNTBLANK($BD$24:$BD$24)&lt;1,AC26=1),$BO$5/$BO$26,0) + IF($BD$5="",0,IF(AC28=2,$BO$7/$BP$28,0)) + IF($BD$5="",0,IF(AC28=1,$BO$6/$BO$28,0)) + IF($BD$5="",0,IF(AND($BP$28=0,AC28=1),$BO$7/$BO$28,0)) - $BO$3)</f>
        <v>-10</v>
      </c>
      <c r="AE2" s="10"/>
      <c r="AF2" s="10" t="s">
        <v>139</v>
      </c>
      <c r="AG2" s="10"/>
      <c r="AH2" s="62">
        <f>IF(AF2="","",IF(AND(COUNTBLANK($BD$5:$BD$8)&lt;4,AG10=1),$BO$5/$BO$10,0) + IF(AND(COUNTBLANK($BD$12:$BD$15)&lt;4,AG17=1),$BO$5/$BO$17,0) + IF(AND(COUNTBLANK($BD$19:$BD$20)&lt;2,AG22=1),$BO$5/$BO$22,0) + IF(AND(COUNTBLANK($BD$24:$BD$24)&lt;1,AG26=1),$BO$5/$BO$26,0) + IF($BD$5="",0,IF(AG28=2,$BO$7/$BP$28,0)) + IF($BD$5="",0,IF(AG28=1,$BO$6/$BO$28,0)) + IF($BD$5="",0,IF(AND($BP$28=0,AG28=1),$BO$7/$BO$28,0)) - $BO$3)</f>
        <v>-10</v>
      </c>
      <c r="AI2" s="10"/>
      <c r="AJ2" s="10" t="s">
        <v>140</v>
      </c>
      <c r="AK2" s="10"/>
      <c r="AL2" s="62">
        <f>IF(AJ2="","",IF(AND(COUNTBLANK($BD$5:$BD$8)&lt;4,AK10=1),$BO$5/$BO$10,0) + IF(AND(COUNTBLANK($BD$12:$BD$15)&lt;4,AK17=1),$BO$5/$BO$17,0) + IF(AND(COUNTBLANK($BD$19:$BD$20)&lt;2,AK22=1),$BO$5/$BO$22,0) + IF(AND(COUNTBLANK($BD$24:$BD$24)&lt;1,AK26=1),$BO$5/$BO$26,0) + IF($BD$5="",0,IF(AK28=2,$BO$7/$BP$28,0)) + IF($BD$5="",0,IF(AK28=1,$BO$6/$BO$28,0)) + IF($BD$5="",0,IF(AND($BP$28=0,AK28=1),$BO$7/$BO$28,0)) - $BO$3)</f>
        <v>-10</v>
      </c>
      <c r="AM2" s="10"/>
      <c r="AN2" s="10" t="s">
        <v>141</v>
      </c>
      <c r="AO2" s="10"/>
      <c r="AP2" s="62">
        <f>IF(AN2="","",IF(AND(COUNTBLANK($BD$5:$BD$8)&lt;4,AO10=1),$BO$5/$BO$10,0) + IF(AND(COUNTBLANK($BD$12:$BD$15)&lt;4,AO17=1),$BO$5/$BO$17,0) + IF(AND(COUNTBLANK($BD$19:$BD$20)&lt;2,AO22=1),$BO$5/$BO$22,0) + IF(AND(COUNTBLANK($BD$24:$BD$24)&lt;1,AO26=1),$BO$5/$BO$26,0) + IF($BD$5="",0,IF(AO28=2,$BO$7/$BP$28,0)) + IF($BD$5="",0,IF(AO28=1,$BO$6/$BO$28,0)) + IF($BD$5="",0,IF(AND($BP$28=0,AO28=1),$BO$7/$BO$28,0)) - $BO$3)</f>
        <v>-10</v>
      </c>
      <c r="AQ2" s="10"/>
      <c r="AR2" s="10" t="s">
        <v>142</v>
      </c>
      <c r="AS2" s="10"/>
      <c r="AT2" s="62">
        <f>IF(AR2="","",IF(AND(COUNTBLANK($BD$5:$BD$8)&lt;4,AS10=1),$BO$5/$BO$10,0) + IF(AND(COUNTBLANK($BD$12:$BD$15)&lt;4,AS17=1),$BO$5/$BO$17,0) + IF(AND(COUNTBLANK($BD$19:$BD$20)&lt;2,AS22=1),$BO$5/$BO$22,0) + IF(AND(COUNTBLANK($BD$24:$BD$24)&lt;1,AS26=1),$BO$5/$BO$26,0) + IF($BD$5="",0,IF(AS28=2,$BO$7/$BP$28,0)) + IF($BD$5="",0,IF(AS28=1,$BO$6/$BO$28,0)) + IF($BD$5="",0,IF(AND($BP$28=0,AS28=1),$BO$7/$BO$28,0)) - $BO$3)</f>
        <v>15</v>
      </c>
      <c r="AU2" s="10"/>
      <c r="AV2" s="10" t="s">
        <v>143</v>
      </c>
      <c r="AW2" s="10"/>
      <c r="AX2" s="62">
        <f>IF(AV2="","",IF(AND(COUNTBLANK($BD$5:$BD$8)&lt;4,AW10=1),$BO$5/$BO$10,0) + IF(AND(COUNTBLANK($BD$12:$BD$15)&lt;4,AW17=1),$BO$5/$BO$17,0) + IF(AND(COUNTBLANK($BD$19:$BD$20)&lt;2,AW22=1),$BO$5/$BO$22,0) + IF(AND(COUNTBLANK($BD$24:$BD$24)&lt;1,AW26=1),$BO$5/$BO$26,0) + IF($BD$5="",0,IF(AW28=2,$BO$7/$BP$28,0)) + IF($BD$5="",0,IF(AW28=1,$BO$6/$BO$28,0)) + IF($BD$5="",0,IF(AND($BP$28=0,AW28=1),$BO$7/$BO$28,0)) - $BO$3)</f>
        <v>-10</v>
      </c>
      <c r="AY2" s="10"/>
      <c r="AZ2" s="10" t="s">
        <v>144</v>
      </c>
      <c r="BA2" s="10"/>
      <c r="BB2" s="63">
        <f>IF(AZ2="","",IF(AND(COUNTBLANK($BD$5:$BD$8)&lt;4,BA10=1),$BO$5/$BO$10,0) + IF(AND(COUNTBLANK($BD$12:$BD$15)&lt;4,BA17=1),$BO$5/$BO$17,0) + IF(AND(COUNTBLANK($BD$19:$BD$20)&lt;2,BA22=1),$BO$5/$BO$22,0) + IF(AND(COUNTBLANK($BD$24:$BD$24)&lt;1,BA26=1),$BO$5/$BO$26,0) + IF($BD$5="",0,IF(BA28=2,$BO$7/$BP$28,0)) + IF($BD$5="",0,IF(BA28=1,$BO$6/$BO$28,0)) + IF($BD$5="",0,IF(AND($BP$28=0,BA28=1),$BO$7/$BO$28,0)) - $BO$3)</f>
        <v>-10</v>
      </c>
      <c r="BE2" s="122" t="s">
        <v>11</v>
      </c>
      <c r="BH2" s="79"/>
      <c r="BI2" s="80"/>
      <c r="BJ2" s="10"/>
      <c r="BK2" s="10" t="s">
        <v>67</v>
      </c>
      <c r="BL2" s="63"/>
      <c r="BN2" s="43"/>
      <c r="BQ2" s="52"/>
      <c r="BR2" s="52"/>
      <c r="BS2" s="52"/>
      <c r="BT2" s="52"/>
      <c r="BU2" s="52"/>
      <c r="BV2" s="52"/>
      <c r="BW2" s="52"/>
      <c r="BX2" s="52"/>
      <c r="BY2" s="53"/>
      <c r="BZ2" s="53"/>
      <c r="CA2" s="40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DK2" s="64"/>
      <c r="DL2" s="90"/>
      <c r="DM2" s="91" t="s">
        <v>27</v>
      </c>
      <c r="DN2" s="91" t="s">
        <v>28</v>
      </c>
    </row>
    <row r="3" spans="1:124" s="59" customFormat="1" ht="24" customHeight="1" thickBot="1" x14ac:dyDescent="0.25">
      <c r="A3" s="5"/>
      <c r="B3" s="30"/>
      <c r="C3" s="31"/>
      <c r="D3" s="78" t="str">
        <f>$BP$32</f>
        <v>Week 4 Preliminary</v>
      </c>
      <c r="E3" s="32"/>
      <c r="F3" s="33"/>
      <c r="G3" s="11"/>
      <c r="H3" s="12" t="s">
        <v>4</v>
      </c>
      <c r="I3" s="13"/>
      <c r="J3" s="14" t="s">
        <v>1</v>
      </c>
      <c r="K3" s="11"/>
      <c r="L3" s="12" t="s">
        <v>4</v>
      </c>
      <c r="M3" s="13"/>
      <c r="N3" s="14" t="s">
        <v>1</v>
      </c>
      <c r="O3" s="11"/>
      <c r="P3" s="12" t="s">
        <v>4</v>
      </c>
      <c r="Q3" s="13"/>
      <c r="R3" s="14" t="s">
        <v>1</v>
      </c>
      <c r="S3" s="11"/>
      <c r="T3" s="12" t="s">
        <v>4</v>
      </c>
      <c r="U3" s="13"/>
      <c r="V3" s="14" t="s">
        <v>1</v>
      </c>
      <c r="W3" s="11"/>
      <c r="X3" s="12" t="s">
        <v>4</v>
      </c>
      <c r="Y3" s="13"/>
      <c r="Z3" s="14" t="s">
        <v>1</v>
      </c>
      <c r="AA3" s="11"/>
      <c r="AB3" s="12" t="s">
        <v>4</v>
      </c>
      <c r="AC3" s="13"/>
      <c r="AD3" s="14" t="s">
        <v>1</v>
      </c>
      <c r="AE3" s="11"/>
      <c r="AF3" s="12" t="s">
        <v>4</v>
      </c>
      <c r="AG3" s="13"/>
      <c r="AH3" s="14" t="s">
        <v>1</v>
      </c>
      <c r="AI3" s="11"/>
      <c r="AJ3" s="12" t="s">
        <v>4</v>
      </c>
      <c r="AK3" s="13"/>
      <c r="AL3" s="14" t="s">
        <v>1</v>
      </c>
      <c r="AM3" s="11"/>
      <c r="AN3" s="12" t="s">
        <v>4</v>
      </c>
      <c r="AO3" s="13"/>
      <c r="AP3" s="14" t="s">
        <v>1</v>
      </c>
      <c r="AQ3" s="11"/>
      <c r="AR3" s="12" t="s">
        <v>4</v>
      </c>
      <c r="AS3" s="13"/>
      <c r="AT3" s="14" t="s">
        <v>1</v>
      </c>
      <c r="AU3" s="11"/>
      <c r="AV3" s="12" t="s">
        <v>4</v>
      </c>
      <c r="AW3" s="13"/>
      <c r="AX3" s="14" t="s">
        <v>1</v>
      </c>
      <c r="AY3" s="11"/>
      <c r="AZ3" s="12" t="s">
        <v>4</v>
      </c>
      <c r="BA3" s="13"/>
      <c r="BB3" s="15" t="s">
        <v>1</v>
      </c>
      <c r="BE3" s="122" t="s">
        <v>25</v>
      </c>
      <c r="BH3" s="79"/>
      <c r="BI3" s="81"/>
      <c r="BJ3" s="12" t="s">
        <v>4</v>
      </c>
      <c r="BK3" s="13"/>
      <c r="BL3" s="15" t="s">
        <v>1</v>
      </c>
      <c r="BN3" s="43"/>
      <c r="BO3" s="50">
        <v>10</v>
      </c>
      <c r="BP3" s="51" t="s">
        <v>12</v>
      </c>
      <c r="BQ3" s="5"/>
      <c r="BR3" s="5"/>
      <c r="BS3" s="5"/>
      <c r="BT3" s="5"/>
      <c r="BU3" s="5"/>
      <c r="BV3" s="5"/>
      <c r="BW3" s="5"/>
      <c r="BX3" s="5"/>
      <c r="BY3" s="53"/>
      <c r="BZ3" s="53"/>
      <c r="CA3" s="41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DK3" s="64"/>
      <c r="DL3" s="92"/>
      <c r="DM3" s="93"/>
      <c r="DN3" s="93" t="s">
        <v>29</v>
      </c>
    </row>
    <row r="4" spans="1:124" s="59" customFormat="1" ht="24" customHeight="1" thickBot="1" x14ac:dyDescent="0.25">
      <c r="A4" s="3"/>
      <c r="B4" s="158" t="s">
        <v>111</v>
      </c>
      <c r="D4" s="16"/>
      <c r="E4" s="16"/>
      <c r="F4" s="17"/>
      <c r="G4" s="18"/>
      <c r="H4" s="18"/>
      <c r="I4" s="18"/>
      <c r="J4" s="18"/>
      <c r="K4" s="69" t="str">
        <f>IF($BO$9&lt;&gt;1,CONCATENATE("(week 1 combined scores are multiplied by ",$BO$9,")"),"")</f>
        <v/>
      </c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9"/>
      <c r="BD4" s="36"/>
      <c r="BE4" s="37"/>
      <c r="BF4" s="36"/>
      <c r="BG4" s="36"/>
      <c r="BH4" s="79"/>
      <c r="BI4" s="82"/>
      <c r="BJ4" s="18"/>
      <c r="BK4" s="18"/>
      <c r="BL4" s="19"/>
      <c r="BM4" s="36"/>
      <c r="BN4" s="43"/>
      <c r="BO4" s="50">
        <v>7</v>
      </c>
      <c r="BP4" s="51" t="s">
        <v>26</v>
      </c>
      <c r="BQ4" s="54"/>
      <c r="BR4" s="54"/>
      <c r="BS4" s="54"/>
      <c r="BT4" s="54"/>
      <c r="BU4" s="54"/>
      <c r="BV4" s="54"/>
      <c r="BW4" s="54"/>
      <c r="BX4" s="54"/>
      <c r="BY4" s="53"/>
      <c r="BZ4" s="53"/>
      <c r="CA4" s="42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DK4" s="64"/>
      <c r="DL4" s="166" t="s">
        <v>30</v>
      </c>
      <c r="DM4" s="121"/>
      <c r="DN4" s="121"/>
    </row>
    <row r="5" spans="1:124" s="59" customFormat="1" ht="15" customHeight="1" x14ac:dyDescent="0.2">
      <c r="A5" s="3"/>
      <c r="B5" s="186">
        <v>30</v>
      </c>
      <c r="C5" s="180" t="s">
        <v>146</v>
      </c>
      <c r="D5" s="38" t="s">
        <v>3</v>
      </c>
      <c r="E5" s="181" t="s">
        <v>150</v>
      </c>
      <c r="F5" s="187">
        <v>0</v>
      </c>
      <c r="G5" s="182" t="s">
        <v>9</v>
      </c>
      <c r="H5" s="94" t="s">
        <v>0</v>
      </c>
      <c r="I5" s="95">
        <v>5</v>
      </c>
      <c r="J5" s="20">
        <f>IF(OR(H$2="",G5="",I5=""),"",IF($BD5="","",IF(G5=$BD5,ABS(I5-$BF5),ABS(I5+$BF5))+IF(G5&lt;&gt;$BD5,$BO$4,0)))</f>
        <v>25</v>
      </c>
      <c r="K5" s="182" t="s">
        <v>9</v>
      </c>
      <c r="L5" s="94" t="s">
        <v>0</v>
      </c>
      <c r="M5" s="95">
        <v>14</v>
      </c>
      <c r="N5" s="20">
        <f>IF(OR(L$2="",K5="",M5=""),"",IF($BD5="","",IF(K5=$BD5,ABS(M5-$BF5),ABS(M5+$BF5))+IF(K5&lt;&gt;$BD5,$BO$4,0)))</f>
        <v>16</v>
      </c>
      <c r="O5" s="182" t="s">
        <v>9</v>
      </c>
      <c r="P5" s="94" t="s">
        <v>0</v>
      </c>
      <c r="Q5" s="95">
        <v>3</v>
      </c>
      <c r="R5" s="20">
        <f>IF(OR(P$2="",O5="",Q5=""),"",IF($BD5="","",IF(O5=$BD5,ABS(Q5-$BF5),ABS(Q5+$BF5))+IF(O5&lt;&gt;$BD5,$BO$4,0)))</f>
        <v>27</v>
      </c>
      <c r="S5" s="182" t="s">
        <v>9</v>
      </c>
      <c r="T5" s="94" t="s">
        <v>0</v>
      </c>
      <c r="U5" s="95">
        <v>4</v>
      </c>
      <c r="V5" s="20">
        <f>IF(OR(T$2="",S5="",U5=""),"",IF($BD5="","",IF(S5=$BD5,ABS(U5-$BF5),ABS(U5+$BF5))+IF(S5&lt;&gt;$BD5,$BO$4,0)))</f>
        <v>26</v>
      </c>
      <c r="W5" s="182" t="s">
        <v>9</v>
      </c>
      <c r="X5" s="94" t="s">
        <v>0</v>
      </c>
      <c r="Y5" s="95">
        <v>3</v>
      </c>
      <c r="Z5" s="20">
        <f>IF(OR(X$2="",W5="",Y5=""),"",IF($BD5="","",IF(W5=$BD5,ABS(Y5-$BF5),ABS(Y5+$BF5))+IF(W5&lt;&gt;$BD5,$BO$4,0)))</f>
        <v>27</v>
      </c>
      <c r="AA5" s="182" t="s">
        <v>9</v>
      </c>
      <c r="AB5" s="94" t="s">
        <v>0</v>
      </c>
      <c r="AC5" s="95">
        <v>7</v>
      </c>
      <c r="AD5" s="20">
        <f>IF(OR(AB$2="",AA5="",AC5=""),"",IF($BD5="","",IF(AA5=$BD5,ABS(AC5-$BF5),ABS(AC5+$BF5))+IF(AA5&lt;&gt;$BD5,$BO$4,0)))</f>
        <v>23</v>
      </c>
      <c r="AE5" s="182" t="s">
        <v>9</v>
      </c>
      <c r="AF5" s="94" t="s">
        <v>0</v>
      </c>
      <c r="AG5" s="95">
        <v>3</v>
      </c>
      <c r="AH5" s="20">
        <f>IF(OR(AF$2="",AE5="",AG5=""),"",IF($BD5="","",IF(AE5=$BD5,ABS(AG5-$BF5),ABS(AG5+$BF5))+IF(AE5&lt;&gt;$BD5,$BO$4,0)))</f>
        <v>27</v>
      </c>
      <c r="AI5" s="182" t="s">
        <v>9</v>
      </c>
      <c r="AJ5" s="94" t="s">
        <v>0</v>
      </c>
      <c r="AK5" s="95">
        <v>5</v>
      </c>
      <c r="AL5" s="20">
        <f>IF(OR(AJ$2="",AI5="",AK5=""),"",IF($BD5="","",IF(AI5=$BD5,ABS(AK5-$BF5),ABS(AK5+$BF5))+IF(AI5&lt;&gt;$BD5,$BO$4,0)))</f>
        <v>25</v>
      </c>
      <c r="AM5" s="182" t="s">
        <v>9</v>
      </c>
      <c r="AN5" s="94" t="s">
        <v>0</v>
      </c>
      <c r="AO5" s="95">
        <v>7</v>
      </c>
      <c r="AP5" s="20">
        <f>IF(OR(AN$2="",AM5="",AO5=""),"",IF($BD5="","",IF(AM5=$BD5,ABS(AO5-$BF5),ABS(AO5+$BF5))+IF(AM5&lt;&gt;$BD5,$BO$4,0)))</f>
        <v>23</v>
      </c>
      <c r="AQ5" s="182" t="s">
        <v>9</v>
      </c>
      <c r="AR5" s="94" t="s">
        <v>0</v>
      </c>
      <c r="AS5" s="95">
        <v>3</v>
      </c>
      <c r="AT5" s="20">
        <f>IF(OR(AR$2="",AQ5="",AS5=""),"",IF($BD5="","",IF(AQ5=$BD5,ABS(AS5-$BF5),ABS(AS5+$BF5))+IF(AQ5&lt;&gt;$BD5,$BO$4,0)))</f>
        <v>27</v>
      </c>
      <c r="AU5" s="182" t="s">
        <v>9</v>
      </c>
      <c r="AV5" s="94" t="s">
        <v>0</v>
      </c>
      <c r="AW5" s="95">
        <v>7</v>
      </c>
      <c r="AX5" s="20">
        <f>IF(OR(AV$2="",AU5="",AW5=""),"",IF($BD5="","",IF(AU5=$BD5,ABS(AW5-$BF5),ABS(AW5+$BF5))+IF(AU5&lt;&gt;$BD5,$BO$4,0)))</f>
        <v>23</v>
      </c>
      <c r="AY5" s="182" t="s">
        <v>9</v>
      </c>
      <c r="AZ5" s="94" t="s">
        <v>0</v>
      </c>
      <c r="BA5" s="95">
        <v>3</v>
      </c>
      <c r="BB5" s="21">
        <f>IF(OR(AZ$2="",AY5="",BA5=""),"",IF($BD5="","",IF(AY5=$BD5,ABS(BA5-$BF5),ABS(BA5+$BF5))+IF(AY5&lt;&gt;$BD5,$BO$4,0)))</f>
        <v>27</v>
      </c>
      <c r="BD5" s="35" t="str">
        <f>IF(OR(B5="",F5="",B5=F5),"",IF(B5&gt;F5,"V","H"))</f>
        <v>V</v>
      </c>
      <c r="BE5" s="35" t="s">
        <v>0</v>
      </c>
      <c r="BF5" s="35">
        <f>IF(OR(B5="",F5="",B5=F5),"",ABS(B5-F5))</f>
        <v>30</v>
      </c>
      <c r="BG5" s="35"/>
      <c r="BH5" s="79">
        <f>SUM(I5,M5,Q5,U5,Y5,AC5,AG5,AK5,AO5,AS5,AW5,BA5) + IF(G5="V",-(2*I5)) + IF(K5="V",-(2*M5)) + IF(O5="V",-(2*Q5)) + IF(S5="V",-(2*U5)) + IF(W5="V",-(2*Y5)) + IF(AA5="V",-(2*AC5)) + IF(AE5="V",-(2*AG5)) + IF(AI5="V",-(2*AK5)) + IF(AM5="V",-(2*AO5)) + IF(AQ5="V",-(2*AS5)) + IF(AU5="V",-(2*AW5)) + IF(AY5="V",-(2*BA5))</f>
        <v>-64</v>
      </c>
      <c r="BI5" s="96" t="str">
        <f>IF(COUNTA(G5,K5,O5,S5,W5,AA5,AE5,AI5,AM5,AQ5,AU5,AY5)&gt;0,IF(BH5&lt;0,"V","H"),"")</f>
        <v>V</v>
      </c>
      <c r="BJ5" s="94" t="s">
        <v>0</v>
      </c>
      <c r="BK5" s="95">
        <f>IF(BI5="","",ROUND(IF(BH5=0,1,ABS(BH5)/COUNTA(G5,K5,O5,S5,W5,AA5,AE5,AI5,AM5,AQ5,AU5,AY5)),0))</f>
        <v>5</v>
      </c>
      <c r="BL5" s="21">
        <f>IF(OR(BI5="",BK5=""),"",IF($BD5="","",IF(BI5=$BD5,ABS(BK5-$BF5),ABS(BK5+$BF5))+IF(BI5&lt;&gt;$BD5,$BO$4,0)))</f>
        <v>25</v>
      </c>
      <c r="BM5" s="35"/>
      <c r="BN5" s="43"/>
      <c r="BO5" s="50">
        <v>10</v>
      </c>
      <c r="BP5" s="51" t="s">
        <v>17</v>
      </c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4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DK5" s="64"/>
      <c r="DL5" s="161" t="str">
        <f>CONCATENATE($DM$2,$G$5,$DN$2)</f>
        <v xml:space="preserve">   "V",</v>
      </c>
      <c r="DM5" s="121"/>
      <c r="DN5" s="121"/>
    </row>
    <row r="6" spans="1:124" s="59" customFormat="1" ht="15" customHeight="1" x14ac:dyDescent="0.2">
      <c r="A6" s="3"/>
      <c r="B6" s="188">
        <v>18</v>
      </c>
      <c r="C6" s="183" t="s">
        <v>147</v>
      </c>
      <c r="D6" s="39" t="s">
        <v>3</v>
      </c>
      <c r="E6" s="184" t="s">
        <v>151</v>
      </c>
      <c r="F6" s="189">
        <v>16</v>
      </c>
      <c r="G6" s="182" t="s">
        <v>9</v>
      </c>
      <c r="H6" s="94" t="s">
        <v>0</v>
      </c>
      <c r="I6" s="95">
        <v>1</v>
      </c>
      <c r="J6" s="20">
        <f>IF(OR(H$2="",G6="",I6=""),"",IF($BD6="","",IF(G6=$BD6,ABS(I6-$BF6),ABS(I6+$BF6))+IF(G6&lt;&gt;$BD6,$BO$4,0)))</f>
        <v>1</v>
      </c>
      <c r="K6" s="182" t="s">
        <v>9</v>
      </c>
      <c r="L6" s="94" t="s">
        <v>0</v>
      </c>
      <c r="M6" s="95">
        <v>7</v>
      </c>
      <c r="N6" s="20">
        <f>IF(OR(L$2="",K6="",M6=""),"",IF($BD6="","",IF(K6=$BD6,ABS(M6-$BF6),ABS(M6+$BF6))+IF(K6&lt;&gt;$BD6,$BO$4,0)))</f>
        <v>5</v>
      </c>
      <c r="O6" s="182" t="s">
        <v>9</v>
      </c>
      <c r="P6" s="94" t="s">
        <v>0</v>
      </c>
      <c r="Q6" s="95">
        <v>2</v>
      </c>
      <c r="R6" s="20">
        <f>IF(OR(P$2="",O6="",Q6=""),"",IF($BD6="","",IF(O6=$BD6,ABS(Q6-$BF6),ABS(Q6+$BF6))+IF(O6&lt;&gt;$BD6,$BO$4,0)))</f>
        <v>0</v>
      </c>
      <c r="S6" s="182" t="s">
        <v>9</v>
      </c>
      <c r="T6" s="94" t="s">
        <v>0</v>
      </c>
      <c r="U6" s="95">
        <v>11</v>
      </c>
      <c r="V6" s="20">
        <f>IF(OR(T$2="",S6="",U6=""),"",IF($BD6="","",IF(S6=$BD6,ABS(U6-$BF6),ABS(U6+$BF6))+IF(S6&lt;&gt;$BD6,$BO$4,0)))</f>
        <v>9</v>
      </c>
      <c r="W6" s="182" t="s">
        <v>9</v>
      </c>
      <c r="X6" s="94" t="s">
        <v>0</v>
      </c>
      <c r="Y6" s="95">
        <v>10</v>
      </c>
      <c r="Z6" s="20">
        <f>IF(OR(X$2="",W6="",Y6=""),"",IF($BD6="","",IF(W6=$BD6,ABS(Y6-$BF6),ABS(Y6+$BF6))+IF(W6&lt;&gt;$BD6,$BO$4,0)))</f>
        <v>8</v>
      </c>
      <c r="AA6" s="182" t="s">
        <v>10</v>
      </c>
      <c r="AB6" s="94" t="s">
        <v>0</v>
      </c>
      <c r="AC6" s="95">
        <v>3</v>
      </c>
      <c r="AD6" s="20">
        <f>IF(OR(AB$2="",AA6="",AC6=""),"",IF($BD6="","",IF(AA6=$BD6,ABS(AC6-$BF6),ABS(AC6+$BF6))+IF(AA6&lt;&gt;$BD6,$BO$4,0)))</f>
        <v>12</v>
      </c>
      <c r="AE6" s="182" t="s">
        <v>9</v>
      </c>
      <c r="AF6" s="94" t="s">
        <v>0</v>
      </c>
      <c r="AG6" s="95">
        <v>7</v>
      </c>
      <c r="AH6" s="20">
        <f>IF(OR(AF$2="",AE6="",AG6=""),"",IF($BD6="","",IF(AE6=$BD6,ABS(AG6-$BF6),ABS(AG6+$BF6))+IF(AE6&lt;&gt;$BD6,$BO$4,0)))</f>
        <v>5</v>
      </c>
      <c r="AI6" s="182" t="s">
        <v>10</v>
      </c>
      <c r="AJ6" s="94" t="s">
        <v>0</v>
      </c>
      <c r="AK6" s="95">
        <v>3</v>
      </c>
      <c r="AL6" s="20">
        <f>IF(OR(AJ$2="",AI6="",AK6=""),"",IF($BD6="","",IF(AI6=$BD6,ABS(AK6-$BF6),ABS(AK6+$BF6))+IF(AI6&lt;&gt;$BD6,$BO$4,0)))</f>
        <v>12</v>
      </c>
      <c r="AM6" s="182" t="s">
        <v>10</v>
      </c>
      <c r="AN6" s="94" t="s">
        <v>0</v>
      </c>
      <c r="AO6" s="95">
        <v>1</v>
      </c>
      <c r="AP6" s="20">
        <f>IF(OR(AN$2="",AM6="",AO6=""),"",IF($BD6="","",IF(AM6=$BD6,ABS(AO6-$BF6),ABS(AO6+$BF6))+IF(AM6&lt;&gt;$BD6,$BO$4,0)))</f>
        <v>10</v>
      </c>
      <c r="AQ6" s="182" t="s">
        <v>9</v>
      </c>
      <c r="AR6" s="94" t="s">
        <v>0</v>
      </c>
      <c r="AS6" s="95">
        <v>3</v>
      </c>
      <c r="AT6" s="20">
        <f>IF(OR(AR$2="",AQ6="",AS6=""),"",IF($BD6="","",IF(AQ6=$BD6,ABS(AS6-$BF6),ABS(AS6+$BF6))+IF(AQ6&lt;&gt;$BD6,$BO$4,0)))</f>
        <v>1</v>
      </c>
      <c r="AU6" s="182" t="s">
        <v>9</v>
      </c>
      <c r="AV6" s="94" t="s">
        <v>0</v>
      </c>
      <c r="AW6" s="95">
        <v>7</v>
      </c>
      <c r="AX6" s="20">
        <f>IF(OR(AV$2="",AU6="",AW6=""),"",IF($BD6="","",IF(AU6=$BD6,ABS(AW6-$BF6),ABS(AW6+$BF6))+IF(AU6&lt;&gt;$BD6,$BO$4,0)))</f>
        <v>5</v>
      </c>
      <c r="AY6" s="182" t="s">
        <v>9</v>
      </c>
      <c r="AZ6" s="94" t="s">
        <v>0</v>
      </c>
      <c r="BA6" s="95">
        <v>7</v>
      </c>
      <c r="BB6" s="22">
        <f>IF(OR(AZ$2="",AY6="",BA6=""),"",IF($BD6="","",IF(AY6=$BD6,ABS(BA6-$BF6),ABS(BA6+$BF6))+IF(AY6&lt;&gt;$BD6,$BO$4,0)))</f>
        <v>5</v>
      </c>
      <c r="BD6" s="35" t="str">
        <f>IF(OR(B6="",F6="",B6=F6),"",IF(B6&gt;F6,"V","H"))</f>
        <v>V</v>
      </c>
      <c r="BE6" s="35" t="s">
        <v>0</v>
      </c>
      <c r="BF6" s="35">
        <f>IF(OR(B6="",F6="",B6=F6),"",ABS(B6-F6))</f>
        <v>2</v>
      </c>
      <c r="BG6" s="35"/>
      <c r="BH6" s="79">
        <f>SUM(I6,M6,Q6,U6,Y6,AC6,AG6,AK6,AO6,AS6,AW6,BA6) + IF(G6="V",-(2*I6)) + IF(K6="V",-(2*M6)) + IF(O6="V",-(2*Q6)) + IF(S6="V",-(2*U6)) + IF(W6="V",-(2*Y6)) + IF(AA6="V",-(2*AC6)) + IF(AE6="V",-(2*AG6)) + IF(AI6="V",-(2*AK6)) + IF(AM6="V",-(2*AO6)) + IF(AQ6="V",-(2*AS6)) + IF(AU6="V",-(2*AW6)) + IF(AY6="V",-(2*BA6))</f>
        <v>-48</v>
      </c>
      <c r="BI6" s="96" t="str">
        <f>IF(COUNTA(G6,K6,O6,S6,W6,AA6,AE6,AI6,AM6,AQ6,AU6,AY6)&gt;0,IF(BH6&lt;0,"V","H"),"")</f>
        <v>V</v>
      </c>
      <c r="BJ6" s="94" t="s">
        <v>0</v>
      </c>
      <c r="BK6" s="95">
        <f>IF(BI6="","",ROUND(IF(BH6=0,1,ABS(BH6)/COUNTA(G6,K6,O6,S6,W6,AA6,AE6,AI6,AM6,AQ6,AU6,AY6)),0))</f>
        <v>4</v>
      </c>
      <c r="BL6" s="22">
        <f>IF(OR(BI6="",BK6=""),"",IF($BD6="","",IF(BI6=$BD6,ABS(BK6-$BF6),ABS(BK6+$BF6))+IF(BI6&lt;&gt;$BD6,$BO$4,0)))</f>
        <v>2</v>
      </c>
      <c r="BM6" s="35"/>
      <c r="BN6" s="43"/>
      <c r="BO6" s="50">
        <f>LOOKUP(COUNTIF((G57:R57),0),{0,1,2,3,4,5,6,7,8,9,10,11,12},{120,110,100,90,80,70,40,50,40,30,20,10}) - BO7 - 4*BO5</f>
        <v>60</v>
      </c>
      <c r="BP6" s="51" t="s">
        <v>19</v>
      </c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42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DK6" s="64"/>
      <c r="DL6" s="161" t="str">
        <f>CONCATENATE($DM$2,$G$6,$DN$2)</f>
        <v xml:space="preserve">   "V",</v>
      </c>
      <c r="DM6" s="121"/>
      <c r="DN6" s="121"/>
    </row>
    <row r="7" spans="1:124" s="59" customFormat="1" ht="15" customHeight="1" x14ac:dyDescent="0.2">
      <c r="A7" s="3"/>
      <c r="B7" s="188">
        <v>10</v>
      </c>
      <c r="C7" s="183" t="s">
        <v>148</v>
      </c>
      <c r="D7" s="39" t="s">
        <v>3</v>
      </c>
      <c r="E7" s="184" t="s">
        <v>152</v>
      </c>
      <c r="F7" s="189">
        <v>9</v>
      </c>
      <c r="G7" s="182" t="s">
        <v>9</v>
      </c>
      <c r="H7" s="94" t="s">
        <v>0</v>
      </c>
      <c r="I7" s="95">
        <v>5</v>
      </c>
      <c r="J7" s="20">
        <f>IF(OR(H$2="",G7="",I7=""),"",IF($BD7="","",IF(G7=$BD7,ABS(I7-$BF7),ABS(I7+$BF7))+IF(G7&lt;&gt;$BD7,$BO$4,0)))</f>
        <v>4</v>
      </c>
      <c r="K7" s="182" t="s">
        <v>10</v>
      </c>
      <c r="L7" s="94" t="s">
        <v>0</v>
      </c>
      <c r="M7" s="95">
        <v>11</v>
      </c>
      <c r="N7" s="20">
        <f>IF(OR(L$2="",K7="",M7=""),"",IF($BD7="","",IF(K7=$BD7,ABS(M7-$BF7),ABS(M7+$BF7))+IF(K7&lt;&gt;$BD7,$BO$4,0)))</f>
        <v>19</v>
      </c>
      <c r="O7" s="182" t="s">
        <v>9</v>
      </c>
      <c r="P7" s="94" t="s">
        <v>0</v>
      </c>
      <c r="Q7" s="95">
        <v>5</v>
      </c>
      <c r="R7" s="20">
        <f>IF(OR(P$2="",O7="",Q7=""),"",IF($BD7="","",IF(O7=$BD7,ABS(Q7-$BF7),ABS(Q7+$BF7))+IF(O7&lt;&gt;$BD7,$BO$4,0)))</f>
        <v>4</v>
      </c>
      <c r="S7" s="182" t="s">
        <v>9</v>
      </c>
      <c r="T7" s="94" t="s">
        <v>0</v>
      </c>
      <c r="U7" s="95">
        <v>13</v>
      </c>
      <c r="V7" s="20">
        <f>IF(OR(T$2="",S7="",U7=""),"",IF($BD7="","",IF(S7=$BD7,ABS(U7-$BF7),ABS(U7+$BF7))+IF(S7&lt;&gt;$BD7,$BO$4,0)))</f>
        <v>12</v>
      </c>
      <c r="W7" s="182" t="s">
        <v>9</v>
      </c>
      <c r="X7" s="94" t="s">
        <v>0</v>
      </c>
      <c r="Y7" s="95">
        <v>7</v>
      </c>
      <c r="Z7" s="20">
        <f>IF(OR(X$2="",W7="",Y7=""),"",IF($BD7="","",IF(W7=$BD7,ABS(Y7-$BF7),ABS(Y7+$BF7))+IF(W7&lt;&gt;$BD7,$BO$4,0)))</f>
        <v>6</v>
      </c>
      <c r="AA7" s="182" t="s">
        <v>9</v>
      </c>
      <c r="AB7" s="94" t="s">
        <v>0</v>
      </c>
      <c r="AC7" s="95">
        <v>10</v>
      </c>
      <c r="AD7" s="20">
        <f>IF(OR(AB$2="",AA7="",AC7=""),"",IF($BD7="","",IF(AA7=$BD7,ABS(AC7-$BF7),ABS(AC7+$BF7))+IF(AA7&lt;&gt;$BD7,$BO$4,0)))</f>
        <v>9</v>
      </c>
      <c r="AE7" s="182" t="s">
        <v>9</v>
      </c>
      <c r="AF7" s="94" t="s">
        <v>0</v>
      </c>
      <c r="AG7" s="95">
        <v>7</v>
      </c>
      <c r="AH7" s="20">
        <f>IF(OR(AF$2="",AE7="",AG7=""),"",IF($BD7="","",IF(AE7=$BD7,ABS(AG7-$BF7),ABS(AG7+$BF7))+IF(AE7&lt;&gt;$BD7,$BO$4,0)))</f>
        <v>6</v>
      </c>
      <c r="AI7" s="182" t="s">
        <v>10</v>
      </c>
      <c r="AJ7" s="94" t="s">
        <v>0</v>
      </c>
      <c r="AK7" s="95">
        <v>6</v>
      </c>
      <c r="AL7" s="20">
        <f>IF(OR(AJ$2="",AI7="",AK7=""),"",IF($BD7="","",IF(AI7=$BD7,ABS(AK7-$BF7),ABS(AK7+$BF7))+IF(AI7&lt;&gt;$BD7,$BO$4,0)))</f>
        <v>14</v>
      </c>
      <c r="AM7" s="182" t="s">
        <v>10</v>
      </c>
      <c r="AN7" s="94" t="s">
        <v>0</v>
      </c>
      <c r="AO7" s="95">
        <v>1</v>
      </c>
      <c r="AP7" s="20">
        <f>IF(OR(AN$2="",AM7="",AO7=""),"",IF($BD7="","",IF(AM7=$BD7,ABS(AO7-$BF7),ABS(AO7+$BF7))+IF(AM7&lt;&gt;$BD7,$BO$4,0)))</f>
        <v>9</v>
      </c>
      <c r="AQ7" s="182" t="s">
        <v>9</v>
      </c>
      <c r="AR7" s="94" t="s">
        <v>0</v>
      </c>
      <c r="AS7" s="95">
        <v>5</v>
      </c>
      <c r="AT7" s="20">
        <f>IF(OR(AR$2="",AQ7="",AS7=""),"",IF($BD7="","",IF(AQ7=$BD7,ABS(AS7-$BF7),ABS(AS7+$BF7))+IF(AQ7&lt;&gt;$BD7,$BO$4,0)))</f>
        <v>4</v>
      </c>
      <c r="AU7" s="182" t="s">
        <v>9</v>
      </c>
      <c r="AV7" s="94" t="s">
        <v>0</v>
      </c>
      <c r="AW7" s="95">
        <v>10</v>
      </c>
      <c r="AX7" s="20">
        <f>IF(OR(AV$2="",AU7="",AW7=""),"",IF($BD7="","",IF(AU7=$BD7,ABS(AW7-$BF7),ABS(AW7+$BF7))+IF(AU7&lt;&gt;$BD7,$BO$4,0)))</f>
        <v>9</v>
      </c>
      <c r="AY7" s="182" t="s">
        <v>10</v>
      </c>
      <c r="AZ7" s="94" t="s">
        <v>0</v>
      </c>
      <c r="BA7" s="95">
        <v>1</v>
      </c>
      <c r="BB7" s="22">
        <f>IF(OR(AZ$2="",AY7="",BA7=""),"",IF($BD7="","",IF(AY7=$BD7,ABS(BA7-$BF7),ABS(BA7+$BF7))+IF(AY7&lt;&gt;$BD7,$BO$4,0)))</f>
        <v>9</v>
      </c>
      <c r="BD7" s="35" t="str">
        <f>IF(OR(B7="",F7="",B7=F7),"",IF(B7&gt;F7,"V","H"))</f>
        <v>V</v>
      </c>
      <c r="BE7" s="35" t="s">
        <v>0</v>
      </c>
      <c r="BF7" s="35">
        <f>IF(OR(B7="",F7="",B7=F7),"",ABS(B7-F7))</f>
        <v>1</v>
      </c>
      <c r="BG7" s="35"/>
      <c r="BH7" s="79">
        <f>SUM(I7,M7,Q7,U7,Y7,AC7,AG7,AK7,AO7,AS7,AW7,BA7) + IF(G7="V",-(2*I7)) + IF(K7="V",-(2*M7)) + IF(O7="V",-(2*Q7)) + IF(S7="V",-(2*U7)) + IF(W7="V",-(2*Y7)) + IF(AA7="V",-(2*AC7)) + IF(AE7="V",-(2*AG7)) + IF(AI7="V",-(2*AK7)) + IF(AM7="V",-(2*AO7)) + IF(AQ7="V",-(2*AS7)) + IF(AU7="V",-(2*AW7)) + IF(AY7="V",-(2*BA7))</f>
        <v>-43</v>
      </c>
      <c r="BI7" s="96" t="str">
        <f>IF(COUNTA(G7,K7,O7,S7,W7,AA7,AE7,AI7,AM7,AQ7,AU7,AY7)&gt;0,IF(BH7&lt;0,"V","H"),"")</f>
        <v>V</v>
      </c>
      <c r="BJ7" s="94" t="s">
        <v>0</v>
      </c>
      <c r="BK7" s="95">
        <f>IF(BI7="","",ROUND(IF(BH7=0,1,ABS(BH7)/COUNTA(G7,K7,O7,S7,W7,AA7,AE7,AI7,AM7,AQ7,AU7,AY7)),0))</f>
        <v>4</v>
      </c>
      <c r="BL7" s="22">
        <f>IF(OR(BI7="",BK7=""),"",IF($BD7="","",IF(BI7=$BD7,ABS(BK7-$BF7),ABS(BK7+$BF7))+IF(BI7&lt;&gt;$BD7,$BO$4,0)))</f>
        <v>3</v>
      </c>
      <c r="BM7" s="35"/>
      <c r="BN7" s="43"/>
      <c r="BO7" s="50">
        <v>20</v>
      </c>
      <c r="BP7" s="51" t="s">
        <v>18</v>
      </c>
      <c r="BQ7" s="54"/>
      <c r="BR7" s="54"/>
      <c r="BS7" s="54"/>
      <c r="BT7" s="54"/>
      <c r="BU7" s="54"/>
      <c r="BV7" s="54"/>
      <c r="BW7" s="54"/>
      <c r="BX7" s="53"/>
      <c r="BY7" s="53"/>
      <c r="BZ7" s="54"/>
      <c r="CA7" s="42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DK7" s="64"/>
      <c r="DL7" s="161" t="str">
        <f>CONCATENATE($DM$2,$G$7,$DN$2)</f>
        <v xml:space="preserve">   "V",</v>
      </c>
      <c r="DM7" s="121"/>
      <c r="DN7" s="121"/>
      <c r="DO7" s="59" t="str">
        <f ca="1">CONCATENATE("      var post_season_visiting_teams = [",OFFSET($DO$11,$BO$36,0),"];")</f>
        <v xml:space="preserve">      var post_season_visiting_teams = ["Panthers"];</v>
      </c>
    </row>
    <row r="8" spans="1:124" s="59" customFormat="1" ht="15" customHeight="1" x14ac:dyDescent="0.2">
      <c r="A8" s="3"/>
      <c r="B8" s="188">
        <v>35</v>
      </c>
      <c r="C8" s="183" t="s">
        <v>149</v>
      </c>
      <c r="D8" s="39" t="s">
        <v>3</v>
      </c>
      <c r="E8" s="184" t="s">
        <v>153</v>
      </c>
      <c r="F8" s="189">
        <v>18</v>
      </c>
      <c r="G8" s="182" t="s">
        <v>9</v>
      </c>
      <c r="H8" s="94" t="s">
        <v>0</v>
      </c>
      <c r="I8" s="95">
        <v>1</v>
      </c>
      <c r="J8" s="20">
        <f>IF(OR(H$2="",G8="",I8=""),"",IF($BD8="","",IF(G8=$BD8,ABS(I8-$BF8),ABS(I8+$BF8))+IF(G8&lt;&gt;$BD8,$BO$4,0)))</f>
        <v>16</v>
      </c>
      <c r="K8" s="182" t="s">
        <v>10</v>
      </c>
      <c r="L8" s="94" t="s">
        <v>0</v>
      </c>
      <c r="M8" s="95">
        <v>10</v>
      </c>
      <c r="N8" s="20">
        <f>IF(OR(L$2="",K8="",M8=""),"",IF($BD8="","",IF(K8=$BD8,ABS(M8-$BF8),ABS(M8+$BF8))+IF(K8&lt;&gt;$BD8,$BO$4,0)))</f>
        <v>34</v>
      </c>
      <c r="O8" s="182" t="s">
        <v>9</v>
      </c>
      <c r="P8" s="94" t="s">
        <v>0</v>
      </c>
      <c r="Q8" s="95">
        <v>5</v>
      </c>
      <c r="R8" s="20">
        <f>IF(OR(P$2="",O8="",Q8=""),"",IF($BD8="","",IF(O8=$BD8,ABS(Q8-$BF8),ABS(Q8+$BF8))+IF(O8&lt;&gt;$BD8,$BO$4,0)))</f>
        <v>12</v>
      </c>
      <c r="S8" s="182" t="s">
        <v>9</v>
      </c>
      <c r="T8" s="94" t="s">
        <v>0</v>
      </c>
      <c r="U8" s="95">
        <v>3</v>
      </c>
      <c r="V8" s="20">
        <f>IF(OR(T$2="",S8="",U8=""),"",IF($BD8="","",IF(S8=$BD8,ABS(U8-$BF8),ABS(U8+$BF8))+IF(S8&lt;&gt;$BD8,$BO$4,0)))</f>
        <v>14</v>
      </c>
      <c r="W8" s="182" t="s">
        <v>10</v>
      </c>
      <c r="X8" s="94" t="s">
        <v>0</v>
      </c>
      <c r="Y8" s="95">
        <v>3</v>
      </c>
      <c r="Z8" s="20">
        <f>IF(OR(X$2="",W8="",Y8=""),"",IF($BD8="","",IF(W8=$BD8,ABS(Y8-$BF8),ABS(Y8+$BF8))+IF(W8&lt;&gt;$BD8,$BO$4,0)))</f>
        <v>27</v>
      </c>
      <c r="AA8" s="182" t="s">
        <v>10</v>
      </c>
      <c r="AB8" s="94" t="s">
        <v>0</v>
      </c>
      <c r="AC8" s="95">
        <v>10</v>
      </c>
      <c r="AD8" s="20">
        <f>IF(OR(AB$2="",AA8="",AC8=""),"",IF($BD8="","",IF(AA8=$BD8,ABS(AC8-$BF8),ABS(AC8+$BF8))+IF(AA8&lt;&gt;$BD8,$BO$4,0)))</f>
        <v>34</v>
      </c>
      <c r="AE8" s="182" t="s">
        <v>10</v>
      </c>
      <c r="AF8" s="94" t="s">
        <v>0</v>
      </c>
      <c r="AG8" s="95">
        <v>3</v>
      </c>
      <c r="AH8" s="20">
        <f>IF(OR(AF$2="",AE8="",AG8=""),"",IF($BD8="","",IF(AE8=$BD8,ABS(AG8-$BF8),ABS(AG8+$BF8))+IF(AE8&lt;&gt;$BD8,$BO$4,0)))</f>
        <v>27</v>
      </c>
      <c r="AI8" s="182" t="s">
        <v>9</v>
      </c>
      <c r="AJ8" s="94" t="s">
        <v>0</v>
      </c>
      <c r="AK8" s="95">
        <v>9</v>
      </c>
      <c r="AL8" s="20">
        <f>IF(OR(AJ$2="",AI8="",AK8=""),"",IF($BD8="","",IF(AI8=$BD8,ABS(AK8-$BF8),ABS(AK8+$BF8))+IF(AI8&lt;&gt;$BD8,$BO$4,0)))</f>
        <v>8</v>
      </c>
      <c r="AM8" s="182" t="s">
        <v>10</v>
      </c>
      <c r="AN8" s="94" t="s">
        <v>0</v>
      </c>
      <c r="AO8" s="95">
        <v>3</v>
      </c>
      <c r="AP8" s="20">
        <f>IF(OR(AN$2="",AM8="",AO8=""),"",IF($BD8="","",IF(AM8=$BD8,ABS(AO8-$BF8),ABS(AO8+$BF8))+IF(AM8&lt;&gt;$BD8,$BO$4,0)))</f>
        <v>27</v>
      </c>
      <c r="AQ8" s="182" t="s">
        <v>10</v>
      </c>
      <c r="AR8" s="94" t="s">
        <v>0</v>
      </c>
      <c r="AS8" s="95">
        <v>1</v>
      </c>
      <c r="AT8" s="20">
        <f>IF(OR(AR$2="",AQ8="",AS8=""),"",IF($BD8="","",IF(AQ8=$BD8,ABS(AS8-$BF8),ABS(AS8+$BF8))+IF(AQ8&lt;&gt;$BD8,$BO$4,0)))</f>
        <v>25</v>
      </c>
      <c r="AU8" s="182" t="s">
        <v>10</v>
      </c>
      <c r="AV8" s="94" t="s">
        <v>0</v>
      </c>
      <c r="AW8" s="95">
        <v>7</v>
      </c>
      <c r="AX8" s="20">
        <f>IF(OR(AV$2="",AU8="",AW8=""),"",IF($BD8="","",IF(AU8=$BD8,ABS(AW8-$BF8),ABS(AW8+$BF8))+IF(AU8&lt;&gt;$BD8,$BO$4,0)))</f>
        <v>31</v>
      </c>
      <c r="AY8" s="182" t="s">
        <v>9</v>
      </c>
      <c r="AZ8" s="94" t="s">
        <v>0</v>
      </c>
      <c r="BA8" s="95">
        <v>1</v>
      </c>
      <c r="BB8" s="22">
        <f>IF(OR(AZ$2="",AY8="",BA8=""),"",IF($BD8="","",IF(AY8=$BD8,ABS(BA8-$BF8),ABS(BA8+$BF8))+IF(AY8&lt;&gt;$BD8,$BO$4,0)))</f>
        <v>16</v>
      </c>
      <c r="BD8" s="35" t="str">
        <f>IF(OR(B8="",F8="",B8=F8),"",IF(B8&gt;F8,"V","H"))</f>
        <v>V</v>
      </c>
      <c r="BE8" s="35" t="s">
        <v>0</v>
      </c>
      <c r="BF8" s="35">
        <f>IF(OR(B8="",F8="",B8=F8),"",ABS(B8-F8))</f>
        <v>17</v>
      </c>
      <c r="BG8" s="35"/>
      <c r="BH8" s="79">
        <f>SUM(I8,M8,Q8,U8,Y8,AC8,AG8,AK8,AO8,AS8,AW8,BA8) + IF(G8="V",-(2*I8)) + IF(K8="V",-(2*M8)) + IF(O8="V",-(2*Q8)) + IF(S8="V",-(2*U8)) + IF(W8="V",-(2*Y8)) + IF(AA8="V",-(2*AC8)) + IF(AE8="V",-(2*AG8)) + IF(AI8="V",-(2*AK8)) + IF(AM8="V",-(2*AO8)) + IF(AQ8="V",-(2*AS8)) + IF(AU8="V",-(2*AW8)) + IF(AY8="V",-(2*BA8))</f>
        <v>18</v>
      </c>
      <c r="BI8" s="96" t="str">
        <f>IF(COUNTA(G8,K8,O8,S8,W8,AA8,AE8,AI8,AM8,AQ8,AU8,AY8)&gt;0,IF(BH8&lt;0,"V","H"),"")</f>
        <v>H</v>
      </c>
      <c r="BJ8" s="94" t="s">
        <v>0</v>
      </c>
      <c r="BK8" s="95">
        <f>IF(BI8="","",ROUND(IF(BH8=0,1,ABS(BH8)/COUNTA(G8,K8,O8,S8,W8,AA8,AE8,AI8,AM8,AQ8,AU8,AY8)),0))</f>
        <v>2</v>
      </c>
      <c r="BL8" s="22">
        <f>IF(OR(BI8="",BK8=""),"",IF($BD8="","",IF(BI8=$BD8,ABS(BK8-$BF8),ABS(BK8+$BF8))+IF(BI8&lt;&gt;$BD8,$BO$4,0)))</f>
        <v>26</v>
      </c>
      <c r="BM8" s="35"/>
      <c r="BN8" s="43"/>
      <c r="BQ8" s="54"/>
      <c r="BR8" s="54"/>
      <c r="BS8" s="54"/>
      <c r="BT8" s="54"/>
      <c r="BU8" s="54"/>
      <c r="BV8" s="54"/>
      <c r="BW8" s="54"/>
      <c r="BX8" s="53"/>
      <c r="BY8" s="53"/>
      <c r="BZ8" s="54"/>
      <c r="CA8" s="42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DK8" s="64"/>
      <c r="DL8" s="161" t="str">
        <f>CONCATENATE($DM$2,$G$8,$DN$2)</f>
        <v xml:space="preserve">   "V",</v>
      </c>
      <c r="DM8" s="121"/>
      <c r="DN8" s="121"/>
      <c r="DO8" s="59" t="str">
        <f ca="1">CONCATENATE("      var post_season_home_teams     = [",OFFSET($DT$11,$BO$36,0),"];")</f>
        <v xml:space="preserve">      var post_season_home_teams     = ["Broncos"];</v>
      </c>
    </row>
    <row r="9" spans="1:124" s="59" customFormat="1" ht="9.9499999999999993" customHeight="1" x14ac:dyDescent="0.2">
      <c r="A9" s="3"/>
      <c r="B9" s="127"/>
      <c r="C9" s="128"/>
      <c r="D9" s="118"/>
      <c r="E9" s="159" t="s">
        <v>115</v>
      </c>
      <c r="F9" s="160">
        <f>IF(SUM(B8,F8)=0,"",SUM(B8,F8))</f>
        <v>53</v>
      </c>
      <c r="G9" s="185"/>
      <c r="H9" s="129" t="s">
        <v>71</v>
      </c>
      <c r="I9" s="130">
        <v>47</v>
      </c>
      <c r="J9" s="119" t="str">
        <f>IF(OR($F9="",I9="",J10=""),"",IF(AND(COUNTIF($J33:$BB33,J33)&gt;1,RANK(J33,$J33:$BB33,1)=1),$F9-I9,""))</f>
        <v/>
      </c>
      <c r="K9" s="185"/>
      <c r="L9" s="129" t="s">
        <v>71</v>
      </c>
      <c r="M9" s="130">
        <v>48</v>
      </c>
      <c r="N9" s="119" t="str">
        <f>IF(OR($F9="",M9="",N10=""),"",IF(AND(COUNTIF($J33:$BB33,N33)&gt;1,RANK(N33,$J33:$BB33,1)=1),$F9-M9,""))</f>
        <v/>
      </c>
      <c r="O9" s="185"/>
      <c r="P9" s="129" t="s">
        <v>71</v>
      </c>
      <c r="Q9" s="130">
        <v>45</v>
      </c>
      <c r="R9" s="119" t="str">
        <f>IF(OR($F9="",Q9="",R10=""),"",IF(AND(COUNTIF($J33:$BB33,R33)&gt;1,RANK(R33,$J33:$BB33,1)=1),$F9-Q9,""))</f>
        <v/>
      </c>
      <c r="S9" s="185"/>
      <c r="T9" s="129" t="s">
        <v>71</v>
      </c>
      <c r="U9" s="130">
        <v>37</v>
      </c>
      <c r="V9" s="119" t="str">
        <f>IF(OR($F9="",U9="",V10=""),"",IF(AND(COUNTIF($J33:$BB33,V33)&gt;1,RANK(V33,$J33:$BB33,1)=1),$F9-U9,""))</f>
        <v/>
      </c>
      <c r="W9" s="185"/>
      <c r="X9" s="129" t="s">
        <v>71</v>
      </c>
      <c r="Y9" s="130">
        <v>45</v>
      </c>
      <c r="Z9" s="119" t="str">
        <f>IF(OR($F9="",Y9="",Z10=""),"",IF(AND(COUNTIF($J33:$BB33,Z33)&gt;1,RANK(Z33,$J33:$BB33,1)=1),$F9-Y9,""))</f>
        <v/>
      </c>
      <c r="AA9" s="185"/>
      <c r="AB9" s="129" t="s">
        <v>71</v>
      </c>
      <c r="AC9" s="130">
        <v>52</v>
      </c>
      <c r="AD9" s="119" t="str">
        <f>IF(OR($F9="",AC9="",AD10=""),"",IF(AND(COUNTIF($J33:$BB33,AD33)&gt;1,RANK(AD33,$J33:$BB33,1)=1),$F9-AC9,""))</f>
        <v/>
      </c>
      <c r="AE9" s="185"/>
      <c r="AF9" s="129" t="s">
        <v>71</v>
      </c>
      <c r="AG9" s="130">
        <v>38</v>
      </c>
      <c r="AH9" s="119" t="str">
        <f>IF(OR($F9="",AG9="",AH10=""),"",IF(AND(COUNTIF($J33:$BB33,AH33)&gt;1,RANK(AH33,$J33:$BB33,1)=1),$F9-AG9,""))</f>
        <v/>
      </c>
      <c r="AI9" s="185"/>
      <c r="AJ9" s="129" t="s">
        <v>71</v>
      </c>
      <c r="AK9" s="130">
        <v>49</v>
      </c>
      <c r="AL9" s="119" t="str">
        <f>IF(OR($F9="",AK9="",AL10=""),"",IF(AND(COUNTIF($J33:$BB33,AL33)&gt;1,RANK(AL33,$J33:$BB33,1)=1),$F9-AK9,""))</f>
        <v/>
      </c>
      <c r="AM9" s="185"/>
      <c r="AN9" s="129" t="s">
        <v>71</v>
      </c>
      <c r="AO9" s="130">
        <v>46</v>
      </c>
      <c r="AP9" s="119" t="str">
        <f>IF(OR($F9="",AO9="",AP10=""),"",IF(AND(COUNTIF($J33:$BB33,AP33)&gt;1,RANK(AP33,$J33:$BB33,1)=1),$F9-AO9,""))</f>
        <v/>
      </c>
      <c r="AQ9" s="185"/>
      <c r="AR9" s="129" t="s">
        <v>71</v>
      </c>
      <c r="AS9" s="130">
        <v>45</v>
      </c>
      <c r="AT9" s="119" t="str">
        <f>IF(OR($F9="",AS9="",AT10=""),"",IF(AND(COUNTIF($J33:$BB33,AT33)&gt;1,RANK(AT33,$J33:$BB33,1)=1),$F9-AS9,""))</f>
        <v/>
      </c>
      <c r="AU9" s="185"/>
      <c r="AV9" s="129" t="s">
        <v>71</v>
      </c>
      <c r="AW9" s="130">
        <v>48</v>
      </c>
      <c r="AX9" s="119" t="str">
        <f>IF(OR($F9="",AW9="",AX10=""),"",IF(AND(COUNTIF($J33:$BB33,AX33)&gt;1,RANK(AX33,$J33:$BB33,1)=1),$F9-AW9,""))</f>
        <v/>
      </c>
      <c r="AY9" s="185"/>
      <c r="AZ9" s="129" t="s">
        <v>71</v>
      </c>
      <c r="BA9" s="130">
        <v>38</v>
      </c>
      <c r="BB9" s="120" t="str">
        <f>IF(OR($F9="",BA9="",BB10=""),"",IF(AND(COUNTIF($J33:$BB33,BB33)&gt;1,RANK(BB33,$J33:$BB33,1)=1),$F9-BA9,""))</f>
        <v/>
      </c>
      <c r="BD9" s="35"/>
      <c r="BE9" s="35"/>
      <c r="BF9" s="35"/>
      <c r="BG9" s="35"/>
      <c r="BH9" s="79"/>
      <c r="BI9" s="131"/>
      <c r="BJ9" s="129" t="s">
        <v>71</v>
      </c>
      <c r="BK9" s="130">
        <f>IF(SUM(I9,M9,Q9,U9,Y9,AC9,AG9,AK9,AO9,AS9,AW9,BA9)=0,"",ROUND(AVERAGE(I9,M9,Q9,U9,Y9,AC9,AG9,AK9,AO9,AS9,AW9,BA9),0))</f>
        <v>45</v>
      </c>
      <c r="BL9" s="120">
        <f>IF(OR($F9="",BK9=""),"",$F9-BK9)</f>
        <v>8</v>
      </c>
      <c r="BN9" s="43"/>
      <c r="BO9" s="50">
        <v>1</v>
      </c>
      <c r="BP9" s="51" t="s">
        <v>16</v>
      </c>
      <c r="BQ9" s="54"/>
      <c r="BR9" s="54"/>
      <c r="BS9" s="54"/>
      <c r="BT9" s="54"/>
      <c r="BU9" s="54"/>
      <c r="BV9" s="54"/>
      <c r="BW9" s="54"/>
      <c r="BX9" s="53"/>
      <c r="BY9" s="44"/>
      <c r="BZ9" s="44"/>
      <c r="CA9" s="42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DK9" s="64"/>
      <c r="DL9" s="161" t="str">
        <f>CONCATENATE($DM$2,$G$12,$DN$2)</f>
        <v xml:space="preserve">   "V",</v>
      </c>
      <c r="DM9" s="121"/>
      <c r="DN9" s="121"/>
    </row>
    <row r="10" spans="1:124" s="59" customFormat="1" ht="21" customHeight="1" thickBot="1" x14ac:dyDescent="0.25">
      <c r="A10" s="3"/>
      <c r="B10" s="23"/>
      <c r="C10" s="24"/>
      <c r="D10" s="24"/>
      <c r="E10" s="25"/>
      <c r="F10" s="73" t="s">
        <v>62</v>
      </c>
      <c r="G10" s="26"/>
      <c r="H10" s="27" t="s">
        <v>2</v>
      </c>
      <c r="I10" s="75">
        <f>IF(J10="","",IF(OR(RANK(J33,$J33:$BB33,1)&gt;1,AND(RANK(J33,$J33:$BB33,1)=1,COUNTIF($J33:$BB33,J33)=1)),RANK(J33,$J33:$BB33,1),IF(MIN($J53:$BB53)=J53,1,COUNTIF($J53:$BB53,MIN($J53:$BB53))+1)))</f>
        <v>2</v>
      </c>
      <c r="J10" s="116">
        <f>IF(H$2="","",(IF(AND(COUNTBLANK(G5:G8)=0,COUNTBLANK(I5:I8)=0),(SUM(J5:J8))*$BO$9,"")))</f>
        <v>46</v>
      </c>
      <c r="K10" s="26"/>
      <c r="L10" s="27" t="s">
        <v>2</v>
      </c>
      <c r="M10" s="75">
        <f>IF(N10="","",IF(OR(RANK(N33,$J33:$BB33,1)&gt;1,AND(RANK(N33,$J33:$BB33,1)=1,COUNTIF($J33:$BB33,N33)=1)),RANK(N33,$J33:$BB33,1),IF(MIN($J53:$BB53)=N53,1,COUNTIF($J53:$BB53,MIN($J53:$BB53))+1)))</f>
        <v>11</v>
      </c>
      <c r="N10" s="116">
        <f>IF(L$2="","",(IF(AND(COUNTBLANK(K5:K8)=0,COUNTBLANK(M5:M8)=0),(SUM(N5:N8))*$BO$9,"")))</f>
        <v>74</v>
      </c>
      <c r="O10" s="26"/>
      <c r="P10" s="27" t="s">
        <v>2</v>
      </c>
      <c r="Q10" s="75">
        <f>IF(R10="","",IF(OR(RANK(R33,$J33:$BB33,1)&gt;1,AND(RANK(R33,$J33:$BB33,1)=1,COUNTIF($J33:$BB33,R33)=1)),RANK(R33,$J33:$BB33,1),IF(MIN($J53:$BB53)=R53,1,COUNTIF($J53:$BB53,MIN($J53:$BB53))+1)))</f>
        <v>1</v>
      </c>
      <c r="R10" s="116">
        <f>IF(P$2="","",(IF(AND(COUNTBLANK(O5:O8)=0,COUNTBLANK(Q5:Q8)=0),(SUM(R5:R8))*$BO$9,"")))</f>
        <v>43</v>
      </c>
      <c r="S10" s="26"/>
      <c r="T10" s="27" t="s">
        <v>2</v>
      </c>
      <c r="U10" s="75">
        <f>IF(V10="","",IF(OR(RANK(V33,$J33:$BB33,1)&gt;1,AND(RANK(V33,$J33:$BB33,1)=1,COUNTIF($J33:$BB33,V33)=1)),RANK(V33,$J33:$BB33,1),IF(MIN($J53:$BB53)=V53,1,COUNTIF($J53:$BB53,MIN($J53:$BB53))+1)))</f>
        <v>6</v>
      </c>
      <c r="V10" s="116">
        <f>IF(T$2="","",(IF(AND(COUNTBLANK(S5:S8)=0,COUNTBLANK(U5:U8)=0),(SUM(V5:V8))*$BO$9,"")))</f>
        <v>61</v>
      </c>
      <c r="W10" s="26"/>
      <c r="X10" s="27" t="s">
        <v>2</v>
      </c>
      <c r="Y10" s="75">
        <f>IF(Z10="","",IF(OR(RANK(Z33,$J33:$BB33,1)&gt;1,AND(RANK(Z33,$J33:$BB33,1)=1,COUNTIF($J33:$BB33,Z33)=1)),RANK(Z33,$J33:$BB33,1),IF(MIN($J53:$BB53)=Z53,1,COUNTIF($J53:$BB53,MIN($J53:$BB53))+1)))</f>
        <v>8</v>
      </c>
      <c r="Z10" s="116">
        <f>IF(X$2="","",(IF(AND(COUNTBLANK(W5:W8)=0,COUNTBLANK(Y5:Y8)=0),(SUM(Z5:Z8))*$BO$9,"")))</f>
        <v>68</v>
      </c>
      <c r="AA10" s="26"/>
      <c r="AB10" s="27" t="s">
        <v>2</v>
      </c>
      <c r="AC10" s="75">
        <f>IF(AD10="","",IF(OR(RANK(AD33,$J33:$BB33,1)&gt;1,AND(RANK(AD33,$J33:$BB33,1)=1,COUNTIF($J33:$BB33,AD33)=1)),RANK(AD33,$J33:$BB33,1),IF(MIN($J53:$BB53)=AD53,1,COUNTIF($J53:$BB53,MIN($J53:$BB53))+1)))</f>
        <v>12</v>
      </c>
      <c r="AD10" s="116">
        <f>IF(AB$2="","",(IF(AND(COUNTBLANK(AA5:AA8)=0,COUNTBLANK(AC5:AC8)=0),(SUM(AD5:AD8))*$BO$9,"")))</f>
        <v>78</v>
      </c>
      <c r="AE10" s="26"/>
      <c r="AF10" s="27" t="s">
        <v>2</v>
      </c>
      <c r="AG10" s="75">
        <f>IF(AH10="","",IF(OR(RANK(AH33,$J33:$BB33,1)&gt;1,AND(RANK(AH33,$J33:$BB33,1)=1,COUNTIF($J33:$BB33,AH33)=1)),RANK(AH33,$J33:$BB33,1),IF(MIN($J53:$BB53)=AH53,1,COUNTIF($J53:$BB53,MIN($J53:$BB53))+1)))</f>
        <v>7</v>
      </c>
      <c r="AH10" s="116">
        <f>IF(AF$2="","",(IF(AND(COUNTBLANK(AE5:AE8)=0,COUNTBLANK(AG5:AG8)=0),(SUM(AH5:AH8))*$BO$9,"")))</f>
        <v>65</v>
      </c>
      <c r="AI10" s="26"/>
      <c r="AJ10" s="27" t="s">
        <v>2</v>
      </c>
      <c r="AK10" s="75">
        <f>IF(AL10="","",IF(OR(RANK(AL33,$J33:$BB33,1)&gt;1,AND(RANK(AL33,$J33:$BB33,1)=1,COUNTIF($J33:$BB33,AL33)=1)),RANK(AL33,$J33:$BB33,1),IF(MIN($J53:$BB53)=AL53,1,COUNTIF($J53:$BB53,MIN($J53:$BB53))+1)))</f>
        <v>5</v>
      </c>
      <c r="AL10" s="116">
        <f>IF(AJ$2="","",(IF(AND(COUNTBLANK(AI5:AI8)=0,COUNTBLANK(AK5:AK8)=0),(SUM(AL5:AL8))*$BO$9,"")))</f>
        <v>59</v>
      </c>
      <c r="AM10" s="26"/>
      <c r="AN10" s="27" t="s">
        <v>2</v>
      </c>
      <c r="AO10" s="75">
        <f>IF(AP10="","",IF(OR(RANK(AP33,$J33:$BB33,1)&gt;1,AND(RANK(AP33,$J33:$BB33,1)=1,COUNTIF($J33:$BB33,AP33)=1)),RANK(AP33,$J33:$BB33,1),IF(MIN($J53:$BB53)=AP53,1,COUNTIF($J53:$BB53,MIN($J53:$BB53))+1)))</f>
        <v>10</v>
      </c>
      <c r="AP10" s="116">
        <f>IF(AN$2="","",(IF(AND(COUNTBLANK(AM5:AM8)=0,COUNTBLANK(AO5:AO8)=0),(SUM(AP5:AP8))*$BO$9,"")))</f>
        <v>69</v>
      </c>
      <c r="AQ10" s="26"/>
      <c r="AR10" s="27" t="s">
        <v>2</v>
      </c>
      <c r="AS10" s="75">
        <f>IF(AT10="","",IF(OR(RANK(AT33,$J33:$BB33,1)&gt;1,AND(RANK(AT33,$J33:$BB33,1)=1,COUNTIF($J33:$BB33,AT33)=1)),RANK(AT33,$J33:$BB33,1),IF(MIN($J53:$BB53)=AT53,1,COUNTIF($J53:$BB53,MIN($J53:$BB53))+1)))</f>
        <v>3</v>
      </c>
      <c r="AT10" s="116">
        <f>IF(AR$2="","",(IF(AND(COUNTBLANK(AQ5:AQ8)=0,COUNTBLANK(AS5:AS8)=0),(SUM(AT5:AT8))*$BO$9,"")))</f>
        <v>57</v>
      </c>
      <c r="AU10" s="26"/>
      <c r="AV10" s="27" t="s">
        <v>2</v>
      </c>
      <c r="AW10" s="75">
        <f>IF(AX10="","",IF(OR(RANK(AX33,$J33:$BB33,1)&gt;1,AND(RANK(AX33,$J33:$BB33,1)=1,COUNTIF($J33:$BB33,AX33)=1)),RANK(AX33,$J33:$BB33,1),IF(MIN($J53:$BB53)=AX53,1,COUNTIF($J53:$BB53,MIN($J53:$BB53))+1)))</f>
        <v>8</v>
      </c>
      <c r="AX10" s="116">
        <f>IF(AV$2="","",(IF(AND(COUNTBLANK(AU5:AU8)=0,COUNTBLANK(AW5:AW8)=0),(SUM(AX5:AX8))*$BO$9,"")))</f>
        <v>68</v>
      </c>
      <c r="AY10" s="26"/>
      <c r="AZ10" s="27" t="s">
        <v>2</v>
      </c>
      <c r="BA10" s="75">
        <f>IF(BB10="","",IF(OR(RANK(BB33,$J33:$BB33,1)&gt;1,AND(RANK(BB33,$J33:$BB33,1)=1,COUNTIF($J33:$BB33,BB33)=1)),RANK(BB33,$J33:$BB33,1),IF(MIN($J53:$BB53)=BB53,1,COUNTIF($J53:$BB53,MIN($J53:$BB53))+1)))</f>
        <v>3</v>
      </c>
      <c r="BB10" s="117">
        <f>IF(AZ$2="","",(IF(AND(COUNTBLANK(AY5:AY8)=0,COUNTBLANK(BA5:BA8)=0),(SUM(BB5:BB8))*$BO$9,"")))</f>
        <v>57</v>
      </c>
      <c r="BH10" s="79"/>
      <c r="BI10" s="83"/>
      <c r="BJ10" s="49" t="s">
        <v>2</v>
      </c>
      <c r="BK10" s="76">
        <f>IF(BL10="","",RANK(BL33,$J33:$BL33,1))</f>
        <v>3</v>
      </c>
      <c r="BL10" s="47">
        <f>IF(AND(COUNTBLANK(BI5:BI8)=0,COUNTBLANK(BK5:BK8)=0),(SUM(BL5:BL8))*$BO$9,"")</f>
        <v>56</v>
      </c>
      <c r="BM10" s="36"/>
      <c r="BN10" s="43"/>
      <c r="BO10" s="50">
        <f>COUNTIF(J32:BB32,1)</f>
        <v>1</v>
      </c>
      <c r="BP10" s="51" t="s">
        <v>20</v>
      </c>
      <c r="BQ10" s="54"/>
      <c r="BR10" s="54"/>
      <c r="BS10" s="54"/>
      <c r="BT10" s="54"/>
      <c r="BU10" s="54"/>
      <c r="BV10" s="54"/>
      <c r="BW10" s="54"/>
      <c r="BX10" s="53"/>
      <c r="BY10" s="53"/>
      <c r="BZ10" s="54"/>
      <c r="CA10" s="42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DK10" s="64"/>
      <c r="DL10" s="161" t="str">
        <f>CONCATENATE($DM$2,$G$13,$DN$2)</f>
        <v xml:space="preserve">   "H",</v>
      </c>
      <c r="DM10" s="121"/>
      <c r="DN10" s="121"/>
    </row>
    <row r="11" spans="1:124" s="59" customFormat="1" ht="24" customHeight="1" thickBot="1" x14ac:dyDescent="0.25">
      <c r="A11" s="3"/>
      <c r="B11" s="158" t="s">
        <v>113</v>
      </c>
      <c r="D11" s="16"/>
      <c r="E11" s="16"/>
      <c r="F11" s="17"/>
      <c r="G11" s="18"/>
      <c r="H11" s="18"/>
      <c r="I11" s="18"/>
      <c r="J11" s="18"/>
      <c r="K11" s="69" t="str">
        <f>IF($BO$16&lt;&gt;1,CONCATENATE("(week 2 combined scores are multiplied by ",$BO$16,")"),"")</f>
        <v/>
      </c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9"/>
      <c r="BD11" s="36"/>
      <c r="BE11" s="37"/>
      <c r="BF11" s="36"/>
      <c r="BG11" s="36"/>
      <c r="BH11" s="79"/>
      <c r="BI11" s="82"/>
      <c r="BJ11" s="18"/>
      <c r="BK11" s="18"/>
      <c r="BL11" s="19"/>
      <c r="BM11" s="35"/>
      <c r="BN11" s="43"/>
      <c r="CA11" s="42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DK11" s="64"/>
      <c r="DL11" s="161" t="str">
        <f>CONCATENATE($DM$2,$G$14,$DN$2)</f>
        <v xml:space="preserve">   "V",</v>
      </c>
      <c r="DM11" s="121"/>
      <c r="DN11" s="121"/>
    </row>
    <row r="12" spans="1:124" s="59" customFormat="1" ht="15" customHeight="1" x14ac:dyDescent="0.2">
      <c r="A12" s="3"/>
      <c r="B12" s="186">
        <v>20</v>
      </c>
      <c r="C12" s="180" t="s">
        <v>146</v>
      </c>
      <c r="D12" s="38" t="s">
        <v>3</v>
      </c>
      <c r="E12" s="181" t="s">
        <v>156</v>
      </c>
      <c r="F12" s="187">
        <v>27</v>
      </c>
      <c r="G12" s="182" t="s">
        <v>9</v>
      </c>
      <c r="H12" s="94" t="s">
        <v>0</v>
      </c>
      <c r="I12" s="95">
        <v>1</v>
      </c>
      <c r="J12" s="20">
        <f>IF(OR(H$2="",G12="",I12=""),"",IF($BD12="","",IF(G12=$BD12,ABS(I12-$BF12),ABS(I12+$BF12))+IF(G12&lt;&gt;$BD12,$BO$4,0)))</f>
        <v>15</v>
      </c>
      <c r="K12" s="182" t="s">
        <v>10</v>
      </c>
      <c r="L12" s="94" t="s">
        <v>0</v>
      </c>
      <c r="M12" s="95">
        <v>14</v>
      </c>
      <c r="N12" s="20">
        <f>IF(OR(L$2="",K12="",M12=""),"",IF($BD12="","",IF(K12=$BD12,ABS(M12-$BF12),ABS(M12+$BF12))+IF(K12&lt;&gt;$BD12,$BO$4,0)))</f>
        <v>7</v>
      </c>
      <c r="O12" s="182" t="s">
        <v>10</v>
      </c>
      <c r="P12" s="94" t="s">
        <v>0</v>
      </c>
      <c r="Q12" s="95">
        <v>4</v>
      </c>
      <c r="R12" s="20">
        <f>IF(OR(P$2="",O12="",Q12=""),"",IF($BD12="","",IF(O12=$BD12,ABS(Q12-$BF12),ABS(Q12+$BF12))+IF(O12&lt;&gt;$BD12,$BO$4,0)))</f>
        <v>3</v>
      </c>
      <c r="S12" s="182" t="s">
        <v>10</v>
      </c>
      <c r="T12" s="94" t="s">
        <v>0</v>
      </c>
      <c r="U12" s="95">
        <v>7</v>
      </c>
      <c r="V12" s="20">
        <f>IF(OR(T$2="",S12="",U12=""),"",IF($BD12="","",IF(S12=$BD12,ABS(U12-$BF12),ABS(U12+$BF12))+IF(S12&lt;&gt;$BD12,$BO$4,0)))</f>
        <v>0</v>
      </c>
      <c r="W12" s="182" t="s">
        <v>10</v>
      </c>
      <c r="X12" s="94" t="s">
        <v>0</v>
      </c>
      <c r="Y12" s="95">
        <v>7</v>
      </c>
      <c r="Z12" s="20">
        <f>IF(OR(X$2="",W12="",Y12=""),"",IF($BD12="","",IF(W12=$BD12,ABS(Y12-$BF12),ABS(Y12+$BF12))+IF(W12&lt;&gt;$BD12,$BO$4,0)))</f>
        <v>0</v>
      </c>
      <c r="AA12" s="182" t="s">
        <v>9</v>
      </c>
      <c r="AB12" s="94" t="s">
        <v>0</v>
      </c>
      <c r="AC12" s="95">
        <v>13</v>
      </c>
      <c r="AD12" s="20">
        <f>IF(OR(AB$2="",AA12="",AC12=""),"",IF($BD12="","",IF(AA12=$BD12,ABS(AC12-$BF12),ABS(AC12+$BF12))+IF(AA12&lt;&gt;$BD12,$BO$4,0)))</f>
        <v>27</v>
      </c>
      <c r="AE12" s="182"/>
      <c r="AF12" s="94" t="s">
        <v>0</v>
      </c>
      <c r="AG12" s="95"/>
      <c r="AH12" s="20" t="str">
        <f>IF(OR(AF$2="",AE12="",AG12=""),"",IF($BD12="","",IF(AE12=$BD12,ABS(AG12-$BF12),ABS(AG12+$BF12))+IF(AE12&lt;&gt;$BD12,$BO$4,0)))</f>
        <v/>
      </c>
      <c r="AI12" s="182" t="s">
        <v>10</v>
      </c>
      <c r="AJ12" s="94" t="s">
        <v>0</v>
      </c>
      <c r="AK12" s="95">
        <v>10</v>
      </c>
      <c r="AL12" s="20">
        <f>IF(OR(AJ$2="",AI12="",AK12=""),"",IF($BD12="","",IF(AI12=$BD12,ABS(AK12-$BF12),ABS(AK12+$BF12))+IF(AI12&lt;&gt;$BD12,$BO$4,0)))</f>
        <v>3</v>
      </c>
      <c r="AM12" s="182" t="s">
        <v>9</v>
      </c>
      <c r="AN12" s="94" t="s">
        <v>0</v>
      </c>
      <c r="AO12" s="95">
        <v>2</v>
      </c>
      <c r="AP12" s="20">
        <f>IF(OR(AN$2="",AM12="",AO12=""),"",IF($BD12="","",IF(AM12=$BD12,ABS(AO12-$BF12),ABS(AO12+$BF12))+IF(AM12&lt;&gt;$BD12,$BO$4,0)))</f>
        <v>16</v>
      </c>
      <c r="AQ12" s="182" t="s">
        <v>10</v>
      </c>
      <c r="AR12" s="94" t="s">
        <v>0</v>
      </c>
      <c r="AS12" s="95">
        <v>4</v>
      </c>
      <c r="AT12" s="20">
        <f>IF(OR(AR$2="",AQ12="",AS12=""),"",IF($BD12="","",IF(AQ12=$BD12,ABS(AS12-$BF12),ABS(AS12+$BF12))+IF(AQ12&lt;&gt;$BD12,$BO$4,0)))</f>
        <v>3</v>
      </c>
      <c r="AU12" s="182" t="s">
        <v>9</v>
      </c>
      <c r="AV12" s="94" t="s">
        <v>0</v>
      </c>
      <c r="AW12" s="95">
        <v>10</v>
      </c>
      <c r="AX12" s="20">
        <f>IF(OR(AV$2="",AU12="",AW12=""),"",IF($BD12="","",IF(AU12=$BD12,ABS(AW12-$BF12),ABS(AW12+$BF12))+IF(AU12&lt;&gt;$BD12,$BO$4,0)))</f>
        <v>24</v>
      </c>
      <c r="AY12" s="182" t="s">
        <v>10</v>
      </c>
      <c r="AZ12" s="94" t="s">
        <v>0</v>
      </c>
      <c r="BA12" s="95">
        <v>3</v>
      </c>
      <c r="BB12" s="21">
        <f>IF(OR(AZ$2="",AY12="",BA12=""),"",IF($BD12="","",IF(AY12=$BD12,ABS(BA12-$BF12),ABS(BA12+$BF12))+IF(AY12&lt;&gt;$BD12,$BO$4,0)))</f>
        <v>4</v>
      </c>
      <c r="BD12" s="35" t="str">
        <f>IF(OR(B12="",F12="",B12=F12),"",IF(B12&gt;F12,"V","H"))</f>
        <v>H</v>
      </c>
      <c r="BE12" s="35" t="s">
        <v>0</v>
      </c>
      <c r="BF12" s="35">
        <f>IF(OR(B12="",F12="",B12=F12),"",ABS(B12-F12))</f>
        <v>7</v>
      </c>
      <c r="BG12" s="35"/>
      <c r="BH12" s="79">
        <f>SUM(I12,M12,Q12,U12,Y12,AC12,AG12,AK12,AO12,AS12,AW12,BA12) + IF(G12="V",-(2*I12)) + IF(K12="V",-(2*M12)) + IF(O12="V",-(2*Q12)) + IF(S12="V",-(2*U12)) + IF(W12="V",-(2*Y12)) + IF(AA12="V",-(2*AC12)) + IF(AE12="V",-(2*AG12)) + IF(AI12="V",-(2*AK12)) + IF(AM12="V",-(2*AO12)) + IF(AQ12="V",-(2*AS12)) + IF(AU12="V",-(2*AW12)) + IF(AY12="V",-(2*BA12))</f>
        <v>23</v>
      </c>
      <c r="BI12" s="96" t="str">
        <f>IF(COUNTA(G12,K12,O12,S12,W12,AA12,AE12,AI12,AM12,AQ12,AU12,AY12)&gt;0,IF(BH12&lt;0,"V","H"),"")</f>
        <v>H</v>
      </c>
      <c r="BJ12" s="94" t="s">
        <v>0</v>
      </c>
      <c r="BK12" s="95">
        <f>IF(BI12="","",ROUND(IF(BH12=0,1,ABS(BH12)/COUNTA(G12,K12,O12,S12,W12,AA12,AE12,AI12,AM12,AQ12,AU12,AY12)),0))</f>
        <v>2</v>
      </c>
      <c r="BL12" s="21">
        <f>IF(OR(BI12="",BK12=""),"",IF($BD12="","",IF(BI12=$BD12,ABS(BK12-$BF12),ABS(BK12+$BF12))+IF(BI12&lt;&gt;$BD12,$BO$4,0)))</f>
        <v>5</v>
      </c>
      <c r="BM12" s="35"/>
      <c r="BN12" s="43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42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DK12" s="64"/>
      <c r="DL12" s="161" t="str">
        <f>CONCATENATE($DM$2,$G$15,$DN$2)</f>
        <v xml:space="preserve">   "H",</v>
      </c>
      <c r="DM12" s="121"/>
      <c r="DN12" s="121"/>
      <c r="DO12" s="59" t="str">
        <f>CONCATENATE(CHAR(34),$C$5,CHAR(34),",",CHAR(34),$C$6,CHAR(34),",",CHAR(34),$C$7,CHAR(34),",",CHAR(34),$C$8,CHAR(34))</f>
        <v>"Chiefs","Steelers","Seahawks","Packers"</v>
      </c>
      <c r="DT12" s="59" t="str">
        <f>CONCATENATE(CHAR(34),$E$5,CHAR(34),",",CHAR(34),$E$6,CHAR(34),",",CHAR(34),$E$7,CHAR(34),",",CHAR(34),$E$8,CHAR(34))</f>
        <v>"Texans","Bengals","Vikings","Redskins"</v>
      </c>
    </row>
    <row r="13" spans="1:124" s="59" customFormat="1" ht="15" customHeight="1" x14ac:dyDescent="0.2">
      <c r="A13" s="3"/>
      <c r="B13" s="188">
        <v>20</v>
      </c>
      <c r="C13" s="183" t="s">
        <v>149</v>
      </c>
      <c r="D13" s="39" t="s">
        <v>3</v>
      </c>
      <c r="E13" s="184" t="s">
        <v>157</v>
      </c>
      <c r="F13" s="189">
        <v>26</v>
      </c>
      <c r="G13" s="182" t="s">
        <v>10</v>
      </c>
      <c r="H13" s="94" t="s">
        <v>0</v>
      </c>
      <c r="I13" s="95">
        <v>10</v>
      </c>
      <c r="J13" s="20">
        <f>IF(OR(H$2="",G13="",I13=""),"",IF($BD13="","",IF(G13=$BD13,ABS(I13-$BF13),ABS(I13+$BF13))+IF(G13&lt;&gt;$BD13,$BO$4,0)))</f>
        <v>4</v>
      </c>
      <c r="K13" s="182" t="s">
        <v>10</v>
      </c>
      <c r="L13" s="94" t="s">
        <v>0</v>
      </c>
      <c r="M13" s="95">
        <v>14</v>
      </c>
      <c r="N13" s="20">
        <f>IF(OR(L$2="",K13="",M13=""),"",IF($BD13="","",IF(K13=$BD13,ABS(M13-$BF13),ABS(M13+$BF13))+IF(K13&lt;&gt;$BD13,$BO$4,0)))</f>
        <v>8</v>
      </c>
      <c r="O13" s="182" t="s">
        <v>10</v>
      </c>
      <c r="P13" s="94" t="s">
        <v>0</v>
      </c>
      <c r="Q13" s="95">
        <v>7</v>
      </c>
      <c r="R13" s="20">
        <f>IF(OR(P$2="",O13="",Q13=""),"",IF($BD13="","",IF(O13=$BD13,ABS(Q13-$BF13),ABS(Q13+$BF13))+IF(O13&lt;&gt;$BD13,$BO$4,0)))</f>
        <v>1</v>
      </c>
      <c r="S13" s="182" t="s">
        <v>9</v>
      </c>
      <c r="T13" s="94" t="s">
        <v>0</v>
      </c>
      <c r="U13" s="95">
        <v>1</v>
      </c>
      <c r="V13" s="20">
        <f>IF(OR(T$2="",S13="",U13=""),"",IF($BD13="","",IF(S13=$BD13,ABS(U13-$BF13),ABS(U13+$BF13))+IF(S13&lt;&gt;$BD13,$BO$4,0)))</f>
        <v>14</v>
      </c>
      <c r="W13" s="182" t="s">
        <v>10</v>
      </c>
      <c r="X13" s="94" t="s">
        <v>0</v>
      </c>
      <c r="Y13" s="95">
        <v>10</v>
      </c>
      <c r="Z13" s="20">
        <f>IF(OR(X$2="",W13="",Y13=""),"",IF($BD13="","",IF(W13=$BD13,ABS(Y13-$BF13),ABS(Y13+$BF13))+IF(W13&lt;&gt;$BD13,$BO$4,0)))</f>
        <v>4</v>
      </c>
      <c r="AA13" s="182" t="s">
        <v>10</v>
      </c>
      <c r="AB13" s="94" t="s">
        <v>0</v>
      </c>
      <c r="AC13" s="95">
        <v>14</v>
      </c>
      <c r="AD13" s="20">
        <f>IF(OR(AB$2="",AA13="",AC13=""),"",IF($BD13="","",IF(AA13=$BD13,ABS(AC13-$BF13),ABS(AC13+$BF13))+IF(AA13&lt;&gt;$BD13,$BO$4,0)))</f>
        <v>8</v>
      </c>
      <c r="AE13" s="182"/>
      <c r="AF13" s="94" t="s">
        <v>0</v>
      </c>
      <c r="AG13" s="95"/>
      <c r="AH13" s="20" t="str">
        <f>IF(OR(AF$2="",AE13="",AG13=""),"",IF($BD13="","",IF(AE13=$BD13,ABS(AG13-$BF13),ABS(AG13+$BF13))+IF(AE13&lt;&gt;$BD13,$BO$4,0)))</f>
        <v/>
      </c>
      <c r="AI13" s="182" t="s">
        <v>10</v>
      </c>
      <c r="AJ13" s="94" t="s">
        <v>0</v>
      </c>
      <c r="AK13" s="95">
        <v>7</v>
      </c>
      <c r="AL13" s="20">
        <f>IF(OR(AJ$2="",AI13="",AK13=""),"",IF($BD13="","",IF(AI13=$BD13,ABS(AK13-$BF13),ABS(AK13+$BF13))+IF(AI13&lt;&gt;$BD13,$BO$4,0)))</f>
        <v>1</v>
      </c>
      <c r="AM13" s="182" t="s">
        <v>10</v>
      </c>
      <c r="AN13" s="94" t="s">
        <v>0</v>
      </c>
      <c r="AO13" s="95">
        <v>6</v>
      </c>
      <c r="AP13" s="20">
        <f>IF(OR(AN$2="",AM13="",AO13=""),"",IF($BD13="","",IF(AM13=$BD13,ABS(AO13-$BF13),ABS(AO13+$BF13))+IF(AM13&lt;&gt;$BD13,$BO$4,0)))</f>
        <v>0</v>
      </c>
      <c r="AQ13" s="182" t="s">
        <v>10</v>
      </c>
      <c r="AR13" s="94" t="s">
        <v>0</v>
      </c>
      <c r="AS13" s="95">
        <v>7</v>
      </c>
      <c r="AT13" s="20">
        <f>IF(OR(AR$2="",AQ13="",AS13=""),"",IF($BD13="","",IF(AQ13=$BD13,ABS(AS13-$BF13),ABS(AS13+$BF13))+IF(AQ13&lt;&gt;$BD13,$BO$4,0)))</f>
        <v>1</v>
      </c>
      <c r="AU13" s="182" t="s">
        <v>10</v>
      </c>
      <c r="AV13" s="94" t="s">
        <v>0</v>
      </c>
      <c r="AW13" s="95">
        <v>10</v>
      </c>
      <c r="AX13" s="20">
        <f>IF(OR(AV$2="",AU13="",AW13=""),"",IF($BD13="","",IF(AU13=$BD13,ABS(AW13-$BF13),ABS(AW13+$BF13))+IF(AU13&lt;&gt;$BD13,$BO$4,0)))</f>
        <v>4</v>
      </c>
      <c r="AY13" s="182" t="s">
        <v>10</v>
      </c>
      <c r="AZ13" s="94" t="s">
        <v>0</v>
      </c>
      <c r="BA13" s="95">
        <v>10</v>
      </c>
      <c r="BB13" s="22">
        <f>IF(OR(AZ$2="",AY13="",BA13=""),"",IF($BD13="","",IF(AY13=$BD13,ABS(BA13-$BF13),ABS(BA13+$BF13))+IF(AY13&lt;&gt;$BD13,$BO$4,0)))</f>
        <v>4</v>
      </c>
      <c r="BD13" s="35" t="str">
        <f>IF(OR(B13="",F13="",B13=F13),"",IF(B13&gt;F13,"V","H"))</f>
        <v>H</v>
      </c>
      <c r="BE13" s="35" t="s">
        <v>0</v>
      </c>
      <c r="BF13" s="35">
        <f>IF(OR(B13="",F13="",B13=F13),"",ABS(B13-F13))</f>
        <v>6</v>
      </c>
      <c r="BG13" s="35"/>
      <c r="BH13" s="79">
        <f>SUM(I13,M13,Q13,U13,Y13,AC13,AG13,AK13,AO13,AS13,AW13,BA13) + IF(G13="V",-(2*I13)) + IF(K13="V",-(2*M13)) + IF(O13="V",-(2*Q13)) + IF(S13="V",-(2*U13)) + IF(W13="V",-(2*Y13)) + IF(AA13="V",-(2*AC13)) + IF(AE13="V",-(2*AG13)) + IF(AI13="V",-(2*AK13)) + IF(AM13="V",-(2*AO13)) + IF(AQ13="V",-(2*AS13)) + IF(AU13="V",-(2*AW13)) + IF(AY13="V",-(2*BA13))</f>
        <v>94</v>
      </c>
      <c r="BI13" s="96" t="str">
        <f>IF(COUNTA(G13,K13,O13,S13,W13,AA13,AE13,AI13,AM13,AQ13,AU13,AY13)&gt;0,IF(BH13&lt;0,"V","H"),"")</f>
        <v>H</v>
      </c>
      <c r="BJ13" s="94" t="s">
        <v>0</v>
      </c>
      <c r="BK13" s="95">
        <f>IF(BI13="","",ROUND(IF(BH13=0,1,ABS(BH13)/COUNTA(G13,K13,O13,S13,W13,AA13,AE13,AI13,AM13,AQ13,AU13,AY13)),0))</f>
        <v>9</v>
      </c>
      <c r="BL13" s="22">
        <f>IF(OR(BI13="",BK13=""),"",IF($BD13="","",IF(BI13=$BD13,ABS(BK13-$BF13),ABS(BK13+$BF13))+IF(BI13&lt;&gt;$BD13,$BO$4,0)))</f>
        <v>3</v>
      </c>
      <c r="BM13" s="35"/>
      <c r="BN13" s="43"/>
      <c r="BO13" s="50"/>
      <c r="BP13" s="51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42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DK13" s="64"/>
      <c r="DL13" s="161" t="str">
        <f>CONCATENATE($DM$2,$G$19,$DN$2)</f>
        <v xml:space="preserve">   "V",</v>
      </c>
      <c r="DM13" s="121"/>
      <c r="DN13" s="121"/>
      <c r="DO13" s="59" t="str">
        <f>CONCATENATE(CHAR(34),$C$12,CHAR(34),",",CHAR(34),$C$13,CHAR(34),",",CHAR(34),$C$14,CHAR(34),",",CHAR(34),$C$15,CHAR(34))</f>
        <v>"Chiefs","Packers","Seahawks","Steelers"</v>
      </c>
      <c r="DT13" s="59" t="str">
        <f>CONCATENATE(CHAR(34),$E$12,CHAR(34),",",CHAR(34),$E$13,CHAR(34),",",CHAR(34),$E$14,CHAR(34),",",CHAR(34),$E$15,CHAR(34))</f>
        <v>"Patriots","Cardinals","Panthers","Broncos"</v>
      </c>
    </row>
    <row r="14" spans="1:124" s="59" customFormat="1" ht="15" customHeight="1" x14ac:dyDescent="0.2">
      <c r="A14" s="3"/>
      <c r="B14" s="188">
        <v>24</v>
      </c>
      <c r="C14" s="183" t="s">
        <v>148</v>
      </c>
      <c r="D14" s="39" t="s">
        <v>3</v>
      </c>
      <c r="E14" s="184" t="s">
        <v>158</v>
      </c>
      <c r="F14" s="189">
        <v>31</v>
      </c>
      <c r="G14" s="182" t="s">
        <v>9</v>
      </c>
      <c r="H14" s="94" t="s">
        <v>0</v>
      </c>
      <c r="I14" s="95">
        <v>3</v>
      </c>
      <c r="J14" s="20">
        <f>IF(OR(H$2="",G14="",I14=""),"",IF($BD14="","",IF(G14=$BD14,ABS(I14-$BF14),ABS(I14+$BF14))+IF(G14&lt;&gt;$BD14,$BO$4,0)))</f>
        <v>17</v>
      </c>
      <c r="K14" s="182" t="s">
        <v>10</v>
      </c>
      <c r="L14" s="94" t="s">
        <v>0</v>
      </c>
      <c r="M14" s="95">
        <v>14</v>
      </c>
      <c r="N14" s="20">
        <f>IF(OR(L$2="",K14="",M14=""),"",IF($BD14="","",IF(K14=$BD14,ABS(M14-$BF14),ABS(M14+$BF14))+IF(K14&lt;&gt;$BD14,$BO$4,0)))</f>
        <v>7</v>
      </c>
      <c r="O14" s="182" t="s">
        <v>10</v>
      </c>
      <c r="P14" s="94" t="s">
        <v>0</v>
      </c>
      <c r="Q14" s="95">
        <v>2</v>
      </c>
      <c r="R14" s="20">
        <f>IF(OR(P$2="",O14="",Q14=""),"",IF($BD14="","",IF(O14=$BD14,ABS(Q14-$BF14),ABS(Q14+$BF14))+IF(O14&lt;&gt;$BD14,$BO$4,0)))</f>
        <v>5</v>
      </c>
      <c r="S14" s="182" t="s">
        <v>9</v>
      </c>
      <c r="T14" s="94" t="s">
        <v>0</v>
      </c>
      <c r="U14" s="95">
        <v>1</v>
      </c>
      <c r="V14" s="20">
        <f>IF(OR(T$2="",S14="",U14=""),"",IF($BD14="","",IF(S14=$BD14,ABS(U14-$BF14),ABS(U14+$BF14))+IF(S14&lt;&gt;$BD14,$BO$4,0)))</f>
        <v>15</v>
      </c>
      <c r="W14" s="182" t="s">
        <v>10</v>
      </c>
      <c r="X14" s="94" t="s">
        <v>0</v>
      </c>
      <c r="Y14" s="95">
        <v>3</v>
      </c>
      <c r="Z14" s="20">
        <f>IF(OR(X$2="",W14="",Y14=""),"",IF($BD14="","",IF(W14=$BD14,ABS(Y14-$BF14),ABS(Y14+$BF14))+IF(W14&lt;&gt;$BD14,$BO$4,0)))</f>
        <v>4</v>
      </c>
      <c r="AA14" s="182" t="s">
        <v>10</v>
      </c>
      <c r="AB14" s="94" t="s">
        <v>0</v>
      </c>
      <c r="AC14" s="95">
        <v>3</v>
      </c>
      <c r="AD14" s="20">
        <f>IF(OR(AB$2="",AA14="",AC14=""),"",IF($BD14="","",IF(AA14=$BD14,ABS(AC14-$BF14),ABS(AC14+$BF14))+IF(AA14&lt;&gt;$BD14,$BO$4,0)))</f>
        <v>4</v>
      </c>
      <c r="AE14" s="182"/>
      <c r="AF14" s="94" t="s">
        <v>0</v>
      </c>
      <c r="AG14" s="95"/>
      <c r="AH14" s="20" t="str">
        <f>IF(OR(AF$2="",AE14="",AG14=""),"",IF($BD14="","",IF(AE14=$BD14,ABS(AG14-$BF14),ABS(AG14+$BF14))+IF(AE14&lt;&gt;$BD14,$BO$4,0)))</f>
        <v/>
      </c>
      <c r="AI14" s="182" t="s">
        <v>10</v>
      </c>
      <c r="AJ14" s="94" t="s">
        <v>0</v>
      </c>
      <c r="AK14" s="95">
        <v>9</v>
      </c>
      <c r="AL14" s="20">
        <f>IF(OR(AJ$2="",AI14="",AK14=""),"",IF($BD14="","",IF(AI14=$BD14,ABS(AK14-$BF14),ABS(AK14+$BF14))+IF(AI14&lt;&gt;$BD14,$BO$4,0)))</f>
        <v>2</v>
      </c>
      <c r="AM14" s="182" t="s">
        <v>10</v>
      </c>
      <c r="AN14" s="94" t="s">
        <v>0</v>
      </c>
      <c r="AO14" s="95">
        <v>6</v>
      </c>
      <c r="AP14" s="20">
        <f>IF(OR(AN$2="",AM14="",AO14=""),"",IF($BD14="","",IF(AM14=$BD14,ABS(AO14-$BF14),ABS(AO14+$BF14))+IF(AM14&lt;&gt;$BD14,$BO$4,0)))</f>
        <v>1</v>
      </c>
      <c r="AQ14" s="182" t="s">
        <v>10</v>
      </c>
      <c r="AR14" s="94" t="s">
        <v>0</v>
      </c>
      <c r="AS14" s="95">
        <v>2</v>
      </c>
      <c r="AT14" s="20">
        <f>IF(OR(AR$2="",AQ14="",AS14=""),"",IF($BD14="","",IF(AQ14=$BD14,ABS(AS14-$BF14),ABS(AS14+$BF14))+IF(AQ14&lt;&gt;$BD14,$BO$4,0)))</f>
        <v>5</v>
      </c>
      <c r="AU14" s="182" t="s">
        <v>10</v>
      </c>
      <c r="AV14" s="94" t="s">
        <v>0</v>
      </c>
      <c r="AW14" s="95">
        <v>17</v>
      </c>
      <c r="AX14" s="20">
        <f>IF(OR(AV$2="",AU14="",AW14=""),"",IF($BD14="","",IF(AU14=$BD14,ABS(AW14-$BF14),ABS(AW14+$BF14))+IF(AU14&lt;&gt;$BD14,$BO$4,0)))</f>
        <v>10</v>
      </c>
      <c r="AY14" s="182" t="s">
        <v>9</v>
      </c>
      <c r="AZ14" s="94" t="s">
        <v>0</v>
      </c>
      <c r="BA14" s="95">
        <v>1</v>
      </c>
      <c r="BB14" s="22">
        <f>IF(OR(AZ$2="",AY14="",BA14=""),"",IF($BD14="","",IF(AY14=$BD14,ABS(BA14-$BF14),ABS(BA14+$BF14))+IF(AY14&lt;&gt;$BD14,$BO$4,0)))</f>
        <v>15</v>
      </c>
      <c r="BD14" s="35" t="str">
        <f>IF(OR(B14="",F14="",B14=F14),"",IF(B14&gt;F14,"V","H"))</f>
        <v>H</v>
      </c>
      <c r="BE14" s="35" t="s">
        <v>0</v>
      </c>
      <c r="BF14" s="35">
        <f>IF(OR(B14="",F14="",B14=F14),"",ABS(B14-F14))</f>
        <v>7</v>
      </c>
      <c r="BG14" s="35"/>
      <c r="BH14" s="79">
        <f>SUM(I14,M14,Q14,U14,Y14,AC14,AG14,AK14,AO14,AS14,AW14,BA14) + IF(G14="V",-(2*I14)) + IF(K14="V",-(2*M14)) + IF(O14="V",-(2*Q14)) + IF(S14="V",-(2*U14)) + IF(W14="V",-(2*Y14)) + IF(AA14="V",-(2*AC14)) + IF(AE14="V",-(2*AG14)) + IF(AI14="V",-(2*AK14)) + IF(AM14="V",-(2*AO14)) + IF(AQ14="V",-(2*AS14)) + IF(AU14="V",-(2*AW14)) + IF(AY14="V",-(2*BA14))</f>
        <v>51</v>
      </c>
      <c r="BI14" s="96" t="str">
        <f>IF(COUNTA(G14,K14,O14,S14,W14,AA14,AE14,AI14,AM14,AQ14,AU14,AY14)&gt;0,IF(BH14&lt;0,"V","H"),"")</f>
        <v>H</v>
      </c>
      <c r="BJ14" s="94" t="s">
        <v>0</v>
      </c>
      <c r="BK14" s="95">
        <f>IF(BI14="","",ROUND(IF(BH14=0,1,ABS(BH14)/COUNTA(G14,K14,O14,S14,W14,AA14,AE14,AI14,AM14,AQ14,AU14,AY14)),0))</f>
        <v>5</v>
      </c>
      <c r="BL14" s="22">
        <f>IF(OR(BI14="",BK14=""),"",IF($BD14="","",IF(BI14=$BD14,ABS(BK14-$BF14),ABS(BK14+$BF14))+IF(BI14&lt;&gt;$BD14,$BO$4,0)))</f>
        <v>2</v>
      </c>
      <c r="BM14" s="35"/>
      <c r="BN14" s="43"/>
      <c r="BO14" s="50"/>
      <c r="BP14" s="51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42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DK14" s="64"/>
      <c r="DL14" s="161" t="str">
        <f>CONCATENATE($DM$2,$G$20,$DN$2)</f>
        <v xml:space="preserve">   "V",</v>
      </c>
      <c r="DM14" s="121"/>
      <c r="DN14" s="121"/>
      <c r="DO14" s="59" t="str">
        <f>CONCATENATE(CHAR(34),$C$19,CHAR(34),",",CHAR(34),$C$20,CHAR(34))</f>
        <v>"Patriots","Cardinals"</v>
      </c>
      <c r="DT14" s="59" t="str">
        <f>CONCATENATE(CHAR(34),$E$19,CHAR(34),",",CHAR(34),$E$20,CHAR(34))</f>
        <v>"Broncos","Panthers"</v>
      </c>
    </row>
    <row r="15" spans="1:124" s="59" customFormat="1" ht="15" customHeight="1" x14ac:dyDescent="0.2">
      <c r="A15" s="3"/>
      <c r="B15" s="188">
        <v>16</v>
      </c>
      <c r="C15" s="183" t="s">
        <v>147</v>
      </c>
      <c r="D15" s="39" t="s">
        <v>3</v>
      </c>
      <c r="E15" s="184" t="s">
        <v>159</v>
      </c>
      <c r="F15" s="189">
        <v>23</v>
      </c>
      <c r="G15" s="182" t="s">
        <v>10</v>
      </c>
      <c r="H15" s="94" t="s">
        <v>0</v>
      </c>
      <c r="I15" s="95">
        <v>14</v>
      </c>
      <c r="J15" s="20">
        <f>IF(OR(H$2="",G15="",I15=""),"",IF($BD15="","",IF(G15=$BD15,ABS(I15-$BF15),ABS(I15+$BF15))+IF(G15&lt;&gt;$BD15,$BO$4,0)))</f>
        <v>7</v>
      </c>
      <c r="K15" s="182" t="s">
        <v>10</v>
      </c>
      <c r="L15" s="94" t="s">
        <v>0</v>
      </c>
      <c r="M15" s="95">
        <v>14</v>
      </c>
      <c r="N15" s="20">
        <f>IF(OR(L$2="",K15="",M15=""),"",IF($BD15="","",IF(K15=$BD15,ABS(M15-$BF15),ABS(M15+$BF15))+IF(K15&lt;&gt;$BD15,$BO$4,0)))</f>
        <v>7</v>
      </c>
      <c r="O15" s="182" t="s">
        <v>10</v>
      </c>
      <c r="P15" s="94" t="s">
        <v>0</v>
      </c>
      <c r="Q15" s="95">
        <v>7</v>
      </c>
      <c r="R15" s="20">
        <f>IF(OR(P$2="",O15="",Q15=""),"",IF($BD15="","",IF(O15=$BD15,ABS(Q15-$BF15),ABS(Q15+$BF15))+IF(O15&lt;&gt;$BD15,$BO$4,0)))</f>
        <v>0</v>
      </c>
      <c r="S15" s="182" t="s">
        <v>10</v>
      </c>
      <c r="T15" s="94" t="s">
        <v>0</v>
      </c>
      <c r="U15" s="95">
        <v>7</v>
      </c>
      <c r="V15" s="20">
        <f>IF(OR(T$2="",S15="",U15=""),"",IF($BD15="","",IF(S15=$BD15,ABS(U15-$BF15),ABS(U15+$BF15))+IF(S15&lt;&gt;$BD15,$BO$4,0)))</f>
        <v>0</v>
      </c>
      <c r="W15" s="182" t="s">
        <v>10</v>
      </c>
      <c r="X15" s="94" t="s">
        <v>0</v>
      </c>
      <c r="Y15" s="95">
        <v>3</v>
      </c>
      <c r="Z15" s="20">
        <f>IF(OR(X$2="",W15="",Y15=""),"",IF($BD15="","",IF(W15=$BD15,ABS(Y15-$BF15),ABS(Y15+$BF15))+IF(W15&lt;&gt;$BD15,$BO$4,0)))</f>
        <v>4</v>
      </c>
      <c r="AA15" s="182" t="s">
        <v>10</v>
      </c>
      <c r="AB15" s="94" t="s">
        <v>0</v>
      </c>
      <c r="AC15" s="95">
        <v>14</v>
      </c>
      <c r="AD15" s="20">
        <f>IF(OR(AB$2="",AA15="",AC15=""),"",IF($BD15="","",IF(AA15=$BD15,ABS(AC15-$BF15),ABS(AC15+$BF15))+IF(AA15&lt;&gt;$BD15,$BO$4,0)))</f>
        <v>7</v>
      </c>
      <c r="AE15" s="182"/>
      <c r="AF15" s="94" t="s">
        <v>0</v>
      </c>
      <c r="AG15" s="95"/>
      <c r="AH15" s="20" t="str">
        <f>IF(OR(AF$2="",AE15="",AG15=""),"",IF($BD15="","",IF(AE15=$BD15,ABS(AG15-$BF15),ABS(AG15+$BF15))+IF(AE15&lt;&gt;$BD15,$BO$4,0)))</f>
        <v/>
      </c>
      <c r="AI15" s="182" t="s">
        <v>9</v>
      </c>
      <c r="AJ15" s="94" t="s">
        <v>0</v>
      </c>
      <c r="AK15" s="95">
        <v>2</v>
      </c>
      <c r="AL15" s="20">
        <f>IF(OR(AJ$2="",AI15="",AK15=""),"",IF($BD15="","",IF(AI15=$BD15,ABS(AK15-$BF15),ABS(AK15+$BF15))+IF(AI15&lt;&gt;$BD15,$BO$4,0)))</f>
        <v>16</v>
      </c>
      <c r="AM15" s="182" t="s">
        <v>10</v>
      </c>
      <c r="AN15" s="94" t="s">
        <v>0</v>
      </c>
      <c r="AO15" s="95">
        <v>8</v>
      </c>
      <c r="AP15" s="20">
        <f>IF(OR(AN$2="",AM15="",AO15=""),"",IF($BD15="","",IF(AM15=$BD15,ABS(AO15-$BF15),ABS(AO15+$BF15))+IF(AM15&lt;&gt;$BD15,$BO$4,0)))</f>
        <v>1</v>
      </c>
      <c r="AQ15" s="182" t="s">
        <v>10</v>
      </c>
      <c r="AR15" s="94" t="s">
        <v>0</v>
      </c>
      <c r="AS15" s="95">
        <v>7</v>
      </c>
      <c r="AT15" s="20">
        <f>IF(OR(AR$2="",AQ15="",AS15=""),"",IF($BD15="","",IF(AQ15=$BD15,ABS(AS15-$BF15),ABS(AS15+$BF15))+IF(AQ15&lt;&gt;$BD15,$BO$4,0)))</f>
        <v>0</v>
      </c>
      <c r="AU15" s="182" t="s">
        <v>10</v>
      </c>
      <c r="AV15" s="94" t="s">
        <v>0</v>
      </c>
      <c r="AW15" s="95">
        <v>14</v>
      </c>
      <c r="AX15" s="20">
        <f>IF(OR(AV$2="",AU15="",AW15=""),"",IF($BD15="","",IF(AU15=$BD15,ABS(AW15-$BF15),ABS(AW15+$BF15))+IF(AU15&lt;&gt;$BD15,$BO$4,0)))</f>
        <v>7</v>
      </c>
      <c r="AY15" s="182" t="s">
        <v>10</v>
      </c>
      <c r="AZ15" s="94" t="s">
        <v>0</v>
      </c>
      <c r="BA15" s="95">
        <v>3</v>
      </c>
      <c r="BB15" s="22">
        <f>IF(OR(AZ$2="",AY15="",BA15=""),"",IF($BD15="","",IF(AY15=$BD15,ABS(BA15-$BF15),ABS(BA15+$BF15))+IF(AY15&lt;&gt;$BD15,$BO$4,0)))</f>
        <v>4</v>
      </c>
      <c r="BD15" s="35" t="str">
        <f>IF(OR(B15="",F15="",B15=F15),"",IF(B15&gt;F15,"V","H"))</f>
        <v>H</v>
      </c>
      <c r="BE15" s="35" t="s">
        <v>0</v>
      </c>
      <c r="BF15" s="35">
        <f>IF(OR(B15="",F15="",B15=F15),"",ABS(B15-F15))</f>
        <v>7</v>
      </c>
      <c r="BG15" s="35"/>
      <c r="BH15" s="79">
        <f>SUM(I15,M15,Q15,U15,Y15,AC15,AG15,AK15,AO15,AS15,AW15,BA15) + IF(G15="V",-(2*I15)) + IF(K15="V",-(2*M15)) + IF(O15="V",-(2*Q15)) + IF(S15="V",-(2*U15)) + IF(W15="V",-(2*Y15)) + IF(AA15="V",-(2*AC15)) + IF(AE15="V",-(2*AG15)) + IF(AI15="V",-(2*AK15)) + IF(AM15="V",-(2*AO15)) + IF(AQ15="V",-(2*AS15)) + IF(AU15="V",-(2*AW15)) + IF(AY15="V",-(2*BA15))</f>
        <v>89</v>
      </c>
      <c r="BI15" s="96" t="str">
        <f>IF(COUNTA(G15,K15,O15,S15,W15,AA15,AE15,AI15,AM15,AQ15,AU15,AY15)&gt;0,IF(BH15&lt;0,"V","H"),"")</f>
        <v>H</v>
      </c>
      <c r="BJ15" s="94" t="s">
        <v>0</v>
      </c>
      <c r="BK15" s="95">
        <f>IF(BI15="","",ROUND(IF(BH15=0,1,ABS(BH15)/COUNTA(G15,K15,O15,S15,W15,AA15,AE15,AI15,AM15,AQ15,AU15,AY15)),0))</f>
        <v>8</v>
      </c>
      <c r="BL15" s="22">
        <f>IF(OR(BI15="",BK15=""),"",IF($BD15="","",IF(BI15=$BD15,ABS(BK15-$BF15),ABS(BK15+$BF15))+IF(BI15&lt;&gt;$BD15,$BO$4,0)))</f>
        <v>1</v>
      </c>
      <c r="BN15" s="43"/>
      <c r="BQ15" s="54"/>
      <c r="BR15" s="54"/>
      <c r="BS15" s="54"/>
      <c r="BT15" s="54"/>
      <c r="BU15" s="54"/>
      <c r="BV15" s="54"/>
      <c r="BW15" s="54"/>
      <c r="BX15" s="54"/>
      <c r="BY15" s="44"/>
      <c r="BZ15" s="44"/>
      <c r="CA15" s="42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DK15" s="64"/>
      <c r="DL15" s="161" t="str">
        <f>CONCATENATE($DM$2,$G$24,$DN$3)</f>
        <v xml:space="preserve">   "V"</v>
      </c>
      <c r="DM15" s="121"/>
      <c r="DN15" s="121"/>
      <c r="DO15" s="59" t="str">
        <f>CONCATENATE(CHAR(34),$C$24,CHAR(34))</f>
        <v>"Panthers"</v>
      </c>
      <c r="DT15" s="59" t="str">
        <f>CONCATENATE(CHAR(34),$E$24,CHAR(34))</f>
        <v>"Broncos"</v>
      </c>
    </row>
    <row r="16" spans="1:124" s="59" customFormat="1" ht="9.9499999999999993" customHeight="1" x14ac:dyDescent="0.2">
      <c r="A16" s="3"/>
      <c r="B16" s="127"/>
      <c r="C16" s="128"/>
      <c r="D16" s="118"/>
      <c r="E16" s="159" t="s">
        <v>115</v>
      </c>
      <c r="F16" s="160">
        <f>IF(SUM(B15,F15)=0,"",SUM(B15,F15))</f>
        <v>39</v>
      </c>
      <c r="G16" s="185"/>
      <c r="H16" s="129" t="s">
        <v>71</v>
      </c>
      <c r="I16" s="130">
        <v>40</v>
      </c>
      <c r="J16" s="119" t="str">
        <f>IF(OR($F16="",I16="",J17=""),"",IF(AND(COUNTIF($J35:$BB35,J35)&gt;1,RANK(J35,$J35:$BB35,1)=1),$F16-I16,""))</f>
        <v/>
      </c>
      <c r="K16" s="185"/>
      <c r="L16" s="129" t="s">
        <v>71</v>
      </c>
      <c r="M16" s="130">
        <v>55</v>
      </c>
      <c r="N16" s="119" t="str">
        <f>IF(OR($F16="",M16="",N17=""),"",IF(AND(COUNTIF($J35:$BB35,N35)&gt;1,RANK(N35,$J35:$BB35,1)=1),$F16-M16,""))</f>
        <v/>
      </c>
      <c r="O16" s="185"/>
      <c r="P16" s="129" t="s">
        <v>71</v>
      </c>
      <c r="Q16" s="130">
        <v>40</v>
      </c>
      <c r="R16" s="119">
        <f>IF(OR($F16="",Q16="",R17=""),"",IF(AND(COUNTIF($J35:$BB35,R35)&gt;1,RANK(R35,$J35:$BB35,1)=1),$F16-Q16,""))</f>
        <v>-1</v>
      </c>
      <c r="S16" s="185"/>
      <c r="T16" s="129" t="s">
        <v>71</v>
      </c>
      <c r="U16" s="130">
        <v>42</v>
      </c>
      <c r="V16" s="119" t="str">
        <f>IF(OR($F16="",U16="",V17=""),"",IF(AND(COUNTIF($J35:$BB35,V35)&gt;1,RANK(V35,$J35:$BB35,1)=1),$F16-U16,""))</f>
        <v/>
      </c>
      <c r="W16" s="185"/>
      <c r="X16" s="129" t="s">
        <v>71</v>
      </c>
      <c r="Y16" s="130">
        <v>41</v>
      </c>
      <c r="Z16" s="119" t="str">
        <f>IF(OR($F16="",Y16="",Z17=""),"",IF(AND(COUNTIF($J35:$BB35,Z35)&gt;1,RANK(Z35,$J35:$BB35,1)=1),$F16-Y16,""))</f>
        <v/>
      </c>
      <c r="AA16" s="185"/>
      <c r="AB16" s="129" t="s">
        <v>71</v>
      </c>
      <c r="AC16" s="130">
        <v>42</v>
      </c>
      <c r="AD16" s="119" t="str">
        <f>IF(OR($F16="",AC16="",AD17=""),"",IF(AND(COUNTIF($J35:$BB35,AD35)&gt;1,RANK(AD35,$J35:$BB35,1)=1),$F16-AC16,""))</f>
        <v/>
      </c>
      <c r="AE16" s="185"/>
      <c r="AF16" s="129" t="s">
        <v>71</v>
      </c>
      <c r="AG16" s="130"/>
      <c r="AH16" s="119" t="str">
        <f>IF(OR($F16="",AG16="",AH17=""),"",IF(AND(COUNTIF($J35:$BB35,AH35)&gt;1,RANK(AH35,$J35:$BB35,1)=1),$F16-AG16,""))</f>
        <v/>
      </c>
      <c r="AI16" s="185"/>
      <c r="AJ16" s="129" t="s">
        <v>71</v>
      </c>
      <c r="AK16" s="130">
        <v>41</v>
      </c>
      <c r="AL16" s="119" t="str">
        <f>IF(OR($F16="",AK16="",AL17=""),"",IF(AND(COUNTIF($J35:$BB35,AL35)&gt;1,RANK(AL35,$J35:$BB35,1)=1),$F16-AK16,""))</f>
        <v/>
      </c>
      <c r="AM16" s="185"/>
      <c r="AN16" s="129" t="s">
        <v>71</v>
      </c>
      <c r="AO16" s="130">
        <v>45</v>
      </c>
      <c r="AP16" s="119" t="str">
        <f>IF(OR($F16="",AO16="",AP17=""),"",IF(AND(COUNTIF($J35:$BB35,AP35)&gt;1,RANK(AP35,$J35:$BB35,1)=1),$F16-AO16,""))</f>
        <v/>
      </c>
      <c r="AQ16" s="185"/>
      <c r="AR16" s="129" t="s">
        <v>71</v>
      </c>
      <c r="AS16" s="130">
        <v>40</v>
      </c>
      <c r="AT16" s="119">
        <f>IF(OR($F16="",AS16="",AT17=""),"",IF(AND(COUNTIF($J35:$BB35,AT35)&gt;1,RANK(AT35,$J35:$BB35,1)=1),$F16-AS16,""))</f>
        <v>-1</v>
      </c>
      <c r="AU16" s="185"/>
      <c r="AV16" s="129" t="s">
        <v>71</v>
      </c>
      <c r="AW16" s="130">
        <v>41</v>
      </c>
      <c r="AX16" s="119" t="str">
        <f>IF(OR($F16="",AW16="",AX17=""),"",IF(AND(COUNTIF($J35:$BB35,AX35)&gt;1,RANK(AX35,$J35:$BB35,1)=1),$F16-AW16,""))</f>
        <v/>
      </c>
      <c r="AY16" s="185"/>
      <c r="AZ16" s="129" t="s">
        <v>71</v>
      </c>
      <c r="BA16" s="130">
        <v>28</v>
      </c>
      <c r="BB16" s="120" t="str">
        <f>IF(OR($F16="",BA16="",BB17=""),"",IF(AND(COUNTIF($J35:$BB35,BB35)&gt;1,RANK(BB35,$J35:$BB35,1)=1),$F16-BA16,""))</f>
        <v/>
      </c>
      <c r="BC16" s="133"/>
      <c r="BD16" s="35"/>
      <c r="BE16" s="35"/>
      <c r="BF16" s="35"/>
      <c r="BG16" s="35"/>
      <c r="BH16" s="132"/>
      <c r="BI16" s="131"/>
      <c r="BJ16" s="129" t="s">
        <v>71</v>
      </c>
      <c r="BK16" s="130">
        <f>IF(SUM(I16,M16,Q16,U16,Y16,AC16,AG16,AK16,AO16,AS16,AW16,BA16)=0,"",ROUND(AVERAGE(I16,M16,Q16,U16,Y16,AC16,AG16,AK16,AO16,AS16,AW16,BA16),0))</f>
        <v>41</v>
      </c>
      <c r="BL16" s="120">
        <f>IF(OR($F16="",BK16=""),"",$F16-BK16)</f>
        <v>-2</v>
      </c>
      <c r="BM16" s="36"/>
      <c r="BN16" s="43"/>
      <c r="BO16" s="50">
        <v>1</v>
      </c>
      <c r="BP16" s="51" t="s">
        <v>15</v>
      </c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42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DK16" s="64"/>
      <c r="DL16" s="161" t="s">
        <v>31</v>
      </c>
      <c r="DM16" s="121"/>
      <c r="DN16" s="121"/>
    </row>
    <row r="17" spans="1:118" s="59" customFormat="1" ht="21" customHeight="1" thickBot="1" x14ac:dyDescent="0.25">
      <c r="A17" s="3"/>
      <c r="B17" s="23"/>
      <c r="C17" s="24"/>
      <c r="D17" s="24"/>
      <c r="E17" s="25"/>
      <c r="F17" s="73" t="s">
        <v>63</v>
      </c>
      <c r="G17" s="26"/>
      <c r="H17" s="27" t="s">
        <v>2</v>
      </c>
      <c r="I17" s="75">
        <f>IF(J17="","",IF(OR(RANK(J35,$J35:$BB35,1)&gt;1,AND(RANK(J35,$J35:$BB35,1)=1,COUNTIF($J35:$BB35,J35)=1)),RANK(J35,$J35:$BB35,1),IF(MIN($J54:$BB54)=J54,1,COUNTIF($J54:$BB54,MIN($J54:$BB54))+1)))</f>
        <v>9</v>
      </c>
      <c r="J17" s="46">
        <f>IF(H$2="","",(IF(AND(COUNTBLANK(G12:G15)=0,COUNTBLANK(I12:I15)=0),(SUM(J12:J15))*$BO$16,"")))</f>
        <v>43</v>
      </c>
      <c r="K17" s="26"/>
      <c r="L17" s="27" t="s">
        <v>2</v>
      </c>
      <c r="M17" s="75">
        <f>IF(N17="","",IF(OR(RANK(N35,$J35:$BB35,1)&gt;1,AND(RANK(N35,$J35:$BB35,1)=1,COUNTIF($J35:$BB35,N35)=1)),RANK(N35,$J35:$BB35,1),IF(MIN($J54:$BB54)=N54,1,COUNTIF($J54:$BB54,MIN($J54:$BB54))+1)))</f>
        <v>7</v>
      </c>
      <c r="N17" s="46">
        <f>IF(L$2="","",(IF(AND(COUNTBLANK(K12:K15)=0,COUNTBLANK(M12:M15)=0),(SUM(N12:N15))*$BO$16,"")))</f>
        <v>29</v>
      </c>
      <c r="O17" s="26"/>
      <c r="P17" s="27" t="s">
        <v>2</v>
      </c>
      <c r="Q17" s="75">
        <f>IF(R17="","",IF(OR(RANK(R35,$J35:$BB35,1)&gt;1,AND(RANK(R35,$J35:$BB35,1)=1,COUNTIF($J35:$BB35,R35)=1)),RANK(R35,$J35:$BB35,1),IF(MIN($J54:$BB54)=R54,1,COUNTIF($J54:$BB54,MIN($J54:$BB54))+1)))</f>
        <v>1</v>
      </c>
      <c r="R17" s="46">
        <f>IF(P$2="","",(IF(AND(COUNTBLANK(O12:O15)=0,COUNTBLANK(Q12:Q15)=0),(SUM(R12:R15))*$BO$16,"")))</f>
        <v>9</v>
      </c>
      <c r="S17" s="26"/>
      <c r="T17" s="27" t="s">
        <v>2</v>
      </c>
      <c r="U17" s="75">
        <f>IF(V17="","",IF(OR(RANK(V35,$J35:$BB35,1)&gt;1,AND(RANK(V35,$J35:$BB35,1)=1,COUNTIF($J35:$BB35,V35)=1)),RANK(V35,$J35:$BB35,1),IF(MIN($J54:$BB54)=V54,1,COUNTIF($J54:$BB54,MIN($J54:$BB54))+1)))</f>
        <v>7</v>
      </c>
      <c r="V17" s="46">
        <f>IF(T$2="","",(IF(AND(COUNTBLANK(S12:S15)=0,COUNTBLANK(U12:U15)=0),(SUM(V12:V15))*$BO$16,"")))</f>
        <v>29</v>
      </c>
      <c r="W17" s="26"/>
      <c r="X17" s="27" t="s">
        <v>2</v>
      </c>
      <c r="Y17" s="75">
        <f>IF(Z17="","",IF(OR(RANK(Z35,$J35:$BB35,1)&gt;1,AND(RANK(Z35,$J35:$BB35,1)=1,COUNTIF($J35:$BB35,Z35)=1)),RANK(Z35,$J35:$BB35,1),IF(MIN($J54:$BB54)=Z54,1,COUNTIF($J54:$BB54,MIN($J54:$BB54))+1)))</f>
        <v>3</v>
      </c>
      <c r="Z17" s="46">
        <f>IF(X$2="","",(IF(AND(COUNTBLANK(W12:W15)=0,COUNTBLANK(Y12:Y15)=0),(SUM(Z12:Z15))*$BO$16,"")))</f>
        <v>12</v>
      </c>
      <c r="AA17" s="26"/>
      <c r="AB17" s="27" t="s">
        <v>2</v>
      </c>
      <c r="AC17" s="75">
        <f>IF(AD17="","",IF(OR(RANK(AD35,$J35:$BB35,1)&gt;1,AND(RANK(AD35,$J35:$BB35,1)=1,COUNTIF($J35:$BB35,AD35)=1)),RANK(AD35,$J35:$BB35,1),IF(MIN($J54:$BB54)=AD54,1,COUNTIF($J54:$BB54,MIN($J54:$BB54))+1)))</f>
        <v>11</v>
      </c>
      <c r="AD17" s="46">
        <f>IF(AB$2="","",(IF(AND(COUNTBLANK(AA12:AA15)=0,COUNTBLANK(AC12:AC15)=0),(SUM(AD12:AD15))*$BO$16,"")))</f>
        <v>46</v>
      </c>
      <c r="AE17" s="26"/>
      <c r="AF17" s="27" t="s">
        <v>2</v>
      </c>
      <c r="AG17" s="75" t="str">
        <f>IF(AH17="","",IF(OR(RANK(AH35,$J35:$BB35,1)&gt;1,AND(RANK(AH35,$J35:$BB35,1)=1,COUNTIF($J35:$BB35,AH35)=1)),RANK(AH35,$J35:$BB35,1),IF(MIN($J54:$BB54)=AH54,1,COUNTIF($J54:$BB54,MIN($J54:$BB54))+1)))</f>
        <v/>
      </c>
      <c r="AH17" s="46" t="str">
        <f>IF(AF$2="","",(IF(AND(COUNTBLANK(AE12:AE15)=0,COUNTBLANK(AG12:AG15)=0),(SUM(AH12:AH15))*$BO$16,"")))</f>
        <v/>
      </c>
      <c r="AI17" s="26"/>
      <c r="AJ17" s="27" t="s">
        <v>2</v>
      </c>
      <c r="AK17" s="75">
        <f>IF(AL17="","",IF(OR(RANK(AL35,$J35:$BB35,1)&gt;1,AND(RANK(AL35,$J35:$BB35,1)=1,COUNTIF($J35:$BB35,AL35)=1)),RANK(AL35,$J35:$BB35,1),IF(MIN($J54:$BB54)=AL54,1,COUNTIF($J54:$BB54,MIN($J54:$BB54))+1)))</f>
        <v>5</v>
      </c>
      <c r="AL17" s="46">
        <f>IF(AJ$2="","",(IF(AND(COUNTBLANK(AI12:AI15)=0,COUNTBLANK(AK12:AK15)=0),(SUM(AL12:AL15))*$BO$16,"")))</f>
        <v>22</v>
      </c>
      <c r="AM17" s="26"/>
      <c r="AN17" s="27" t="s">
        <v>2</v>
      </c>
      <c r="AO17" s="75">
        <f>IF(AP17="","",IF(OR(RANK(AP35,$J35:$BB35,1)&gt;1,AND(RANK(AP35,$J35:$BB35,1)=1,COUNTIF($J35:$BB35,AP35)=1)),RANK(AP35,$J35:$BB35,1),IF(MIN($J54:$BB54)=AP54,1,COUNTIF($J54:$BB54,MIN($J54:$BB54))+1)))</f>
        <v>4</v>
      </c>
      <c r="AP17" s="46">
        <f>IF(AN$2="","",(IF(AND(COUNTBLANK(AM12:AM15)=0,COUNTBLANK(AO12:AO15)=0),(SUM(AP12:AP15))*$BO$16,"")))</f>
        <v>18</v>
      </c>
      <c r="AQ17" s="26"/>
      <c r="AR17" s="27" t="s">
        <v>2</v>
      </c>
      <c r="AS17" s="75">
        <f>IF(AT17="","",IF(OR(RANK(AT35,$J35:$BB35,1)&gt;1,AND(RANK(AT35,$J35:$BB35,1)=1,COUNTIF($J35:$BB35,AT35)=1)),RANK(AT35,$J35:$BB35,1),IF(MIN($J54:$BB54)=AT54,1,COUNTIF($J54:$BB54,MIN($J54:$BB54))+1)))</f>
        <v>1</v>
      </c>
      <c r="AT17" s="46">
        <f>IF(AR$2="","",(IF(AND(COUNTBLANK(AQ12:AQ15)=0,COUNTBLANK(AS12:AS15)=0),(SUM(AT12:AT15))*$BO$16,"")))</f>
        <v>9</v>
      </c>
      <c r="AU17" s="26"/>
      <c r="AV17" s="27" t="s">
        <v>2</v>
      </c>
      <c r="AW17" s="75">
        <f>IF(AX17="","",IF(OR(RANK(AX35,$J35:$BB35,1)&gt;1,AND(RANK(AX35,$J35:$BB35,1)=1,COUNTIF($J35:$BB35,AX35)=1)),RANK(AX35,$J35:$BB35,1),IF(MIN($J54:$BB54)=AX54,1,COUNTIF($J54:$BB54,MIN($J54:$BB54))+1)))</f>
        <v>10</v>
      </c>
      <c r="AX17" s="46">
        <f>IF(AV$2="","",(IF(AND(COUNTBLANK(AU12:AU15)=0,COUNTBLANK(AW12:AW15)=0),(SUM(AX12:AX15))*$BO$16,"")))</f>
        <v>45</v>
      </c>
      <c r="AY17" s="48"/>
      <c r="AZ17" s="49" t="s">
        <v>2</v>
      </c>
      <c r="BA17" s="76">
        <f>IF(BB17="","",IF(OR(RANK(BB35,$J35:$BB35,1)&gt;1,AND(RANK(BB35,$J35:$BB35,1)=1,COUNTIF($J35:$BB35,BB35)=1)),RANK(BB35,$J35:$BB35,1),IF(MIN($J54:$BB54)=BB54,1,COUNTIF($J54:$BB54,MIN($J54:$BB54))+1)))</f>
        <v>6</v>
      </c>
      <c r="BB17" s="47">
        <f>IF(AZ$2="","",(IF(AND(COUNTBLANK(AY12:AY15)=0,COUNTBLANK(BA12:BA15)=0),(SUM(BB12:BB15))*$BO$16,"")))</f>
        <v>27</v>
      </c>
      <c r="BH17" s="79"/>
      <c r="BI17" s="83"/>
      <c r="BJ17" s="49" t="s">
        <v>2</v>
      </c>
      <c r="BK17" s="76">
        <f>IF(BL17="","",RANK(BL35,$J35:$BL35,1))</f>
        <v>3</v>
      </c>
      <c r="BL17" s="47">
        <f>IF(AND(COUNTBLANK(BI12:BI15)=0,COUNTBLANK(BK12:BK15)=0),(SUM(BL12:BL15))*$BO$16,"")</f>
        <v>11</v>
      </c>
      <c r="BM17" s="35"/>
      <c r="BN17" s="43"/>
      <c r="BO17" s="50">
        <f>COUNTIF(J34:BB34,1)</f>
        <v>2</v>
      </c>
      <c r="BP17" s="51" t="s">
        <v>21</v>
      </c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42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DK17" s="64"/>
      <c r="DL17" s="161"/>
      <c r="DM17" s="121"/>
      <c r="DN17" s="121"/>
    </row>
    <row r="18" spans="1:118" s="59" customFormat="1" ht="24" customHeight="1" thickBot="1" x14ac:dyDescent="0.25">
      <c r="A18" s="3"/>
      <c r="B18" s="158" t="s">
        <v>112</v>
      </c>
      <c r="D18" s="16"/>
      <c r="E18" s="16"/>
      <c r="F18" s="17"/>
      <c r="G18" s="18"/>
      <c r="H18" s="18"/>
      <c r="I18" s="18"/>
      <c r="J18" s="18"/>
      <c r="K18" s="69" t="str">
        <f>IF($BO$21&lt;&gt;1,CONCATENATE("(combined scores are multiplied by ",$BO$21,")"),"")</f>
        <v>(combined scores are multiplied by 2)</v>
      </c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9"/>
      <c r="BD18" s="36"/>
      <c r="BE18" s="37"/>
      <c r="BF18" s="36"/>
      <c r="BG18" s="36"/>
      <c r="BH18" s="79"/>
      <c r="BI18" s="82"/>
      <c r="BJ18" s="18"/>
      <c r="BK18" s="18"/>
      <c r="BL18" s="19"/>
      <c r="BM18" s="35"/>
      <c r="BN18" s="43"/>
      <c r="BO18" s="50"/>
      <c r="BP18" s="51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42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DK18" s="64"/>
      <c r="DL18" s="161" t="s">
        <v>32</v>
      </c>
      <c r="DM18" s="121"/>
      <c r="DN18" s="121"/>
    </row>
    <row r="19" spans="1:118" s="59" customFormat="1" ht="15" customHeight="1" x14ac:dyDescent="0.2">
      <c r="A19" s="3"/>
      <c r="B19" s="188">
        <v>18</v>
      </c>
      <c r="C19" s="180" t="s">
        <v>156</v>
      </c>
      <c r="D19" s="38" t="s">
        <v>3</v>
      </c>
      <c r="E19" s="181" t="s">
        <v>159</v>
      </c>
      <c r="F19" s="189">
        <v>20</v>
      </c>
      <c r="G19" s="182" t="s">
        <v>9</v>
      </c>
      <c r="H19" s="94" t="s">
        <v>0</v>
      </c>
      <c r="I19" s="95">
        <v>13</v>
      </c>
      <c r="J19" s="20">
        <f>IF(OR(H$2="",G19="",I19=""),"",IF($BD19="","",IF(G19=$BD19,ABS(I19-$BF19),ABS(I19+$BF19))+IF(G19&lt;&gt;$BD19,$BO$4,0)))</f>
        <v>22</v>
      </c>
      <c r="K19" s="182" t="s">
        <v>9</v>
      </c>
      <c r="L19" s="94" t="s">
        <v>0</v>
      </c>
      <c r="M19" s="95">
        <v>10</v>
      </c>
      <c r="N19" s="20">
        <f>IF(OR(L$2="",K19="",M19=""),"",IF($BD19="","",IF(K19=$BD19,ABS(M19-$BF19),ABS(M19+$BF19))+IF(K19&lt;&gt;$BD19,$BO$4,0)))</f>
        <v>19</v>
      </c>
      <c r="O19" s="182" t="s">
        <v>9</v>
      </c>
      <c r="P19" s="94" t="s">
        <v>0</v>
      </c>
      <c r="Q19" s="95">
        <v>3</v>
      </c>
      <c r="R19" s="20">
        <f>IF(OR(P$2="",O19="",Q19=""),"",IF($BD19="","",IF(O19=$BD19,ABS(Q19-$BF19),ABS(Q19+$BF19))+IF(O19&lt;&gt;$BD19,$BO$4,0)))</f>
        <v>12</v>
      </c>
      <c r="S19" s="182" t="s">
        <v>10</v>
      </c>
      <c r="T19" s="94" t="s">
        <v>0</v>
      </c>
      <c r="U19" s="95">
        <v>7</v>
      </c>
      <c r="V19" s="20">
        <f>IF(OR(T$2="",S19="",U19=""),"",IF($BD19="","",IF(S19=$BD19,ABS(U19-$BF19),ABS(U19+$BF19))+IF(S19&lt;&gt;$BD19,$BO$4,0)))</f>
        <v>5</v>
      </c>
      <c r="W19" s="182" t="s">
        <v>9</v>
      </c>
      <c r="X19" s="94" t="s">
        <v>0</v>
      </c>
      <c r="Y19" s="95">
        <v>3</v>
      </c>
      <c r="Z19" s="20">
        <f>IF(OR(X$2="",W19="",Y19=""),"",IF($BD19="","",IF(W19=$BD19,ABS(Y19-$BF19),ABS(Y19+$BF19))+IF(W19&lt;&gt;$BD19,$BO$4,0)))</f>
        <v>12</v>
      </c>
      <c r="AA19" s="182" t="s">
        <v>9</v>
      </c>
      <c r="AB19" s="94" t="s">
        <v>0</v>
      </c>
      <c r="AC19" s="95">
        <v>10</v>
      </c>
      <c r="AD19" s="20">
        <f>IF(OR(AB$2="",AA19="",AC19=""),"",IF($BD19="","",IF(AA19=$BD19,ABS(AC19-$BF19),ABS(AC19+$BF19))+IF(AA19&lt;&gt;$BD19,$BO$4,0)))</f>
        <v>19</v>
      </c>
      <c r="AE19" s="182" t="s">
        <v>9</v>
      </c>
      <c r="AF19" s="94" t="s">
        <v>0</v>
      </c>
      <c r="AG19" s="95">
        <v>14</v>
      </c>
      <c r="AH19" s="20">
        <f>IF(OR(AF$2="",AE19="",AG19=""),"",IF($BD19="","",IF(AE19=$BD19,ABS(AG19-$BF19),ABS(AG19+$BF19))+IF(AE19&lt;&gt;$BD19,$BO$4,0)))</f>
        <v>23</v>
      </c>
      <c r="AI19" s="182" t="s">
        <v>9</v>
      </c>
      <c r="AJ19" s="94" t="s">
        <v>0</v>
      </c>
      <c r="AK19" s="95">
        <v>11</v>
      </c>
      <c r="AL19" s="20">
        <f>IF(OR(AJ$2="",AI19="",AK19=""),"",IF($BD19="","",IF(AI19=$BD19,ABS(AK19-$BF19),ABS(AK19+$BF19))+IF(AI19&lt;&gt;$BD19,$BO$4,0)))</f>
        <v>20</v>
      </c>
      <c r="AM19" s="182" t="s">
        <v>10</v>
      </c>
      <c r="AN19" s="94" t="s">
        <v>0</v>
      </c>
      <c r="AO19" s="95">
        <v>3</v>
      </c>
      <c r="AP19" s="20">
        <f>IF(OR(AN$2="",AM19="",AO19=""),"",IF($BD19="","",IF(AM19=$BD19,ABS(AO19-$BF19),ABS(AO19+$BF19))+IF(AM19&lt;&gt;$BD19,$BO$4,0)))</f>
        <v>1</v>
      </c>
      <c r="AQ19" s="182" t="s">
        <v>9</v>
      </c>
      <c r="AR19" s="94" t="s">
        <v>0</v>
      </c>
      <c r="AS19" s="95">
        <v>4</v>
      </c>
      <c r="AT19" s="20">
        <f>IF(OR(AR$2="",AQ19="",AS19=""),"",IF($BD19="","",IF(AQ19=$BD19,ABS(AS19-$BF19),ABS(AS19+$BF19))+IF(AQ19&lt;&gt;$BD19,$BO$4,0)))</f>
        <v>13</v>
      </c>
      <c r="AU19" s="182" t="s">
        <v>9</v>
      </c>
      <c r="AV19" s="94" t="s">
        <v>0</v>
      </c>
      <c r="AW19" s="95">
        <v>17</v>
      </c>
      <c r="AX19" s="20">
        <f>IF(OR(AV$2="",AU19="",AW19=""),"",IF($BD19="","",IF(AU19=$BD19,ABS(AW19-$BF19),ABS(AW19+$BF19))+IF(AU19&lt;&gt;$BD19,$BO$4,0)))</f>
        <v>26</v>
      </c>
      <c r="AY19" s="182" t="s">
        <v>9</v>
      </c>
      <c r="AZ19" s="94" t="s">
        <v>0</v>
      </c>
      <c r="BA19" s="95">
        <v>7</v>
      </c>
      <c r="BB19" s="22">
        <f>IF(OR(AZ$2="",AY19="",BA19=""),"",IF($BD19="","",IF(AY19=$BD19,ABS(BA19-$BF19),ABS(BA19+$BF19))+IF(AY19&lt;&gt;$BD19,$BO$4,0)))</f>
        <v>16</v>
      </c>
      <c r="BD19" s="35" t="str">
        <f>IF(OR(B19="",F19="",B19=F19),"",IF(B19&gt;F19,"V","H"))</f>
        <v>H</v>
      </c>
      <c r="BE19" s="35" t="s">
        <v>0</v>
      </c>
      <c r="BF19" s="35">
        <f>IF(OR(B19="",F19="",B19=F19),"",ABS(B19-F19))</f>
        <v>2</v>
      </c>
      <c r="BG19" s="35"/>
      <c r="BH19" s="79">
        <f>SUM(I19,M19,Q19,U19,Y19,AC19,AG19,AK19,AO19,AS19,AW19,BA19) + IF(G19="V",-(2*I19)) + IF(K19="V",-(2*M19)) + IF(O19="V",-(2*Q19)) + IF(S19="V",-(2*U19)) + IF(W19="V",-(2*Y19)) + IF(AA19="V",-(2*AC19)) + IF(AE19="V",-(2*AG19)) + IF(AI19="V",-(2*AK19)) + IF(AM19="V",-(2*AO19)) + IF(AQ19="V",-(2*AS19)) + IF(AU19="V",-(2*AW19)) + IF(AY19="V",-(2*BA19))</f>
        <v>-82</v>
      </c>
      <c r="BI19" s="96" t="str">
        <f>IF(COUNTA(G19,K19,O19,S19,W19,AA19,AE19,AI19,AM19,AQ19,AU19,AY19)&gt;0,IF(BH19&lt;0,"V","H"),"")</f>
        <v>V</v>
      </c>
      <c r="BJ19" s="94" t="s">
        <v>0</v>
      </c>
      <c r="BK19" s="95">
        <f>IF(BI19="","",ROUND(IF(BH19=0,1,ABS(BH19)/COUNTA(G19,K19,O19,S19,W19,AA19,AE19,AI19,AM19,AQ19,AU19,AY19)),0))</f>
        <v>7</v>
      </c>
      <c r="BL19" s="22">
        <f>IF(OR(BI19="",BK19=""),"",IF($BD19="","",IF(BI19=$BD19,ABS(BK19-$BF19),ABS(BK19+$BF19))+IF(BI19&lt;&gt;$BD19,$BO$4,0)))</f>
        <v>16</v>
      </c>
      <c r="BN19" s="43"/>
      <c r="BQ19" s="54"/>
      <c r="BR19" s="54"/>
      <c r="BS19" s="54"/>
      <c r="BT19" s="54"/>
      <c r="BU19" s="54"/>
      <c r="BV19" s="54"/>
      <c r="BW19" s="54"/>
      <c r="BX19" s="54"/>
      <c r="BY19" s="44"/>
      <c r="BZ19" s="44"/>
      <c r="CA19" s="42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DK19" s="64"/>
      <c r="DL19" s="161" t="str">
        <f>CONCATENATE($DM$2,$I$5,$DN$2)</f>
        <v xml:space="preserve">   "5",</v>
      </c>
      <c r="DM19" s="121"/>
      <c r="DN19" s="121"/>
    </row>
    <row r="20" spans="1:118" s="59" customFormat="1" ht="15" customHeight="1" x14ac:dyDescent="0.2">
      <c r="A20" s="3"/>
      <c r="B20" s="188">
        <v>15</v>
      </c>
      <c r="C20" s="183" t="s">
        <v>157</v>
      </c>
      <c r="D20" s="39" t="s">
        <v>3</v>
      </c>
      <c r="E20" s="184" t="s">
        <v>158</v>
      </c>
      <c r="F20" s="189">
        <v>49</v>
      </c>
      <c r="G20" s="182" t="s">
        <v>9</v>
      </c>
      <c r="H20" s="94" t="s">
        <v>0</v>
      </c>
      <c r="I20" s="95">
        <v>10</v>
      </c>
      <c r="J20" s="20">
        <f>IF(OR(H$2="",G20="",I20=""),"",IF($BD20="","",IF(G20=$BD20,ABS(I20-$BF20),ABS(I20+$BF20))+IF(G20&lt;&gt;$BD20,$BO$4,0)))</f>
        <v>51</v>
      </c>
      <c r="K20" s="182" t="s">
        <v>10</v>
      </c>
      <c r="L20" s="94" t="s">
        <v>0</v>
      </c>
      <c r="M20" s="95">
        <v>14</v>
      </c>
      <c r="N20" s="20">
        <f>IF(OR(L$2="",K20="",M20=""),"",IF($BD20="","",IF(K20=$BD20,ABS(M20-$BF20),ABS(M20+$BF20))+IF(K20&lt;&gt;$BD20,$BO$4,0)))</f>
        <v>20</v>
      </c>
      <c r="O20" s="182" t="s">
        <v>10</v>
      </c>
      <c r="P20" s="94" t="s">
        <v>0</v>
      </c>
      <c r="Q20" s="95">
        <v>5</v>
      </c>
      <c r="R20" s="20">
        <f>IF(OR(P$2="",O20="",Q20=""),"",IF($BD20="","",IF(O20=$BD20,ABS(Q20-$BF20),ABS(Q20+$BF20))+IF(O20&lt;&gt;$BD20,$BO$4,0)))</f>
        <v>29</v>
      </c>
      <c r="S20" s="182" t="s">
        <v>9</v>
      </c>
      <c r="T20" s="94" t="s">
        <v>0</v>
      </c>
      <c r="U20" s="95">
        <v>3</v>
      </c>
      <c r="V20" s="20">
        <f>IF(OR(T$2="",S20="",U20=""),"",IF($BD20="","",IF(S20=$BD20,ABS(U20-$BF20),ABS(U20+$BF20))+IF(S20&lt;&gt;$BD20,$BO$4,0)))</f>
        <v>44</v>
      </c>
      <c r="W20" s="182" t="s">
        <v>10</v>
      </c>
      <c r="X20" s="94" t="s">
        <v>0</v>
      </c>
      <c r="Y20" s="95">
        <v>3</v>
      </c>
      <c r="Z20" s="20">
        <f>IF(OR(X$2="",W20="",Y20=""),"",IF($BD20="","",IF(W20=$BD20,ABS(Y20-$BF20),ABS(Y20+$BF20))+IF(W20&lt;&gt;$BD20,$BO$4,0)))</f>
        <v>31</v>
      </c>
      <c r="AA20" s="182" t="s">
        <v>9</v>
      </c>
      <c r="AB20" s="94" t="s">
        <v>0</v>
      </c>
      <c r="AC20" s="95">
        <v>10</v>
      </c>
      <c r="AD20" s="20">
        <f>IF(OR(AB$2="",AA20="",AC20=""),"",IF($BD20="","",IF(AA20=$BD20,ABS(AC20-$BF20),ABS(AC20+$BF20))+IF(AA20&lt;&gt;$BD20,$BO$4,0)))</f>
        <v>51</v>
      </c>
      <c r="AE20" s="182" t="s">
        <v>9</v>
      </c>
      <c r="AF20" s="94" t="s">
        <v>0</v>
      </c>
      <c r="AG20" s="95">
        <v>3</v>
      </c>
      <c r="AH20" s="20">
        <f>IF(OR(AF$2="",AE20="",AG20=""),"",IF($BD20="","",IF(AE20=$BD20,ABS(AG20-$BF20),ABS(AG20+$BF20))+IF(AE20&lt;&gt;$BD20,$BO$4,0)))</f>
        <v>44</v>
      </c>
      <c r="AI20" s="182" t="s">
        <v>10</v>
      </c>
      <c r="AJ20" s="94" t="s">
        <v>0</v>
      </c>
      <c r="AK20" s="95">
        <v>6</v>
      </c>
      <c r="AL20" s="20">
        <f>IF(OR(AJ$2="",AI20="",AK20=""),"",IF($BD20="","",IF(AI20=$BD20,ABS(AK20-$BF20),ABS(AK20+$BF20))+IF(AI20&lt;&gt;$BD20,$BO$4,0)))</f>
        <v>28</v>
      </c>
      <c r="AM20" s="182" t="s">
        <v>9</v>
      </c>
      <c r="AN20" s="94" t="s">
        <v>0</v>
      </c>
      <c r="AO20" s="95">
        <v>3</v>
      </c>
      <c r="AP20" s="20">
        <f>IF(OR(AN$2="",AM20="",AO20=""),"",IF($BD20="","",IF(AM20=$BD20,ABS(AO20-$BF20),ABS(AO20+$BF20))+IF(AM20&lt;&gt;$BD20,$BO$4,0)))</f>
        <v>44</v>
      </c>
      <c r="AQ20" s="182" t="s">
        <v>10</v>
      </c>
      <c r="AR20" s="94" t="s">
        <v>0</v>
      </c>
      <c r="AS20" s="95">
        <v>4</v>
      </c>
      <c r="AT20" s="20">
        <f>IF(OR(AR$2="",AQ20="",AS20=""),"",IF($BD20="","",IF(AQ20=$BD20,ABS(AS20-$BF20),ABS(AS20+$BF20))+IF(AQ20&lt;&gt;$BD20,$BO$4,0)))</f>
        <v>30</v>
      </c>
      <c r="AU20" s="182" t="s">
        <v>10</v>
      </c>
      <c r="AV20" s="94" t="s">
        <v>0</v>
      </c>
      <c r="AW20" s="95">
        <v>10</v>
      </c>
      <c r="AX20" s="20">
        <f>IF(OR(AV$2="",AU20="",AW20=""),"",IF($BD20="","",IF(AU20=$BD20,ABS(AW20-$BF20),ABS(AW20+$BF20))+IF(AU20&lt;&gt;$BD20,$BO$4,0)))</f>
        <v>24</v>
      </c>
      <c r="AY20" s="182" t="s">
        <v>9</v>
      </c>
      <c r="AZ20" s="94" t="s">
        <v>0</v>
      </c>
      <c r="BA20" s="95">
        <v>1</v>
      </c>
      <c r="BB20" s="22">
        <f>IF(OR(AZ$2="",AY20="",BA20=""),"",IF($BD20="","",IF(AY20=$BD20,ABS(BA20-$BF20),ABS(BA20+$BF20))+IF(AY20&lt;&gt;$BD20,$BO$4,0)))</f>
        <v>42</v>
      </c>
      <c r="BD20" s="35" t="str">
        <f>IF(OR(B20="",F20="",B20=F20),"",IF(B20&gt;F20,"V","H"))</f>
        <v>H</v>
      </c>
      <c r="BE20" s="35" t="s">
        <v>0</v>
      </c>
      <c r="BF20" s="35">
        <f>IF(OR(B20="",F20="",B20=F20),"",ABS(B20-F20))</f>
        <v>34</v>
      </c>
      <c r="BG20" s="35"/>
      <c r="BH20" s="79">
        <f>SUM(I20,M20,Q20,U20,Y20,AC20,AG20,AK20,AO20,AS20,AW20,BA20) + IF(G20="V",-(2*I20)) + IF(K20="V",-(2*M20)) + IF(O20="V",-(2*Q20)) + IF(S20="V",-(2*U20)) + IF(W20="V",-(2*Y20)) + IF(AA20="V",-(2*AC20)) + IF(AE20="V",-(2*AG20)) + IF(AI20="V",-(2*AK20)) + IF(AM20="V",-(2*AO20)) + IF(AQ20="V",-(2*AS20)) + IF(AU20="V",-(2*AW20)) + IF(AY20="V",-(2*BA20))</f>
        <v>12</v>
      </c>
      <c r="BI20" s="96" t="str">
        <f>IF(COUNTA(G20,K20,O20,S20,W20,AA20,AE20,AI20,AM20,AQ20,AU20,AY20)&gt;0,IF(BH20&lt;0,"V","H"),"")</f>
        <v>H</v>
      </c>
      <c r="BJ20" s="94" t="s">
        <v>0</v>
      </c>
      <c r="BK20" s="95">
        <f>IF(BI20="","",ROUND(IF(BH20=0,1,ABS(BH20)/COUNTA(G20,K20,O20,S20,W20,AA20,AE20,AI20,AM20,AQ20,AU20,AY20)),0))</f>
        <v>1</v>
      </c>
      <c r="BL20" s="22">
        <f>IF(OR(BI20="",BK20=""),"",IF($BD20="","",IF(BI20=$BD20,ABS(BK20-$BF20),ABS(BK20+$BF20))+IF(BI20&lt;&gt;$BD20,$BO$4,0)))</f>
        <v>33</v>
      </c>
      <c r="BM20" s="36"/>
      <c r="BN20" s="43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42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DK20" s="64"/>
      <c r="DL20" s="161" t="str">
        <f>CONCATENATE($DM$2,$I$6,$DN$2)</f>
        <v xml:space="preserve">   "1",</v>
      </c>
      <c r="DM20" s="121"/>
      <c r="DN20" s="121"/>
    </row>
    <row r="21" spans="1:118" s="59" customFormat="1" ht="9.9499999999999993" customHeight="1" x14ac:dyDescent="0.2">
      <c r="A21" s="3"/>
      <c r="B21" s="127"/>
      <c r="C21" s="128"/>
      <c r="D21" s="118"/>
      <c r="E21" s="159" t="s">
        <v>115</v>
      </c>
      <c r="F21" s="160">
        <f>IF(SUM(B20,F20)=0,"",SUM(B20,F20))</f>
        <v>64</v>
      </c>
      <c r="G21" s="185"/>
      <c r="H21" s="129" t="s">
        <v>71</v>
      </c>
      <c r="I21" s="130">
        <v>54</v>
      </c>
      <c r="J21" s="119" t="str">
        <f>IF(OR($F21="",I21="",J22=""),"",IF(AND(COUNTIF($J37:$BB37,J37)&gt;1,RANK(J37,$J37:$BB37,1)=1),$F21-I21,""))</f>
        <v/>
      </c>
      <c r="K21" s="185"/>
      <c r="L21" s="129" t="s">
        <v>71</v>
      </c>
      <c r="M21" s="130">
        <v>50</v>
      </c>
      <c r="N21" s="119" t="str">
        <f>IF(OR($F21="",M21="",N22=""),"",IF(AND(COUNTIF($J37:$BB37,N37)&gt;1,RANK(N37,$J37:$BB37,1)=1),$F21-M21,""))</f>
        <v/>
      </c>
      <c r="O21" s="185"/>
      <c r="P21" s="129" t="s">
        <v>71</v>
      </c>
      <c r="Q21" s="130">
        <v>48</v>
      </c>
      <c r="R21" s="119" t="str">
        <f>IF(OR($F21="",Q21="",R22=""),"",IF(AND(COUNTIF($J37:$BB37,R37)&gt;1,RANK(R37,$J37:$BB37,1)=1),$F21-Q21,""))</f>
        <v/>
      </c>
      <c r="S21" s="185"/>
      <c r="T21" s="129" t="s">
        <v>71</v>
      </c>
      <c r="U21" s="130">
        <v>42</v>
      </c>
      <c r="V21" s="119" t="str">
        <f>IF(OR($F21="",U21="",V22=""),"",IF(AND(COUNTIF($J37:$BB37,V37)&gt;1,RANK(V37,$J37:$BB37,1)=1),$F21-U21,""))</f>
        <v/>
      </c>
      <c r="W21" s="185"/>
      <c r="X21" s="129" t="s">
        <v>71</v>
      </c>
      <c r="Y21" s="130">
        <v>44</v>
      </c>
      <c r="Z21" s="119" t="str">
        <f>IF(OR($F21="",Y21="",Z22=""),"",IF(AND(COUNTIF($J37:$BB37,Z37)&gt;1,RANK(Z37,$J37:$BB37,1)=1),$F21-Y21,""))</f>
        <v/>
      </c>
      <c r="AA21" s="185"/>
      <c r="AB21" s="129" t="s">
        <v>71</v>
      </c>
      <c r="AC21" s="130">
        <v>52</v>
      </c>
      <c r="AD21" s="119" t="str">
        <f>IF(OR($F21="",AC21="",AD22=""),"",IF(AND(COUNTIF($J37:$BB37,AD37)&gt;1,RANK(AD37,$J37:$BB37,1)=1),$F21-AC21,""))</f>
        <v/>
      </c>
      <c r="AE21" s="185"/>
      <c r="AF21" s="129" t="s">
        <v>71</v>
      </c>
      <c r="AG21" s="130">
        <v>38</v>
      </c>
      <c r="AH21" s="119" t="str">
        <f>IF(OR($F21="",AG21="",AH22=""),"",IF(AND(COUNTIF($J37:$BB37,AH37)&gt;1,RANK(AH37,$J37:$BB37,1)=1),$F21-AG21,""))</f>
        <v/>
      </c>
      <c r="AI21" s="185"/>
      <c r="AJ21" s="129" t="s">
        <v>71</v>
      </c>
      <c r="AK21" s="130">
        <v>48</v>
      </c>
      <c r="AL21" s="119" t="str">
        <f>IF(OR($F21="",AK21="",AL22=""),"",IF(AND(COUNTIF($J37:$BB37,AL37)&gt;1,RANK(AL37,$J37:$BB37,1)=1),$F21-AK21,""))</f>
        <v/>
      </c>
      <c r="AM21" s="185"/>
      <c r="AN21" s="129" t="s">
        <v>71</v>
      </c>
      <c r="AO21" s="130">
        <v>49</v>
      </c>
      <c r="AP21" s="119" t="str">
        <f>IF(OR($F21="",AO21="",AP22=""),"",IF(AND(COUNTIF($J37:$BB37,AP37)&gt;1,RANK(AP37,$J37:$BB37,1)=1),$F21-AO21,""))</f>
        <v/>
      </c>
      <c r="AQ21" s="185"/>
      <c r="AR21" s="129" t="s">
        <v>71</v>
      </c>
      <c r="AS21" s="130">
        <v>47</v>
      </c>
      <c r="AT21" s="119" t="str">
        <f>IF(OR($F21="",AS21="",AT22=""),"",IF(AND(COUNTIF($J37:$BB37,AT37)&gt;1,RANK(AT37,$J37:$BB37,1)=1),$F21-AS21,""))</f>
        <v/>
      </c>
      <c r="AU21" s="185"/>
      <c r="AV21" s="129" t="s">
        <v>71</v>
      </c>
      <c r="AW21" s="130">
        <v>52</v>
      </c>
      <c r="AX21" s="119" t="str">
        <f>IF(OR($F21="",AW21="",AX22=""),"",IF(AND(COUNTIF($J37:$BB37,AX37)&gt;1,RANK(AX37,$J37:$BB37,1)=1),$F21-AW21,""))</f>
        <v/>
      </c>
      <c r="AY21" s="185"/>
      <c r="AZ21" s="129" t="s">
        <v>71</v>
      </c>
      <c r="BA21" s="130">
        <v>52</v>
      </c>
      <c r="BB21" s="120" t="str">
        <f>IF(OR($F21="",BA21="",BB22=""),"",IF(AND(COUNTIF($J37:$BB37,BB37)&gt;1,RANK(BB37,$J37:$BB37,1)=1),$F21-BA21,""))</f>
        <v/>
      </c>
      <c r="BD21" s="35"/>
      <c r="BE21" s="35"/>
      <c r="BF21" s="35"/>
      <c r="BG21" s="35"/>
      <c r="BH21" s="79"/>
      <c r="BI21" s="131"/>
      <c r="BJ21" s="129" t="s">
        <v>71</v>
      </c>
      <c r="BK21" s="130">
        <f>IF(SUM(I21,M21,Q21,U21,Y21,AC21,AG21,AK21,AO21,AS21,AW21,BA21)=0,"",ROUND(AVERAGE(I21,M21,Q21,U21,Y21,AC21,AG21,AK21,AO21,AS21,AW21,BA21),0))</f>
        <v>48</v>
      </c>
      <c r="BL21" s="120">
        <f>IF(OR($F21="",BK21=""),"",$F21-BK21)</f>
        <v>16</v>
      </c>
      <c r="BM21" s="35"/>
      <c r="BN21" s="43"/>
      <c r="BO21" s="50">
        <v>2</v>
      </c>
      <c r="BP21" s="51" t="s">
        <v>14</v>
      </c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42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DK21" s="64"/>
      <c r="DL21" s="161" t="str">
        <f>CONCATENATE($DM$2,$I$7,$DN$2)</f>
        <v xml:space="preserve">   "5",</v>
      </c>
      <c r="DM21" s="121"/>
      <c r="DN21" s="121"/>
    </row>
    <row r="22" spans="1:118" s="59" customFormat="1" ht="21" customHeight="1" thickBot="1" x14ac:dyDescent="0.25">
      <c r="A22" s="3"/>
      <c r="B22" s="23"/>
      <c r="C22" s="24"/>
      <c r="D22" s="24"/>
      <c r="E22" s="25"/>
      <c r="F22" s="73" t="s">
        <v>64</v>
      </c>
      <c r="G22" s="26"/>
      <c r="H22" s="27" t="s">
        <v>2</v>
      </c>
      <c r="I22" s="75">
        <f>IF(J22="","",IF(OR(RANK(J37,$J37:$BB37,1)&gt;1,AND(RANK(J37,$J37:$BB37,1)=1,COUNTIF($J37:$BB37,J37)=1)),RANK(J37,$J37:$BB37,1),IF(MIN($J55:$BB55)=J55,1,COUNTIF($J55:$BB55,MIN($J55:$BB55))+1)))</f>
        <v>12</v>
      </c>
      <c r="J22" s="46">
        <f>IF(H$2="","",(IF(AND(COUNTBLANK(G19:G20)=0,COUNTBLANK(I19:I20)=0),(SUM(J19:J20))*$BO$21,"")))</f>
        <v>146</v>
      </c>
      <c r="K22" s="26"/>
      <c r="L22" s="27" t="s">
        <v>2</v>
      </c>
      <c r="M22" s="75">
        <f>IF(N22="","",IF(OR(RANK(N37,$J37:$BB37,1)&gt;1,AND(RANK(N37,$J37:$BB37,1)=1,COUNTIF($J37:$BB37,N37)=1)),RANK(N37,$J37:$BB37,1),IF(MIN($J55:$BB55)=N55,1,COUNTIF($J55:$BB55,MIN($J55:$BB55))+1)))</f>
        <v>1</v>
      </c>
      <c r="N22" s="46">
        <f>IF(L$2="","",(IF(AND(COUNTBLANK(K19:K20)=0,COUNTBLANK(M19:M20)=0),(SUM(N19:N20))*$BO$21,"")))</f>
        <v>78</v>
      </c>
      <c r="O22" s="26"/>
      <c r="P22" s="27" t="s">
        <v>2</v>
      </c>
      <c r="Q22" s="75">
        <f>IF(R22="","",IF(OR(RANK(R37,$J37:$BB37,1)&gt;1,AND(RANK(R37,$J37:$BB37,1)=1,COUNTIF($J37:$BB37,R37)=1)),RANK(R37,$J37:$BB37,1),IF(MIN($J55:$BB55)=R55,1,COUNTIF($J55:$BB55,MIN($J55:$BB55))+1)))</f>
        <v>2</v>
      </c>
      <c r="R22" s="46">
        <f>IF(P$2="","",(IF(AND(COUNTBLANK(O19:O20)=0,COUNTBLANK(Q19:Q20)=0),(SUM(R19:R20))*$BO$21,"")))</f>
        <v>82</v>
      </c>
      <c r="S22" s="26"/>
      <c r="T22" s="27" t="s">
        <v>2</v>
      </c>
      <c r="U22" s="75">
        <f>IF(V22="","",IF(OR(RANK(V37,$J37:$BB37,1)&gt;1,AND(RANK(V37,$J37:$BB37,1)=1,COUNTIF($J37:$BB37,V37)=1)),RANK(V37,$J37:$BB37,1),IF(MIN($J55:$BB55)=V55,1,COUNTIF($J55:$BB55,MIN($J55:$BB55))+1)))</f>
        <v>7</v>
      </c>
      <c r="V22" s="46">
        <f>IF(T$2="","",(IF(AND(COUNTBLANK(S19:S20)=0,COUNTBLANK(U19:U20)=0),(SUM(V19:V20))*$BO$21,"")))</f>
        <v>98</v>
      </c>
      <c r="W22" s="26"/>
      <c r="X22" s="27" t="s">
        <v>2</v>
      </c>
      <c r="Y22" s="75">
        <f>IF(Z22="","",IF(OR(RANK(Z37,$J37:$BB37,1)&gt;1,AND(RANK(Z37,$J37:$BB37,1)=1,COUNTIF($J37:$BB37,Z37)=1)),RANK(Z37,$J37:$BB37,1),IF(MIN($J55:$BB55)=Z55,1,COUNTIF($J55:$BB55,MIN($J55:$BB55))+1)))</f>
        <v>3</v>
      </c>
      <c r="Z22" s="46">
        <f>IF(X$2="","",(IF(AND(COUNTBLANK(W19:W20)=0,COUNTBLANK(Y19:Y20)=0),(SUM(Z19:Z20))*$BO$21,"")))</f>
        <v>86</v>
      </c>
      <c r="AA22" s="26"/>
      <c r="AB22" s="27" t="s">
        <v>2</v>
      </c>
      <c r="AC22" s="75">
        <f>IF(AD22="","",IF(OR(RANK(AD37,$J37:$BB37,1)&gt;1,AND(RANK(AD37,$J37:$BB37,1)=1,COUNTIF($J37:$BB37,AD37)=1)),RANK(AD37,$J37:$BB37,1),IF(MIN($J55:$BB55)=AD55,1,COUNTIF($J55:$BB55,MIN($J55:$BB55))+1)))</f>
        <v>11</v>
      </c>
      <c r="AD22" s="46">
        <f>IF(AB$2="","",(IF(AND(COUNTBLANK(AA19:AA20)=0,COUNTBLANK(AC19:AC20)=0),(SUM(AD19:AD20))*$BO$21,"")))</f>
        <v>140</v>
      </c>
      <c r="AE22" s="26"/>
      <c r="AF22" s="27" t="s">
        <v>2</v>
      </c>
      <c r="AG22" s="75">
        <f>IF(AH22="","",IF(OR(RANK(AH37,$J37:$BB37,1)&gt;1,AND(RANK(AH37,$J37:$BB37,1)=1,COUNTIF($J37:$BB37,AH37)=1)),RANK(AH37,$J37:$BB37,1),IF(MIN($J55:$BB55)=AH55,1,COUNTIF($J55:$BB55,MIN($J55:$BB55))+1)))</f>
        <v>10</v>
      </c>
      <c r="AH22" s="46">
        <f>IF(AF$2="","",(IF(AND(COUNTBLANK(AE19:AE20)=0,COUNTBLANK(AG19:AG20)=0),(SUM(AH19:AH20))*$BO$21,"")))</f>
        <v>134</v>
      </c>
      <c r="AI22" s="26"/>
      <c r="AJ22" s="27" t="s">
        <v>2</v>
      </c>
      <c r="AK22" s="75">
        <f>IF(AL22="","",IF(OR(RANK(AL37,$J37:$BB37,1)&gt;1,AND(RANK(AL37,$J37:$BB37,1)=1,COUNTIF($J37:$BB37,AL37)=1)),RANK(AL37,$J37:$BB37,1),IF(MIN($J55:$BB55)=AL55,1,COUNTIF($J55:$BB55,MIN($J55:$BB55))+1)))</f>
        <v>6</v>
      </c>
      <c r="AL22" s="46">
        <f>IF(AJ$2="","",(IF(AND(COUNTBLANK(AI19:AI20)=0,COUNTBLANK(AK19:AK20)=0),(SUM(AL19:AL20))*$BO$21,"")))</f>
        <v>96</v>
      </c>
      <c r="AM22" s="26"/>
      <c r="AN22" s="27" t="s">
        <v>2</v>
      </c>
      <c r="AO22" s="75">
        <f>IF(AP22="","",IF(OR(RANK(AP37,$J37:$BB37,1)&gt;1,AND(RANK(AP37,$J37:$BB37,1)=1,COUNTIF($J37:$BB37,AP37)=1)),RANK(AP37,$J37:$BB37,1),IF(MIN($J55:$BB55)=AP55,1,COUNTIF($J55:$BB55,MIN($J55:$BB55))+1)))</f>
        <v>5</v>
      </c>
      <c r="AP22" s="46">
        <f>IF(AN$2="","",(IF(AND(COUNTBLANK(AM19:AM20)=0,COUNTBLANK(AO19:AO20)=0),(SUM(AP19:AP20))*$BO$21,"")))</f>
        <v>90</v>
      </c>
      <c r="AQ22" s="26"/>
      <c r="AR22" s="27" t="s">
        <v>2</v>
      </c>
      <c r="AS22" s="75">
        <f>IF(AT22="","",IF(OR(RANK(AT37,$J37:$BB37,1)&gt;1,AND(RANK(AT37,$J37:$BB37,1)=1,COUNTIF($J37:$BB37,AT37)=1)),RANK(AT37,$J37:$BB37,1),IF(MIN($J55:$BB55)=AT55,1,COUNTIF($J55:$BB55,MIN($J55:$BB55))+1)))</f>
        <v>3</v>
      </c>
      <c r="AT22" s="46">
        <f>IF(AR$2="","",(IF(AND(COUNTBLANK(AQ19:AQ20)=0,COUNTBLANK(AS19:AS20)=0),(SUM(AT19:AT20))*$BO$21,"")))</f>
        <v>86</v>
      </c>
      <c r="AU22" s="26"/>
      <c r="AV22" s="27" t="s">
        <v>2</v>
      </c>
      <c r="AW22" s="75">
        <f>IF(AX22="","",IF(OR(RANK(AX37,$J37:$BB37,1)&gt;1,AND(RANK(AX37,$J37:$BB37,1)=1,COUNTIF($J37:$BB37,AX37)=1)),RANK(AX37,$J37:$BB37,1),IF(MIN($J55:$BB55)=AX55,1,COUNTIF($J55:$BB55,MIN($J55:$BB55))+1)))</f>
        <v>8</v>
      </c>
      <c r="AX22" s="46">
        <f>IF(AV$2="","",(IF(AND(COUNTBLANK(AU19:AU20)=0,COUNTBLANK(AW19:AW20)=0),(SUM(AX19:AX20))*$BO$21,"")))</f>
        <v>100</v>
      </c>
      <c r="AY22" s="48"/>
      <c r="AZ22" s="49" t="s">
        <v>2</v>
      </c>
      <c r="BA22" s="76">
        <f>IF(BB22="","",IF(OR(RANK(BB37,$J37:$BB37,1)&gt;1,AND(RANK(BB37,$J37:$BB37,1)=1,COUNTIF($J37:$BB37,BB37)=1)),RANK(BB37,$J37:$BB37,1),IF(MIN($J55:$BB55)=BB55,1,COUNTIF($J55:$BB55,MIN($J55:$BB55))+1)))</f>
        <v>9</v>
      </c>
      <c r="BB22" s="47">
        <f>IF(AZ$2="","",(IF(AND(COUNTBLANK(AY19:AY20)=0,COUNTBLANK(BA19:BA20)=0),(SUM(BB19:BB20))*$BO$21,"")))</f>
        <v>116</v>
      </c>
      <c r="BH22" s="79"/>
      <c r="BI22" s="83"/>
      <c r="BJ22" s="49" t="s">
        <v>2</v>
      </c>
      <c r="BK22" s="76">
        <f>IF(BL22="","",RANK(BL37,$J37:$BL37,1))</f>
        <v>7</v>
      </c>
      <c r="BL22" s="47">
        <f>IF(AND(COUNTBLANK(BI19:BI20)=0,COUNTBLANK(BK19:BK20)=0),(SUM(BL19:BL20))*$BO$21,"")</f>
        <v>98</v>
      </c>
      <c r="BN22" s="43"/>
      <c r="BO22" s="50">
        <f>COUNTIF(J36:BB36,1)</f>
        <v>1</v>
      </c>
      <c r="BP22" s="51" t="s">
        <v>22</v>
      </c>
      <c r="BQ22" s="54"/>
      <c r="BR22" s="54"/>
      <c r="BS22" s="54"/>
      <c r="BT22" s="54"/>
      <c r="BU22" s="54"/>
      <c r="BV22" s="54"/>
      <c r="BW22" s="54"/>
      <c r="BX22" s="54"/>
      <c r="BY22" s="44"/>
      <c r="BZ22" s="44"/>
      <c r="CA22" s="42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DK22" s="64"/>
      <c r="DL22" s="161" t="str">
        <f>CONCATENATE($DM$2,$I$8,$DN$2)</f>
        <v xml:space="preserve">   "1",</v>
      </c>
      <c r="DM22" s="121"/>
      <c r="DN22" s="121"/>
    </row>
    <row r="23" spans="1:118" s="59" customFormat="1" ht="24" customHeight="1" thickBot="1" x14ac:dyDescent="0.25">
      <c r="A23" s="97"/>
      <c r="B23" s="158" t="s">
        <v>114</v>
      </c>
      <c r="D23" s="16"/>
      <c r="E23" s="16"/>
      <c r="F23" s="17"/>
      <c r="G23" s="69" t="str">
        <f>IF($BO$25&lt;&gt;1,CONCATENATE("(combined scores are multiplied by ",$BO$25,")"),"")</f>
        <v>(combined scores are multiplied by 4)</v>
      </c>
      <c r="H23" s="18"/>
      <c r="I23" s="18"/>
      <c r="J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9"/>
      <c r="BD23" s="36"/>
      <c r="BE23" s="37"/>
      <c r="BF23" s="36"/>
      <c r="BG23" s="36"/>
      <c r="BH23" s="79"/>
      <c r="BI23" s="82"/>
      <c r="BJ23" s="18"/>
      <c r="BK23" s="18"/>
      <c r="BL23" s="19"/>
      <c r="BN23" s="43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43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DK23" s="64"/>
      <c r="DL23" s="161" t="str">
        <f>CONCATENATE($DM$2,$I$12,$DN$2)</f>
        <v xml:space="preserve">   "1",</v>
      </c>
      <c r="DM23" s="121"/>
      <c r="DN23" s="121"/>
    </row>
    <row r="24" spans="1:118" s="59" customFormat="1" ht="15" customHeight="1" x14ac:dyDescent="0.2">
      <c r="A24" s="3"/>
      <c r="B24" s="114"/>
      <c r="C24" s="180" t="s">
        <v>158</v>
      </c>
      <c r="D24" s="38" t="s">
        <v>3</v>
      </c>
      <c r="E24" s="181" t="s">
        <v>159</v>
      </c>
      <c r="F24" s="115"/>
      <c r="G24" s="190" t="s">
        <v>9</v>
      </c>
      <c r="H24" s="94" t="s">
        <v>0</v>
      </c>
      <c r="I24" s="95">
        <v>15</v>
      </c>
      <c r="J24" s="20" t="str">
        <f>IF(OR(H$2="",G24="",I24=""),"",IF($BD24="","",IF(G24=$BD24,ABS(I24-$BF24),ABS(I24+$BF24))+IF(G24&lt;&gt;$BD24,$BO$4,0)))</f>
        <v/>
      </c>
      <c r="K24" s="190" t="s">
        <v>10</v>
      </c>
      <c r="L24" s="94" t="s">
        <v>0</v>
      </c>
      <c r="M24" s="95">
        <v>7</v>
      </c>
      <c r="N24" s="20" t="str">
        <f>IF(OR(L$2="",K24="",M24=""),"",IF($BD24="","",IF(K24=$BD24,ABS(M24-$BF24),ABS(M24+$BF24))+IF(K24&lt;&gt;$BD24,$BO$4,0)))</f>
        <v/>
      </c>
      <c r="O24" s="190" t="s">
        <v>9</v>
      </c>
      <c r="P24" s="94" t="s">
        <v>0</v>
      </c>
      <c r="Q24" s="95">
        <v>5</v>
      </c>
      <c r="R24" s="20" t="str">
        <f>IF(OR(P$2="",O24="",Q24=""),"",IF($BD24="","",IF(O24=$BD24,ABS(Q24-$BF24),ABS(Q24+$BF24))+IF(O24&lt;&gt;$BD24,$BO$4,0)))</f>
        <v/>
      </c>
      <c r="S24" s="190" t="s">
        <v>10</v>
      </c>
      <c r="T24" s="94" t="s">
        <v>0</v>
      </c>
      <c r="U24" s="95">
        <v>12</v>
      </c>
      <c r="V24" s="20" t="str">
        <f>IF(OR(T$2="",S24="",U24=""),"",IF($BD24="","",IF(S24=$BD24,ABS(U24-$BF24),ABS(U24+$BF24))+IF(S24&lt;&gt;$BD24,$BO$4,0)))</f>
        <v/>
      </c>
      <c r="W24" s="190" t="s">
        <v>9</v>
      </c>
      <c r="X24" s="94" t="s">
        <v>0</v>
      </c>
      <c r="Y24" s="95">
        <v>14</v>
      </c>
      <c r="Z24" s="20" t="str">
        <f>IF(OR(X$2="",W24="",Y24=""),"",IF($BD24="","",IF(W24=$BD24,ABS(Y24-$BF24),ABS(Y24+$BF24))+IF(W24&lt;&gt;$BD24,$BO$4,0)))</f>
        <v/>
      </c>
      <c r="AA24" s="190" t="s">
        <v>10</v>
      </c>
      <c r="AB24" s="94" t="s">
        <v>0</v>
      </c>
      <c r="AC24" s="95">
        <v>3</v>
      </c>
      <c r="AD24" s="20" t="str">
        <f>IF(OR(AB$2="",AA24="",AC24=""),"",IF($BD24="","",IF(AA24=$BD24,ABS(AC24-$BF24),ABS(AC24+$BF24))+IF(AA24&lt;&gt;$BD24,$BO$4,0)))</f>
        <v/>
      </c>
      <c r="AE24" s="190" t="s">
        <v>9</v>
      </c>
      <c r="AF24" s="94" t="s">
        <v>0</v>
      </c>
      <c r="AG24" s="95">
        <v>21</v>
      </c>
      <c r="AH24" s="20" t="str">
        <f>IF(OR(AF$2="",AE24="",AG24=""),"",IF($BD24="","",IF(AE24=$BD24,ABS(AG24-$BF24),ABS(AG24+$BF24))+IF(AE24&lt;&gt;$BD24,$BO$4,0)))</f>
        <v/>
      </c>
      <c r="AI24" s="190" t="s">
        <v>9</v>
      </c>
      <c r="AJ24" s="94" t="s">
        <v>0</v>
      </c>
      <c r="AK24" s="95">
        <v>13</v>
      </c>
      <c r="AL24" s="20" t="str">
        <f>IF(OR(AJ$2="",AI24="",AK24=""),"",IF($BD24="","",IF(AI24=$BD24,ABS(AK24-$BF24),ABS(AK24+$BF24))+IF(AI24&lt;&gt;$BD24,$BO$4,0)))</f>
        <v/>
      </c>
      <c r="AM24" s="190" t="s">
        <v>10</v>
      </c>
      <c r="AN24" s="94" t="s">
        <v>0</v>
      </c>
      <c r="AO24" s="95">
        <v>6</v>
      </c>
      <c r="AP24" s="20" t="str">
        <f>IF(OR(AN$2="",AM24="",AO24=""),"",IF($BD24="","",IF(AM24=$BD24,ABS(AO24-$BF24),ABS(AO24+$BF24))+IF(AM24&lt;&gt;$BD24,$BO$4,0)))</f>
        <v/>
      </c>
      <c r="AQ24" s="190" t="s">
        <v>9</v>
      </c>
      <c r="AR24" s="94" t="s">
        <v>0</v>
      </c>
      <c r="AS24" s="95">
        <v>4</v>
      </c>
      <c r="AT24" s="20" t="str">
        <f>IF(OR(AR$2="",AQ24="",AS24=""),"",IF($BD24="","",IF(AQ24=$BD24,ABS(AS24-$BF24),ABS(AS24+$BF24))+IF(AQ24&lt;&gt;$BD24,$BO$4,0)))</f>
        <v/>
      </c>
      <c r="AU24" s="190" t="s">
        <v>9</v>
      </c>
      <c r="AV24" s="94" t="s">
        <v>0</v>
      </c>
      <c r="AW24" s="95">
        <v>14</v>
      </c>
      <c r="AX24" s="20" t="str">
        <f>IF(OR(AV$2="",AU24="",AW24=""),"",IF($BD24="","",IF(AU24=$BD24,ABS(AW24-$BF24),ABS(AW24+$BF24))+IF(AU24&lt;&gt;$BD24,$BO$4,0)))</f>
        <v/>
      </c>
      <c r="AY24" s="190" t="s">
        <v>9</v>
      </c>
      <c r="AZ24" s="94" t="s">
        <v>0</v>
      </c>
      <c r="BA24" s="95">
        <v>17</v>
      </c>
      <c r="BB24" s="22" t="str">
        <f>IF(OR(AZ$2="",AY24="",BA24=""),"",IF($BD24="","",IF(AY24=$BD24,ABS(BA24-$BF24),ABS(BA24+$BF24))+IF(AY24&lt;&gt;$BD24,$BO$4,0)))</f>
        <v/>
      </c>
      <c r="BD24" s="35" t="str">
        <f>IF(OR(B24="",F24="",B24=F24),"",IF(B24&gt;F24,"V","H"))</f>
        <v/>
      </c>
      <c r="BE24" s="35" t="s">
        <v>0</v>
      </c>
      <c r="BF24" s="35" t="str">
        <f>IF(OR(B24="",F24="",B24=F24),"",ABS(B24-F24))</f>
        <v/>
      </c>
      <c r="BG24" s="35"/>
      <c r="BH24" s="79">
        <f>SUM(I24,M24,Q24,U24,Y24,AC24,AG24,AK24,AO24,AS24,AW24,BA24) + IF(G24="V",-(2*I24)) + IF(K24="V",-(2*M24)) + IF(O24="V",-(2*Q24)) + IF(S24="V",-(2*U24)) + IF(W24="V",-(2*Y24)) + IF(AA24="V",-(2*AC24)) + IF(AE24="V",-(2*AG24)) + IF(AI24="V",-(2*AK24)) + IF(AM24="V",-(2*AO24)) + IF(AQ24="V",-(2*AS24)) + IF(AU24="V",-(2*AW24)) + IF(AY24="V",-(2*BA24))</f>
        <v>-75</v>
      </c>
      <c r="BI24" s="134" t="str">
        <f>IF(COUNTA(G24,K24,O24,S24,W24,AA24,AE24,AI24,AM24,AQ24,AU24,AY24)&gt;0,IF(BH24&lt;0,"V","H"),"")</f>
        <v>V</v>
      </c>
      <c r="BJ24" s="94" t="s">
        <v>0</v>
      </c>
      <c r="BK24" s="95">
        <f>IF(BI24="","",ROUND(IF(BH24=0,1,ABS(BH24)/COUNTA(G24,K24,O24,S24,W24,AA24,AE24,AI24,AM24,AQ24,AU24,AY24)),0))</f>
        <v>6</v>
      </c>
      <c r="BL24" s="22" t="str">
        <f>IF(OR(BI24="",BK24=""),"",IF($BD24="","",IF(BI24=$BD24,ABS(BK24-$BF24),ABS(BK24+$BF24))+IF(BI24&lt;&gt;$BD24,$BO$4,0)))</f>
        <v/>
      </c>
      <c r="BN24" s="43"/>
      <c r="BS24" s="54"/>
      <c r="BT24" s="54"/>
      <c r="BU24" s="54"/>
      <c r="BV24" s="54"/>
      <c r="BW24" s="54"/>
      <c r="BX24" s="54"/>
      <c r="BY24" s="54"/>
      <c r="BZ24" s="54"/>
      <c r="CA24" s="42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DK24" s="64"/>
      <c r="DL24" s="161" t="str">
        <f>CONCATENATE($DM$2,$I$13,$DN$2)</f>
        <v xml:space="preserve">   "10",</v>
      </c>
      <c r="DM24" s="121"/>
      <c r="DN24" s="121"/>
    </row>
    <row r="25" spans="1:118" s="59" customFormat="1" ht="9.9499999999999993" customHeight="1" x14ac:dyDescent="0.2">
      <c r="A25" s="3"/>
      <c r="B25" s="127"/>
      <c r="C25" s="128"/>
      <c r="D25" s="118"/>
      <c r="E25" s="159" t="s">
        <v>115</v>
      </c>
      <c r="F25" s="160" t="str">
        <f>IF(SUM(B24,F24)=0,"",SUM(B24,F24))</f>
        <v/>
      </c>
      <c r="G25" s="185"/>
      <c r="H25" s="129" t="s">
        <v>71</v>
      </c>
      <c r="I25" s="130">
        <v>47</v>
      </c>
      <c r="J25" s="119" t="str">
        <f>IF(OR($F25="",I25="",J26=""),"",IF(AND(COUNTIF($J39:$BB39,J39)&gt;1,RANK(J39,$J39:$BB39,1)=1),$F25-I25,""))</f>
        <v/>
      </c>
      <c r="K25" s="185"/>
      <c r="L25" s="129" t="s">
        <v>71</v>
      </c>
      <c r="M25" s="130">
        <v>48</v>
      </c>
      <c r="N25" s="119" t="str">
        <f>IF(OR($F25="",M25="",N26=""),"",IF(AND(COUNTIF($J39:$BB39,N39)&gt;1,RANK(N39,$J39:$BB39,1)=1),$F25-M25,""))</f>
        <v/>
      </c>
      <c r="O25" s="185"/>
      <c r="P25" s="129" t="s">
        <v>71</v>
      </c>
      <c r="Q25" s="130">
        <v>44</v>
      </c>
      <c r="R25" s="119" t="str">
        <f>IF(OR($F25="",Q25="",R26=""),"",IF(AND(COUNTIF($J39:$BB39,R39)&gt;1,RANK(R39,$J39:$BB39,1)=1),$F25-Q25,""))</f>
        <v/>
      </c>
      <c r="S25" s="185"/>
      <c r="T25" s="129" t="s">
        <v>71</v>
      </c>
      <c r="U25" s="130">
        <v>42</v>
      </c>
      <c r="V25" s="119" t="str">
        <f>IF(OR($F25="",U25="",V26=""),"",IF(AND(COUNTIF($J39:$BB39,V39)&gt;1,RANK(V39,$J39:$BB39,1)=1),$F25-U25,""))</f>
        <v/>
      </c>
      <c r="W25" s="185"/>
      <c r="X25" s="129" t="s">
        <v>71</v>
      </c>
      <c r="Y25" s="130">
        <v>41</v>
      </c>
      <c r="Z25" s="119" t="str">
        <f>IF(OR($F25="",Y25="",Z26=""),"",IF(AND(COUNTIF($J39:$BB39,Z39)&gt;1,RANK(Z39,$J39:$BB39,1)=1),$F25-Y25,""))</f>
        <v/>
      </c>
      <c r="AA25" s="185"/>
      <c r="AB25" s="129" t="s">
        <v>71</v>
      </c>
      <c r="AC25" s="130">
        <v>44</v>
      </c>
      <c r="AD25" s="119" t="str">
        <f>IF(OR($F25="",AC25="",AD26=""),"",IF(AND(COUNTIF($J39:$BB39,AD39)&gt;1,RANK(AD39,$J39:$BB39,1)=1),$F25-AC25,""))</f>
        <v/>
      </c>
      <c r="AE25" s="185"/>
      <c r="AF25" s="129" t="s">
        <v>71</v>
      </c>
      <c r="AG25" s="130">
        <v>62</v>
      </c>
      <c r="AH25" s="119" t="str">
        <f>IF(OR($F25="",AG25="",AH26=""),"",IF(AND(COUNTIF($J39:$BB39,AH39)&gt;1,RANK(AH39,$J39:$BB39,1)=1),$F25-AG25,""))</f>
        <v/>
      </c>
      <c r="AI25" s="185"/>
      <c r="AJ25" s="129" t="s">
        <v>71</v>
      </c>
      <c r="AK25" s="130">
        <v>41</v>
      </c>
      <c r="AL25" s="119" t="str">
        <f>IF(OR($F25="",AK25="",AL26=""),"",IF(AND(COUNTIF($J39:$BB39,AL39)&gt;1,RANK(AL39,$J39:$BB39,1)=1),$F25-AK25,""))</f>
        <v/>
      </c>
      <c r="AM25" s="185"/>
      <c r="AN25" s="129" t="s">
        <v>71</v>
      </c>
      <c r="AO25" s="130">
        <v>50</v>
      </c>
      <c r="AP25" s="119" t="str">
        <f>IF(OR($F25="",AO25="",AP26=""),"",IF(AND(COUNTIF($J39:$BB39,AP39)&gt;1,RANK(AP39,$J39:$BB39,1)=1),$F25-AO25,""))</f>
        <v/>
      </c>
      <c r="AQ25" s="185"/>
      <c r="AR25" s="129" t="s">
        <v>71</v>
      </c>
      <c r="AS25" s="130">
        <v>28</v>
      </c>
      <c r="AT25" s="119" t="str">
        <f>IF(OR($F25="",AS25="",AT26=""),"",IF(AND(COUNTIF($J39:$BB39,AT39)&gt;1,RANK(AT39,$J39:$BB39,1)=1),$F25-AS25,""))</f>
        <v/>
      </c>
      <c r="AU25" s="185"/>
      <c r="AV25" s="129" t="s">
        <v>71</v>
      </c>
      <c r="AW25" s="130">
        <v>51</v>
      </c>
      <c r="AX25" s="119" t="str">
        <f>IF(OR($F25="",AW25="",AX26=""),"",IF(AND(COUNTIF($J39:$BB39,AX39)&gt;1,RANK(AX39,$J39:$BB39,1)=1),$F25-AW25,""))</f>
        <v/>
      </c>
      <c r="AY25" s="185"/>
      <c r="AZ25" s="129" t="s">
        <v>71</v>
      </c>
      <c r="BA25" s="130">
        <v>52</v>
      </c>
      <c r="BB25" s="120" t="str">
        <f>IF(OR($F25="",BA25="",BB26=""),"",IF(AND(COUNTIF($J39:$BB39,BB39)&gt;1,RANK(BB39,$J39:$BB39,1)=1),$F25-BA25,""))</f>
        <v/>
      </c>
      <c r="BC25" s="133"/>
      <c r="BD25" s="35"/>
      <c r="BE25" s="35"/>
      <c r="BF25" s="35"/>
      <c r="BG25" s="35"/>
      <c r="BH25" s="132"/>
      <c r="BI25" s="131"/>
      <c r="BJ25" s="129" t="s">
        <v>71</v>
      </c>
      <c r="BK25" s="130">
        <f>IF(SUM(I25,M25,Q25,U25,Y25,AC25,AG25,AK25,AO25,AS25,AW25,BA25)=0,"",ROUND(AVERAGE(I25,M25,Q25,U25,Y25,AC25,AG25,AK25,AO25,AS25,AW25,BA25),0))</f>
        <v>46</v>
      </c>
      <c r="BL25" s="120" t="str">
        <f>IF(OR($F25="",BK25=""),"",$F25-BK25)</f>
        <v/>
      </c>
      <c r="BN25" s="43"/>
      <c r="BO25" s="50">
        <v>4</v>
      </c>
      <c r="BP25" s="51" t="s">
        <v>13</v>
      </c>
      <c r="BQ25" s="51"/>
      <c r="BR25" s="54"/>
      <c r="BS25" s="54"/>
      <c r="BT25" s="54"/>
      <c r="BU25" s="54"/>
      <c r="BV25" s="54"/>
      <c r="BW25" s="54"/>
      <c r="BX25" s="54"/>
      <c r="BY25" s="54"/>
      <c r="BZ25" s="54"/>
      <c r="CA25" s="42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DK25" s="64"/>
      <c r="DL25" s="161" t="str">
        <f>CONCATENATE($DM$2,$I$14,$DN$2)</f>
        <v xml:space="preserve">   "3",</v>
      </c>
      <c r="DM25" s="121"/>
      <c r="DN25" s="121"/>
    </row>
    <row r="26" spans="1:118" s="59" customFormat="1" ht="21" customHeight="1" thickBot="1" x14ac:dyDescent="0.25">
      <c r="B26" s="23"/>
      <c r="C26" s="24"/>
      <c r="D26" s="24"/>
      <c r="E26" s="25"/>
      <c r="F26" s="73" t="s">
        <v>65</v>
      </c>
      <c r="G26" s="26"/>
      <c r="H26" s="27" t="s">
        <v>2</v>
      </c>
      <c r="I26" s="75">
        <f>IF(J26="","",IF(OR(RANK(J39,$J39:$BB39,1)&gt;1,AND(RANK(J39,$J39:$BB39,1)=1,COUNTIF($J39:$BB39,J39)=1)),RANK(J39,$J39:$BB39,1),IF(MIN($J56:$BB56)=J56,1,COUNTIF($J56:$BB56,MIN($J56:$BB56))+1)))</f>
        <v>1</v>
      </c>
      <c r="J26" s="46">
        <f>IF(H$2="","",(IF(AND(COUNTBLANK(G24:G24)=0,COUNTBLANK(I24:I24)=0),(SUM(J24:J24))*$BO$25,"")))</f>
        <v>0</v>
      </c>
      <c r="K26" s="26"/>
      <c r="L26" s="27" t="s">
        <v>2</v>
      </c>
      <c r="M26" s="75">
        <f>IF(N26="","",IF(OR(RANK(N39,$J39:$BB39,1)&gt;1,AND(RANK(N39,$J39:$BB39,1)=1,COUNTIF($J39:$BB39,N39)=1)),RANK(N39,$J39:$BB39,1),IF(MIN($J56:$BB56)=N56,1,COUNTIF($J56:$BB56,MIN($J56:$BB56))+1)))</f>
        <v>1</v>
      </c>
      <c r="N26" s="46">
        <f>IF(L$2="","",(IF(AND(COUNTBLANK(K24:K24)=0,COUNTBLANK(M24:M24)=0),(SUM(N24:N24))*$BO$25,"")))</f>
        <v>0</v>
      </c>
      <c r="O26" s="26"/>
      <c r="P26" s="27" t="s">
        <v>2</v>
      </c>
      <c r="Q26" s="75">
        <f>IF(R26="","",IF(OR(RANK(R39,$J39:$BB39,1)&gt;1,AND(RANK(R39,$J39:$BB39,1)=1,COUNTIF($J39:$BB39,R39)=1)),RANK(R39,$J39:$BB39,1),IF(MIN($J56:$BB56)=R56,1,COUNTIF($J56:$BB56,MIN($J56:$BB56))+1)))</f>
        <v>1</v>
      </c>
      <c r="R26" s="46">
        <f>IF(P$2="","",(IF(AND(COUNTBLANK(O24:O24)=0,COUNTBLANK(Q24:Q24)=0),(SUM(R24:R24))*$BO$25,"")))</f>
        <v>0</v>
      </c>
      <c r="S26" s="26"/>
      <c r="T26" s="27" t="s">
        <v>2</v>
      </c>
      <c r="U26" s="75">
        <f>IF(V26="","",IF(OR(RANK(V39,$J39:$BB39,1)&gt;1,AND(RANK(V39,$J39:$BB39,1)=1,COUNTIF($J39:$BB39,V39)=1)),RANK(V39,$J39:$BB39,1),IF(MIN($J56:$BB56)=V56,1,COUNTIF($J56:$BB56,MIN($J56:$BB56))+1)))</f>
        <v>1</v>
      </c>
      <c r="V26" s="46">
        <f>IF(T$2="","",(IF(AND(COUNTBLANK(S24:S24)=0,COUNTBLANK(U24:U24)=0),(SUM(V24:V24))*$BO$25,"")))</f>
        <v>0</v>
      </c>
      <c r="W26" s="26"/>
      <c r="X26" s="27" t="s">
        <v>2</v>
      </c>
      <c r="Y26" s="75">
        <f>IF(Z26="","",IF(OR(RANK(Z39,$J39:$BB39,1)&gt;1,AND(RANK(Z39,$J39:$BB39,1)=1,COUNTIF($J39:$BB39,Z39)=1)),RANK(Z39,$J39:$BB39,1),IF(MIN($J56:$BB56)=Z56,1,COUNTIF($J56:$BB56,MIN($J56:$BB56))+1)))</f>
        <v>1</v>
      </c>
      <c r="Z26" s="46">
        <f>IF(X$2="","",(IF(AND(COUNTBLANK(W24:W24)=0,COUNTBLANK(Y24:Y24)=0),(SUM(Z24:Z24))*$BO$25,"")))</f>
        <v>0</v>
      </c>
      <c r="AA26" s="26"/>
      <c r="AB26" s="27" t="s">
        <v>2</v>
      </c>
      <c r="AC26" s="75">
        <f>IF(AD26="","",IF(OR(RANK(AD39,$J39:$BB39,1)&gt;1,AND(RANK(AD39,$J39:$BB39,1)=1,COUNTIF($J39:$BB39,AD39)=1)),RANK(AD39,$J39:$BB39,1),IF(MIN($J56:$BB56)=AD56,1,COUNTIF($J56:$BB56,MIN($J56:$BB56))+1)))</f>
        <v>1</v>
      </c>
      <c r="AD26" s="46">
        <f>IF(AB$2="","",(IF(AND(COUNTBLANK(AA24:AA24)=0,COUNTBLANK(AC24:AC24)=0),(SUM(AD24:AD24))*$BO$25,"")))</f>
        <v>0</v>
      </c>
      <c r="AE26" s="26"/>
      <c r="AF26" s="27" t="s">
        <v>2</v>
      </c>
      <c r="AG26" s="75">
        <f>IF(AH26="","",IF(OR(RANK(AH39,$J39:$BB39,1)&gt;1,AND(RANK(AH39,$J39:$BB39,1)=1,COUNTIF($J39:$BB39,AH39)=1)),RANK(AH39,$J39:$BB39,1),IF(MIN($J56:$BB56)=AH56,1,COUNTIF($J56:$BB56,MIN($J56:$BB56))+1)))</f>
        <v>1</v>
      </c>
      <c r="AH26" s="46">
        <f>IF(AF$2="","",(IF(AND(COUNTBLANK(AE24:AE24)=0,COUNTBLANK(AG24:AG24)=0),(SUM(AH24:AH24))*$BO$25,"")))</f>
        <v>0</v>
      </c>
      <c r="AI26" s="26"/>
      <c r="AJ26" s="27" t="s">
        <v>2</v>
      </c>
      <c r="AK26" s="75">
        <f>IF(AL26="","",IF(OR(RANK(AL39,$J39:$BB39,1)&gt;1,AND(RANK(AL39,$J39:$BB39,1)=1,COUNTIF($J39:$BB39,AL39)=1)),RANK(AL39,$J39:$BB39,1),IF(MIN($J56:$BB56)=AL56,1,COUNTIF($J56:$BB56,MIN($J56:$BB56))+1)))</f>
        <v>1</v>
      </c>
      <c r="AL26" s="46">
        <f>IF(AJ$2="","",(IF(AND(COUNTBLANK(AI24:AI24)=0,COUNTBLANK(AK24:AK24)=0),(SUM(AL24:AL24))*$BO$25,"")))</f>
        <v>0</v>
      </c>
      <c r="AM26" s="26"/>
      <c r="AN26" s="27" t="s">
        <v>2</v>
      </c>
      <c r="AO26" s="75">
        <f>IF(AP26="","",IF(OR(RANK(AP39,$J39:$BB39,1)&gt;1,AND(RANK(AP39,$J39:$BB39,1)=1,COUNTIF($J39:$BB39,AP39)=1)),RANK(AP39,$J39:$BB39,1),IF(MIN($J56:$BB56)=AP56,1,COUNTIF($J56:$BB56,MIN($J56:$BB56))+1)))</f>
        <v>1</v>
      </c>
      <c r="AP26" s="46">
        <f>IF(AN$2="","",(IF(AND(COUNTBLANK(AM24:AM24)=0,COUNTBLANK(AO24:AO24)=0),(SUM(AP24:AP24))*$BO$25,"")))</f>
        <v>0</v>
      </c>
      <c r="AQ26" s="26"/>
      <c r="AR26" s="27" t="s">
        <v>2</v>
      </c>
      <c r="AS26" s="75">
        <f>IF(AT26="","",IF(OR(RANK(AT39,$J39:$BB39,1)&gt;1,AND(RANK(AT39,$J39:$BB39,1)=1,COUNTIF($J39:$BB39,AT39)=1)),RANK(AT39,$J39:$BB39,1),IF(MIN($J56:$BB56)=AT56,1,COUNTIF($J56:$BB56,MIN($J56:$BB56))+1)))</f>
        <v>1</v>
      </c>
      <c r="AT26" s="46">
        <f>IF(AR$2="","",(IF(AND(COUNTBLANK(AQ24:AQ24)=0,COUNTBLANK(AS24:AS24)=0),(SUM(AT24:AT24))*$BO$25,"")))</f>
        <v>0</v>
      </c>
      <c r="AU26" s="26"/>
      <c r="AV26" s="27" t="s">
        <v>2</v>
      </c>
      <c r="AW26" s="75">
        <f>IF(AX26="","",IF(OR(RANK(AX39,$J39:$BB39,1)&gt;1,AND(RANK(AX39,$J39:$BB39,1)=1,COUNTIF($J39:$BB39,AX39)=1)),RANK(AX39,$J39:$BB39,1),IF(MIN($J56:$BB56)=AX56,1,COUNTIF($J56:$BB56,MIN($J56:$BB56))+1)))</f>
        <v>1</v>
      </c>
      <c r="AX26" s="46">
        <f>IF(AV$2="","",(IF(AND(COUNTBLANK(AU24:AU24)=0,COUNTBLANK(AW24:AW24)=0),(SUM(AX24:AX24))*$BO$25,"")))</f>
        <v>0</v>
      </c>
      <c r="AY26" s="48"/>
      <c r="AZ26" s="49" t="s">
        <v>2</v>
      </c>
      <c r="BA26" s="76">
        <f>IF(BB26="","",IF(OR(RANK(BB39,$J39:$BB39,1)&gt;1,AND(RANK(BB39,$J39:$BB39,1)=1,COUNTIF($J39:$BB39,BB39)=1)),RANK(BB39,$J39:$BB39,1),IF(MIN($J56:$BB56)=BB56,1,COUNTIF($J56:$BB56,MIN($J56:$BB56))+1)))</f>
        <v>1</v>
      </c>
      <c r="BB26" s="47">
        <f>IF(AZ$2="","",(IF(AND(COUNTBLANK(AY24:AY24)=0,COUNTBLANK(BA24:BA24)=0),(SUM(BB24:BB24))*$BO$25,"")))</f>
        <v>0</v>
      </c>
      <c r="BH26" s="79"/>
      <c r="BI26" s="83"/>
      <c r="BJ26" s="49" t="s">
        <v>2</v>
      </c>
      <c r="BK26" s="76">
        <f>IF(BL26="","",RANK(BL39,$J39:$BL39,1))</f>
        <v>1</v>
      </c>
      <c r="BL26" s="47">
        <f>IF(AND(COUNTBLANK(BI24:BI24)=0,COUNTBLANK(BK24:BK24)=0),(SUM(BL24:BL24))*$BO$25,"")</f>
        <v>0</v>
      </c>
      <c r="BN26" s="43"/>
      <c r="BO26" s="50">
        <f>COUNTIF(J38:BB38,1)</f>
        <v>12</v>
      </c>
      <c r="BP26" s="51" t="s">
        <v>23</v>
      </c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DK26" s="64"/>
      <c r="DL26" s="161" t="str">
        <f>CONCATENATE($DM$2,$I$15,$DN$2)</f>
        <v xml:space="preserve">   "14",</v>
      </c>
      <c r="DM26" s="121"/>
      <c r="DN26" s="121"/>
    </row>
    <row r="27" spans="1:118" s="59" customFormat="1" ht="24" customHeight="1" thickBot="1" x14ac:dyDescent="0.25">
      <c r="B27" s="84"/>
      <c r="C27" s="98" t="str">
        <f>CONCATENATE("(bold H or V for prediction indicates winning team; losing team adds penalty of ",$BO$4," points to score)")</f>
        <v>(bold H or V for prediction indicates winning team; losing team adds penalty of 7 points to score)</v>
      </c>
      <c r="D27" s="85"/>
      <c r="E27" s="85"/>
      <c r="F27" s="85"/>
      <c r="G27" s="85"/>
      <c r="H27" s="85"/>
      <c r="I27" s="85"/>
      <c r="J27" s="85"/>
      <c r="K27" s="13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6"/>
      <c r="BH27" s="79"/>
      <c r="BI27" s="84"/>
      <c r="BJ27" s="85"/>
      <c r="BK27" s="85"/>
      <c r="BL27" s="86"/>
      <c r="BN27" s="43"/>
      <c r="BO27" s="60"/>
      <c r="BP27" s="61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DK27" s="64"/>
      <c r="DL27" s="161" t="str">
        <f>CONCATENATE($DM$2,$I$19,$DN$2)</f>
        <v xml:space="preserve">   "13",</v>
      </c>
      <c r="DM27" s="121"/>
      <c r="DN27" s="121"/>
    </row>
    <row r="28" spans="1:118" s="43" customFormat="1" ht="21" customHeight="1" thickBot="1" x14ac:dyDescent="0.25">
      <c r="A28" s="4"/>
      <c r="B28" s="99"/>
      <c r="C28" s="100"/>
      <c r="D28" s="100"/>
      <c r="E28" s="101"/>
      <c r="F28" s="102" t="s">
        <v>66</v>
      </c>
      <c r="G28" s="103"/>
      <c r="H28" s="104" t="s">
        <v>2</v>
      </c>
      <c r="I28" s="69">
        <f>IF(J28="","",RANK(J41,$J41:$BB41,1))</f>
        <v>10</v>
      </c>
      <c r="J28" s="105">
        <f>IF(OR(H$2="",AND(OR($BO$36&gt;=1,$BO$41&gt;=1),OR(COUNTBLANK(G5:G8)&gt;0,COUNTBLANK(I5:I8)&gt;0)),AND(OR($BO$36&gt;=2,$BO$41&gt;=2),OR(COUNTBLANK(G12:G15)&gt;0,COUNTBLANK(I12:I15)&gt;0)),AND(OR($BO$36&gt;=3,$BO$41&gt;=3),OR(COUNTBLANK(G19:G20)&gt;0,COUNTBLANK(I19:I20)&gt;0)),AND(OR($BO$36&gt;=4,$BO$41&gt;=4),OR(COUNTBLANK(G24)&gt;0,COUNTBLANK(I24)&gt;0))),"",SUM(J10,J17,J22,J26))</f>
        <v>235</v>
      </c>
      <c r="K28" s="26"/>
      <c r="L28" s="104" t="s">
        <v>2</v>
      </c>
      <c r="M28" s="69">
        <f>IF(N28="","",RANK(N41,$J41:$BB41,1))</f>
        <v>6</v>
      </c>
      <c r="N28" s="105">
        <f>IF(OR(L$2="",AND(OR($BO$36&gt;=1,$BO$41&gt;=1),OR(COUNTBLANK(K5:K8)&gt;0,COUNTBLANK(M5:M8)&gt;0)),AND(OR($BO$36&gt;=2,$BO$41&gt;=2),OR(COUNTBLANK(K12:K15)&gt;0,COUNTBLANK(M12:M15)&gt;0)),AND(OR($BO$36&gt;=3,$BO$41&gt;=3),OR(COUNTBLANK(K19:K20)&gt;0,COUNTBLANK(M19:M20)&gt;0)),AND(OR($BO$36&gt;=4,$BO$41&gt;=4),OR(COUNTBLANK(K24)&gt;0,COUNTBLANK(M24)&gt;0))),"",SUM(N10,N17,N22,N26))</f>
        <v>181</v>
      </c>
      <c r="O28" s="103"/>
      <c r="P28" s="104" t="s">
        <v>2</v>
      </c>
      <c r="Q28" s="69">
        <f>IF(R28="","",RANK(R41,$J41:$BB41,1))</f>
        <v>1</v>
      </c>
      <c r="R28" s="105">
        <f>IF(OR(P$2="",AND(OR($BO$36&gt;=1,$BO$41&gt;=1),OR(COUNTBLANK(O5:O8)&gt;0,COUNTBLANK(Q5:Q8)&gt;0)),AND(OR($BO$36&gt;=2,$BO$41&gt;=2),OR(COUNTBLANK(O12:O15)&gt;0,COUNTBLANK(Q12:Q15)&gt;0)),AND(OR($BO$36&gt;=3,$BO$41&gt;=3),OR(COUNTBLANK(O19:O20)&gt;0,COUNTBLANK(Q19:Q20)&gt;0)),AND(OR($BO$36&gt;=4,$BO$41&gt;=4),OR(COUNTBLANK(O24)&gt;0,COUNTBLANK(Q24)&gt;0))),"",SUM(R10,R17,R22,R26))</f>
        <v>134</v>
      </c>
      <c r="S28" s="103"/>
      <c r="T28" s="104" t="s">
        <v>2</v>
      </c>
      <c r="U28" s="69">
        <f>IF(V28="","",RANK(V41,$J41:$BB41,1))</f>
        <v>7</v>
      </c>
      <c r="V28" s="105">
        <f>IF(OR(T$2="",AND(OR($BO$36&gt;=1,$BO$41&gt;=1),OR(COUNTBLANK(S5:S8)&gt;0,COUNTBLANK(U5:U8)&gt;0)),AND(OR($BO$36&gt;=2,$BO$41&gt;=2),OR(COUNTBLANK(S12:S15)&gt;0,COUNTBLANK(U12:U15)&gt;0)),AND(OR($BO$36&gt;=3,$BO$41&gt;=3),OR(COUNTBLANK(S19:S20)&gt;0,COUNTBLANK(U19:U20)&gt;0)),AND(OR($BO$36&gt;=4,$BO$41&gt;=4),OR(COUNTBLANK(S24)&gt;0,COUNTBLANK(U24)&gt;0))),"",SUM(V10,V17,V22,V26))</f>
        <v>188</v>
      </c>
      <c r="W28" s="103"/>
      <c r="X28" s="104" t="s">
        <v>2</v>
      </c>
      <c r="Y28" s="69">
        <f>IF(Z28="","",RANK(Z41,$J41:$BB41,1))</f>
        <v>3</v>
      </c>
      <c r="Z28" s="105">
        <f>IF(OR(X$2="",AND(OR($BO$36&gt;=1,$BO$41&gt;=1),OR(COUNTBLANK(W5:W8)&gt;0,COUNTBLANK(Y5:Y8)&gt;0)),AND(OR($BO$36&gt;=2,$BO$41&gt;=2),OR(COUNTBLANK(W12:W15)&gt;0,COUNTBLANK(Y12:Y15)&gt;0)),AND(OR($BO$36&gt;=3,$BO$41&gt;=3),OR(COUNTBLANK(W19:W20)&gt;0,COUNTBLANK(Y19:Y20)&gt;0)),AND(OR($BO$36&gt;=4,$BO$41&gt;=4),OR(COUNTBLANK(W24)&gt;0,COUNTBLANK(Y24)&gt;0))),"",SUM(Z10,Z17,Z22,Z26))</f>
        <v>166</v>
      </c>
      <c r="AA28" s="103"/>
      <c r="AB28" s="104" t="s">
        <v>2</v>
      </c>
      <c r="AC28" s="69">
        <f>IF(AD28="","",RANK(AD41,$J41:$BB41,1))</f>
        <v>11</v>
      </c>
      <c r="AD28" s="105">
        <f>IF(OR(AB$2="",AND(OR($BO$36&gt;=1,$BO$41&gt;=1),OR(COUNTBLANK(AA5:AA8)&gt;0,COUNTBLANK(AC5:AC8)&gt;0)),AND(OR($BO$36&gt;=2,$BO$41&gt;=2),OR(COUNTBLANK(AA12:AA15)&gt;0,COUNTBLANK(AC12:AC15)&gt;0)),AND(OR($BO$36&gt;=3,$BO$41&gt;=3),OR(COUNTBLANK(AA19:AA20)&gt;0,COUNTBLANK(AC19:AC20)&gt;0)),AND(OR($BO$36&gt;=4,$BO$41&gt;=4),OR(COUNTBLANK(AA24)&gt;0,COUNTBLANK(AC24)&gt;0))),"",SUM(AD10,AD17,AD22,AD26))</f>
        <v>264</v>
      </c>
      <c r="AE28" s="103"/>
      <c r="AF28" s="104" t="s">
        <v>2</v>
      </c>
      <c r="AG28" s="69" t="str">
        <f>IF(AH28="","",RANK(AH41,$J41:$BB41,1))</f>
        <v/>
      </c>
      <c r="AH28" s="105" t="str">
        <f>IF(OR(AF$2="",AND(OR($BO$36&gt;=1,$BO$41&gt;=1),OR(COUNTBLANK(AE5:AE8)&gt;0,COUNTBLANK(AG5:AG8)&gt;0)),AND(OR($BO$36&gt;=2,$BO$41&gt;=2),OR(COUNTBLANK(AE12:AE15)&gt;0,COUNTBLANK(AG12:AG15)&gt;0)),AND(OR($BO$36&gt;=3,$BO$41&gt;=3),OR(COUNTBLANK(AE19:AE20)&gt;0,COUNTBLANK(AG19:AG20)&gt;0)),AND(OR($BO$36&gt;=4,$BO$41&gt;=4),OR(COUNTBLANK(AE24)&gt;0,COUNTBLANK(AG24)&gt;0))),"",SUM(AH10,AH17,AH22,AH26))</f>
        <v/>
      </c>
      <c r="AI28" s="103"/>
      <c r="AJ28" s="104" t="s">
        <v>2</v>
      </c>
      <c r="AK28" s="69">
        <f>IF(AL28="","",RANK(AL41,$J41:$BB41,1))</f>
        <v>4</v>
      </c>
      <c r="AL28" s="105">
        <f>IF(OR(AJ$2="",AND(OR($BO$36&gt;=1,$BO$41&gt;=1),OR(COUNTBLANK(AI5:AI8)&gt;0,COUNTBLANK(AK5:AK8)&gt;0)),AND(OR($BO$36&gt;=2,$BO$41&gt;=2),OR(COUNTBLANK(AI12:AI15)&gt;0,COUNTBLANK(AK12:AK15)&gt;0)),AND(OR($BO$36&gt;=3,$BO$41&gt;=3),OR(COUNTBLANK(AI19:AI20)&gt;0,COUNTBLANK(AK19:AK20)&gt;0)),AND(OR($BO$36&gt;=4,$BO$41&gt;=4),OR(COUNTBLANK(AI24)&gt;0,COUNTBLANK(AK24)&gt;0))),"",SUM(AL10,AL17,AL22,AL26))</f>
        <v>177</v>
      </c>
      <c r="AM28" s="103"/>
      <c r="AN28" s="104" t="s">
        <v>2</v>
      </c>
      <c r="AO28" s="69">
        <f>IF(AP28="","",RANK(AP41,$J41:$BB41,1))</f>
        <v>4</v>
      </c>
      <c r="AP28" s="105">
        <f>IF(OR(AN$2="",AND(OR($BO$36&gt;=1,$BO$41&gt;=1),OR(COUNTBLANK(AM5:AM8)&gt;0,COUNTBLANK(AO5:AO8)&gt;0)),AND(OR($BO$36&gt;=2,$BO$41&gt;=2),OR(COUNTBLANK(AM12:AM15)&gt;0,COUNTBLANK(AO12:AO15)&gt;0)),AND(OR($BO$36&gt;=3,$BO$41&gt;=3),OR(COUNTBLANK(AM19:AM20)&gt;0,COUNTBLANK(AO19:AO20)&gt;0)),AND(OR($BO$36&gt;=4,$BO$41&gt;=4),OR(COUNTBLANK(AM24)&gt;0,COUNTBLANK(AO24)&gt;0))),"",SUM(AP10,AP17,AP22,AP26))</f>
        <v>177</v>
      </c>
      <c r="AQ28" s="103"/>
      <c r="AR28" s="104" t="s">
        <v>2</v>
      </c>
      <c r="AS28" s="69">
        <f>IF(AT28="","",RANK(AT41,$J41:$BB41,1))</f>
        <v>2</v>
      </c>
      <c r="AT28" s="105">
        <f>IF(OR(AR$2="",AND(OR($BO$36&gt;=1,$BO$41&gt;=1),OR(COUNTBLANK(AQ5:AQ8)&gt;0,COUNTBLANK(AS5:AS8)&gt;0)),AND(OR($BO$36&gt;=2,$BO$41&gt;=2),OR(COUNTBLANK(AQ12:AQ15)&gt;0,COUNTBLANK(AS12:AS15)&gt;0)),AND(OR($BO$36&gt;=3,$BO$41&gt;=3),OR(COUNTBLANK(AQ19:AQ20)&gt;0,COUNTBLANK(AS19:AS20)&gt;0)),AND(OR($BO$36&gt;=4,$BO$41&gt;=4),OR(COUNTBLANK(AQ24)&gt;0,COUNTBLANK(AS24)&gt;0))),"",SUM(AT10,AT17,AT22,AT26))</f>
        <v>152</v>
      </c>
      <c r="AU28" s="103"/>
      <c r="AV28" s="104" t="s">
        <v>2</v>
      </c>
      <c r="AW28" s="69">
        <f>IF(AX28="","",RANK(AX41,$J41:$BB41,1))</f>
        <v>9</v>
      </c>
      <c r="AX28" s="105">
        <f>IF(OR(AV$2="",AND(OR($BO$36&gt;=1,$BO$41&gt;=1),OR(COUNTBLANK(AU5:AU8)&gt;0,COUNTBLANK(AW5:AW8)&gt;0)),AND(OR($BO$36&gt;=2,$BO$41&gt;=2),OR(COUNTBLANK(AU12:AU15)&gt;0,COUNTBLANK(AW12:AW15)&gt;0)),AND(OR($BO$36&gt;=3,$BO$41&gt;=3),OR(COUNTBLANK(AU19:AU20)&gt;0,COUNTBLANK(AW19:AW20)&gt;0)),AND(OR($BO$36&gt;=4,$BO$41&gt;=4),OR(COUNTBLANK(AU24)&gt;0,COUNTBLANK(AW24)&gt;0))),"",SUM(AX10,AX17,AX22,AX26))</f>
        <v>213</v>
      </c>
      <c r="AY28" s="103"/>
      <c r="AZ28" s="104" t="s">
        <v>2</v>
      </c>
      <c r="BA28" s="69">
        <f>IF(BB28="","",RANK(BB41,$J41:$BB41,1))</f>
        <v>8</v>
      </c>
      <c r="BB28" s="106">
        <f>IF(OR(AZ$2="",AND(OR($BO$36&gt;=1,$BO$41&gt;=1),OR(COUNTBLANK(AY5:AY8)&gt;0,COUNTBLANK(BA5:BA8)&gt;0)),AND(OR($BO$36&gt;=2,$BO$41&gt;=2),OR(COUNTBLANK(AY12:AY15)&gt;0,COUNTBLANK(BA12:BA15)&gt;0)),AND(OR($BO$36&gt;=3,$BO$41&gt;=3),OR(COUNTBLANK(AY19:AY20)&gt;0,COUNTBLANK(BA19:BA20)&gt;0)),AND(OR($BO$36&gt;=4,$BO$41&gt;=4),OR(COUNTBLANK(AY24)&gt;0,COUNTBLANK(BA24)&gt;0))),"",SUM(BB10,BB17,BB22,BB26))</f>
        <v>200</v>
      </c>
      <c r="BC28" s="59"/>
      <c r="BD28" s="59"/>
      <c r="BE28" s="59"/>
      <c r="BF28" s="59"/>
      <c r="BG28" s="59"/>
      <c r="BH28" s="79"/>
      <c r="BI28" s="107"/>
      <c r="BJ28" s="104" t="s">
        <v>2</v>
      </c>
      <c r="BK28" s="69">
        <f>IF(BL28="","",RANK(BL41,$J41:$BL41,1))</f>
        <v>3</v>
      </c>
      <c r="BL28" s="106">
        <f>IF(OR(AND($BO$41&gt;=1,OR(COUNTBLANK(BI5:BI8)&gt;0,COUNTBLANK(BK5:BK8)&gt;0)),AND($BO$41&gt;=2,OR(COUNTBLANK(BI12:BI15)&gt;0,COUNTBLANK(BK12:BK15)&gt;0)),AND($BO$41&gt;=3,OR(COUNTBLANK(BI19:BI20)&gt;0,COUNTBLANK(BK19:BK20)&gt;0)),AND($BO$41&gt;=4,OR(COUNTBLANK(BI24)&gt;0,COUNTBLANK(BK24)&gt;0))),"",SUM(BL10,BL17,BL22,BL26))</f>
        <v>165</v>
      </c>
      <c r="BM28" s="59"/>
      <c r="BO28" s="50">
        <f>COUNTIF(J40:BB40,1)</f>
        <v>1</v>
      </c>
      <c r="BP28" s="50">
        <f>COUNTIF(J40:BB40,2)</f>
        <v>1</v>
      </c>
      <c r="BQ28" s="51" t="s">
        <v>24</v>
      </c>
      <c r="BR28" s="5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DK28" s="64"/>
      <c r="DL28" s="161" t="str">
        <f>CONCATENATE($DM$2,$I$20,$DN$2)</f>
        <v xml:space="preserve">   "10",</v>
      </c>
      <c r="DM28" s="121"/>
      <c r="DN28" s="121"/>
    </row>
    <row r="29" spans="1:118" s="43" customFormat="1" ht="21" customHeight="1" thickBot="1" x14ac:dyDescent="0.25">
      <c r="A29" s="4"/>
      <c r="B29" s="108"/>
      <c r="C29" s="70"/>
      <c r="D29" s="70"/>
      <c r="E29" s="109"/>
      <c r="F29" s="74" t="s">
        <v>68</v>
      </c>
      <c r="G29" s="71"/>
      <c r="H29" s="72" t="s">
        <v>69</v>
      </c>
      <c r="I29" s="77">
        <f>IF(J28="","",SUM(G42:G52))</f>
        <v>6</v>
      </c>
      <c r="J29" s="110">
        <f>IF(J28="","",IF(COUNTBLANK(G42:G52)=11,"",I29/(11-COUNTBLANK(G42:G52))))</f>
        <v>0.6</v>
      </c>
      <c r="K29" s="71"/>
      <c r="L29" s="72" t="s">
        <v>69</v>
      </c>
      <c r="M29" s="77">
        <f>IF(N28="","",SUM(K42:K52))</f>
        <v>7</v>
      </c>
      <c r="N29" s="110">
        <f>IF(N28="","",IF(COUNTBLANK(K42:K52)=11,"",M29/(11-COUNTBLANK(K42:K52))))</f>
        <v>0.7</v>
      </c>
      <c r="O29" s="71"/>
      <c r="P29" s="72" t="s">
        <v>69</v>
      </c>
      <c r="Q29" s="77">
        <f>IF(R28="","",SUM(O42:O52))</f>
        <v>9</v>
      </c>
      <c r="R29" s="110">
        <f>IF(R28="","",IF(COUNTBLANK(O42:O52)=11,"",Q29/(11-COUNTBLANK(O42:O52))))</f>
        <v>0.9</v>
      </c>
      <c r="S29" s="71"/>
      <c r="T29" s="72" t="s">
        <v>69</v>
      </c>
      <c r="U29" s="77">
        <f>IF(V28="","",SUM(S42:S52))</f>
        <v>7</v>
      </c>
      <c r="V29" s="110">
        <f>IF(V28="","",IF(COUNTBLANK(S42:S52)=11,"",U29/(11-COUNTBLANK(S42:S52))))</f>
        <v>0.7</v>
      </c>
      <c r="W29" s="71"/>
      <c r="X29" s="72" t="s">
        <v>69</v>
      </c>
      <c r="Y29" s="77">
        <f>IF(Z28="","",SUM(W42:W52))</f>
        <v>8</v>
      </c>
      <c r="Z29" s="110">
        <f>IF(Z28="","",IF(COUNTBLANK(W42:W52)=11,"",Y29/(11-COUNTBLANK(W42:W52))))</f>
        <v>0.8</v>
      </c>
      <c r="AA29" s="71"/>
      <c r="AB29" s="72" t="s">
        <v>69</v>
      </c>
      <c r="AC29" s="77">
        <f>IF(AD28="","",SUM(AA42:AA52))</f>
        <v>5</v>
      </c>
      <c r="AD29" s="110">
        <f>IF(AD28="","",IF(COUNTBLANK(AA42:AA52)=11,"",AC29/(11-COUNTBLANK(AA42:AA52))))</f>
        <v>0.5</v>
      </c>
      <c r="AE29" s="71"/>
      <c r="AF29" s="72" t="s">
        <v>69</v>
      </c>
      <c r="AG29" s="77" t="str">
        <f>IF(AH28="","",SUM(AE42:AE52))</f>
        <v/>
      </c>
      <c r="AH29" s="110" t="str">
        <f>IF(AH28="","",IF(COUNTBLANK(AE42:AE52)=11,"",AG29/(11-COUNTBLANK(AE42:AE52))))</f>
        <v/>
      </c>
      <c r="AI29" s="71"/>
      <c r="AJ29" s="72" t="s">
        <v>69</v>
      </c>
      <c r="AK29" s="77">
        <f>IF(AL28="","",SUM(AI42:AI52))</f>
        <v>6</v>
      </c>
      <c r="AL29" s="110">
        <f>IF(AL28="","",IF(COUNTBLANK(AI42:AI52)=11,"",AK29/(11-COUNTBLANK(AI42:AI52))))</f>
        <v>0.6</v>
      </c>
      <c r="AM29" s="71"/>
      <c r="AN29" s="72" t="s">
        <v>69</v>
      </c>
      <c r="AO29" s="77">
        <f>IF(AP28="","",SUM(AM42:AM52))</f>
        <v>5</v>
      </c>
      <c r="AP29" s="110">
        <f>IF(AP28="","",IF(COUNTBLANK(AM42:AM52)=11,"",AO29/(11-COUNTBLANK(AM42:AM52))))</f>
        <v>0.5</v>
      </c>
      <c r="AQ29" s="71"/>
      <c r="AR29" s="72" t="s">
        <v>69</v>
      </c>
      <c r="AS29" s="77">
        <f>IF(AT28="","",SUM(AQ42:AQ52))</f>
        <v>8</v>
      </c>
      <c r="AT29" s="110">
        <f>IF(AT28="","",IF(COUNTBLANK(AQ42:AQ52)=11,"",AS29/(11-COUNTBLANK(AQ42:AQ52))))</f>
        <v>0.8</v>
      </c>
      <c r="AU29" s="71"/>
      <c r="AV29" s="72" t="s">
        <v>69</v>
      </c>
      <c r="AW29" s="77">
        <f>IF(AX28="","",SUM(AU42:AU52))</f>
        <v>7</v>
      </c>
      <c r="AX29" s="110">
        <f>IF(AX28="","",IF(COUNTBLANK(AU42:AU52)=11,"",AW29/(11-COUNTBLANK(AU42:AU52))))</f>
        <v>0.7</v>
      </c>
      <c r="AY29" s="71"/>
      <c r="AZ29" s="72" t="s">
        <v>69</v>
      </c>
      <c r="BA29" s="77">
        <f>IF(BB28="","",SUM(AY42:AY52))</f>
        <v>6</v>
      </c>
      <c r="BB29" s="111">
        <f>IF(BB28="","",IF(COUNTBLANK(AY42:AY52)=11,"",BA29/(11-COUNTBLANK(AY42:AY52))))</f>
        <v>0.6</v>
      </c>
      <c r="BC29" s="56"/>
      <c r="BD29" s="56"/>
      <c r="BE29" s="56"/>
      <c r="BF29" s="56"/>
      <c r="BG29" s="56"/>
      <c r="BH29" s="123"/>
      <c r="BI29" s="112"/>
      <c r="BJ29" s="72" t="s">
        <v>69</v>
      </c>
      <c r="BK29" s="77">
        <f>IF(BL28="","",SUM(BI42:BI52))</f>
        <v>8</v>
      </c>
      <c r="BL29" s="113">
        <f>IF(BL28="","",IF(COUNTBLANK(BI42:BI52)=11,"",BK29/(11-COUNTBLANK(BI42:BI52))))</f>
        <v>0.8</v>
      </c>
      <c r="BM29" s="59"/>
      <c r="BO29" s="60"/>
      <c r="BP29" s="61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DK29" s="64"/>
      <c r="DL29" s="161" t="str">
        <f>CONCATENATE($DM$2,$I$24,$DN$3)</f>
        <v xml:space="preserve">   "15"</v>
      </c>
      <c r="DM29" s="121"/>
      <c r="DN29" s="121"/>
    </row>
    <row r="30" spans="1:118" s="43" customFormat="1" ht="15" customHeight="1" thickTop="1" x14ac:dyDescent="0.2">
      <c r="A30" s="4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79"/>
      <c r="BI30" s="59"/>
      <c r="BJ30" s="59"/>
      <c r="BK30" s="59"/>
      <c r="BL30" s="59"/>
      <c r="BM30" s="59"/>
      <c r="BO30" s="60"/>
      <c r="BP30" s="61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DK30" s="64"/>
      <c r="DL30" s="161" t="s">
        <v>31</v>
      </c>
      <c r="DM30" s="121"/>
      <c r="DN30" s="121"/>
    </row>
    <row r="31" spans="1:118" s="142" customFormat="1" ht="15" customHeight="1" x14ac:dyDescent="0.2">
      <c r="A31" s="139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1"/>
      <c r="BI31" s="140"/>
      <c r="BJ31" s="140"/>
      <c r="BK31" s="140"/>
      <c r="BL31" s="140"/>
      <c r="BM31" s="140"/>
      <c r="BO31" s="143"/>
      <c r="BP31" s="144"/>
      <c r="CB31" s="145"/>
      <c r="CC31" s="145"/>
      <c r="CD31" s="145"/>
      <c r="CE31" s="145"/>
      <c r="CF31" s="145"/>
      <c r="CG31" s="145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5"/>
      <c r="DK31" s="145"/>
      <c r="DL31" s="162"/>
      <c r="DM31" s="146"/>
      <c r="DN31" s="146"/>
    </row>
    <row r="32" spans="1:118" s="142" customFormat="1" ht="15" hidden="1" customHeight="1" x14ac:dyDescent="0.2">
      <c r="A32" s="139"/>
      <c r="B32" s="147" t="s">
        <v>9</v>
      </c>
      <c r="C32" s="157" t="s">
        <v>10</v>
      </c>
      <c r="D32" s="139"/>
      <c r="E32" s="139"/>
      <c r="F32" s="156" t="s">
        <v>84</v>
      </c>
      <c r="I32" s="147"/>
      <c r="J32" s="147">
        <f>I10</f>
        <v>2</v>
      </c>
      <c r="K32" s="147"/>
      <c r="L32" s="147"/>
      <c r="M32" s="147"/>
      <c r="N32" s="147">
        <f>M10</f>
        <v>11</v>
      </c>
      <c r="O32" s="147"/>
      <c r="P32" s="147"/>
      <c r="Q32" s="147"/>
      <c r="R32" s="147">
        <f>Q10</f>
        <v>1</v>
      </c>
      <c r="S32" s="147"/>
      <c r="T32" s="147"/>
      <c r="U32" s="147"/>
      <c r="V32" s="147">
        <f>U10</f>
        <v>6</v>
      </c>
      <c r="W32" s="147"/>
      <c r="X32" s="147"/>
      <c r="Y32" s="147"/>
      <c r="Z32" s="147">
        <f>Y10</f>
        <v>8</v>
      </c>
      <c r="AA32" s="147"/>
      <c r="AB32" s="147"/>
      <c r="AC32" s="147"/>
      <c r="AD32" s="147">
        <f>AC10</f>
        <v>12</v>
      </c>
      <c r="AE32" s="147"/>
      <c r="AF32" s="147"/>
      <c r="AG32" s="147"/>
      <c r="AH32" s="147">
        <f>AG10</f>
        <v>7</v>
      </c>
      <c r="AI32" s="147"/>
      <c r="AJ32" s="147"/>
      <c r="AK32" s="147"/>
      <c r="AL32" s="147">
        <f>AK10</f>
        <v>5</v>
      </c>
      <c r="AM32" s="147"/>
      <c r="AN32" s="147"/>
      <c r="AO32" s="147"/>
      <c r="AP32" s="147">
        <f>AO10</f>
        <v>10</v>
      </c>
      <c r="AQ32" s="147"/>
      <c r="AR32" s="147"/>
      <c r="AS32" s="147"/>
      <c r="AT32" s="147">
        <f>AS10</f>
        <v>3</v>
      </c>
      <c r="AU32" s="147"/>
      <c r="AV32" s="147"/>
      <c r="AW32" s="147"/>
      <c r="AX32" s="147">
        <f>AW10</f>
        <v>8</v>
      </c>
      <c r="AY32" s="147"/>
      <c r="AZ32" s="147"/>
      <c r="BA32" s="147"/>
      <c r="BB32" s="147">
        <f>BA10</f>
        <v>3</v>
      </c>
      <c r="BH32" s="141"/>
      <c r="BI32" s="147"/>
      <c r="BJ32" s="147"/>
      <c r="BK32" s="147"/>
      <c r="BL32" s="147">
        <f>BK10</f>
        <v>3</v>
      </c>
      <c r="BN32" s="148"/>
      <c r="BO32" s="149">
        <f>IF(COUNTBLANK($C$5:$C$8)=0,1,0)</f>
        <v>1</v>
      </c>
      <c r="BP32" s="150" t="str">
        <f>IF(AND($BO$36=0,$BO$41=0),"",IF($BO$36&gt;$BO$41,CONCATENATE("Week ",$BO$36," Preliminary"),CONCATENATE("Week ",$BO$41," Final")))</f>
        <v>Week 4 Preliminary</v>
      </c>
      <c r="BQ32" s="151"/>
      <c r="BR32" s="151"/>
      <c r="BS32" s="151"/>
      <c r="BT32" s="151"/>
      <c r="BU32" s="151"/>
      <c r="BV32" s="151"/>
      <c r="BW32" s="151"/>
      <c r="BX32" s="151"/>
      <c r="BY32" s="151"/>
      <c r="BZ32" s="151"/>
      <c r="CA32" s="151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DK32" s="143"/>
      <c r="DL32" s="162"/>
      <c r="DM32" s="146"/>
      <c r="DN32" s="146"/>
    </row>
    <row r="33" spans="1:118" s="142" customFormat="1" ht="15" hidden="1" customHeight="1" x14ac:dyDescent="0.2">
      <c r="A33" s="139"/>
      <c r="B33" s="139"/>
      <c r="C33" s="139"/>
      <c r="D33" s="139"/>
      <c r="E33" s="139"/>
      <c r="F33" s="156" t="s">
        <v>85</v>
      </c>
      <c r="G33" s="147"/>
      <c r="H33" s="147"/>
      <c r="I33" s="147"/>
      <c r="J33" s="147">
        <f>J10</f>
        <v>46</v>
      </c>
      <c r="K33" s="147"/>
      <c r="L33" s="147"/>
      <c r="M33" s="147"/>
      <c r="N33" s="147">
        <f>N10</f>
        <v>74</v>
      </c>
      <c r="O33" s="147"/>
      <c r="P33" s="147"/>
      <c r="Q33" s="147"/>
      <c r="R33" s="147">
        <f>R10</f>
        <v>43</v>
      </c>
      <c r="S33" s="147"/>
      <c r="T33" s="147"/>
      <c r="U33" s="147"/>
      <c r="V33" s="147">
        <f>V10</f>
        <v>61</v>
      </c>
      <c r="W33" s="147"/>
      <c r="X33" s="147"/>
      <c r="Y33" s="147"/>
      <c r="Z33" s="147">
        <f>Z10</f>
        <v>68</v>
      </c>
      <c r="AA33" s="147"/>
      <c r="AB33" s="147"/>
      <c r="AC33" s="147"/>
      <c r="AD33" s="147">
        <f>AD10</f>
        <v>78</v>
      </c>
      <c r="AE33" s="147"/>
      <c r="AF33" s="147"/>
      <c r="AG33" s="147"/>
      <c r="AH33" s="147">
        <f>AH10</f>
        <v>65</v>
      </c>
      <c r="AI33" s="147"/>
      <c r="AJ33" s="147"/>
      <c r="AK33" s="147"/>
      <c r="AL33" s="147">
        <f>AL10</f>
        <v>59</v>
      </c>
      <c r="AM33" s="147"/>
      <c r="AN33" s="147"/>
      <c r="AO33" s="147"/>
      <c r="AP33" s="147">
        <f>AP10</f>
        <v>69</v>
      </c>
      <c r="AQ33" s="147"/>
      <c r="AR33" s="147"/>
      <c r="AS33" s="147"/>
      <c r="AT33" s="147">
        <f>AT10</f>
        <v>57</v>
      </c>
      <c r="AU33" s="147"/>
      <c r="AV33" s="147"/>
      <c r="AW33" s="147"/>
      <c r="AX33" s="147">
        <f>AX10</f>
        <v>68</v>
      </c>
      <c r="AY33" s="147"/>
      <c r="AZ33" s="147"/>
      <c r="BA33" s="147"/>
      <c r="BB33" s="147">
        <f>BB10</f>
        <v>57</v>
      </c>
      <c r="BH33" s="141"/>
      <c r="BI33" s="147"/>
      <c r="BJ33" s="147"/>
      <c r="BK33" s="147"/>
      <c r="BL33" s="152">
        <f>BL10</f>
        <v>56</v>
      </c>
      <c r="BN33" s="148"/>
      <c r="BO33" s="149">
        <f>IF(COUNTBLANK($C$12:$C$15)=0,1,0)</f>
        <v>1</v>
      </c>
      <c r="BP33" s="150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DK33" s="143"/>
      <c r="DL33" s="162"/>
      <c r="DM33" s="146"/>
      <c r="DN33" s="146"/>
    </row>
    <row r="34" spans="1:118" s="142" customFormat="1" ht="15" hidden="1" customHeight="1" x14ac:dyDescent="0.2">
      <c r="A34" s="139"/>
      <c r="B34" s="139"/>
      <c r="C34" s="139"/>
      <c r="D34" s="139"/>
      <c r="E34" s="139"/>
      <c r="F34" s="156" t="s">
        <v>86</v>
      </c>
      <c r="G34" s="147"/>
      <c r="H34" s="147"/>
      <c r="I34" s="147"/>
      <c r="J34" s="147">
        <f>I17</f>
        <v>9</v>
      </c>
      <c r="K34" s="147"/>
      <c r="L34" s="147"/>
      <c r="M34" s="147"/>
      <c r="N34" s="147">
        <f>M17</f>
        <v>7</v>
      </c>
      <c r="O34" s="147"/>
      <c r="P34" s="147"/>
      <c r="Q34" s="147"/>
      <c r="R34" s="147">
        <f>Q17</f>
        <v>1</v>
      </c>
      <c r="S34" s="147"/>
      <c r="T34" s="147"/>
      <c r="U34" s="147"/>
      <c r="V34" s="147">
        <f>U17</f>
        <v>7</v>
      </c>
      <c r="W34" s="147"/>
      <c r="X34" s="147"/>
      <c r="Y34" s="147"/>
      <c r="Z34" s="147">
        <f>Y17</f>
        <v>3</v>
      </c>
      <c r="AA34" s="147"/>
      <c r="AB34" s="147"/>
      <c r="AC34" s="147"/>
      <c r="AD34" s="147">
        <f>AC17</f>
        <v>11</v>
      </c>
      <c r="AE34" s="147"/>
      <c r="AF34" s="147"/>
      <c r="AG34" s="147"/>
      <c r="AH34" s="147" t="str">
        <f>AG17</f>
        <v/>
      </c>
      <c r="AI34" s="147"/>
      <c r="AJ34" s="147"/>
      <c r="AK34" s="147"/>
      <c r="AL34" s="147">
        <f>AK17</f>
        <v>5</v>
      </c>
      <c r="AM34" s="147"/>
      <c r="AN34" s="147"/>
      <c r="AO34" s="147"/>
      <c r="AP34" s="147">
        <f>AO17</f>
        <v>4</v>
      </c>
      <c r="AQ34" s="147"/>
      <c r="AR34" s="147"/>
      <c r="AS34" s="147"/>
      <c r="AT34" s="147">
        <f>AS17</f>
        <v>1</v>
      </c>
      <c r="AU34" s="147"/>
      <c r="AV34" s="147"/>
      <c r="AW34" s="147"/>
      <c r="AX34" s="147">
        <f>AW17</f>
        <v>10</v>
      </c>
      <c r="AY34" s="147"/>
      <c r="AZ34" s="147"/>
      <c r="BA34" s="147"/>
      <c r="BB34" s="147">
        <f>BA17</f>
        <v>6</v>
      </c>
      <c r="BH34" s="141"/>
      <c r="BI34" s="147"/>
      <c r="BJ34" s="147"/>
      <c r="BK34" s="147"/>
      <c r="BL34" s="147">
        <f>BK17</f>
        <v>3</v>
      </c>
      <c r="BN34" s="148"/>
      <c r="BO34" s="149">
        <f>IF(COUNTBLANK($C$19:$C$20)=0,1,0)</f>
        <v>1</v>
      </c>
      <c r="BP34" s="150"/>
      <c r="BQ34" s="151"/>
      <c r="BR34" s="151"/>
      <c r="BS34" s="151"/>
      <c r="BT34" s="151"/>
      <c r="BU34" s="151"/>
      <c r="BV34" s="151"/>
      <c r="BW34" s="151"/>
      <c r="BX34" s="151"/>
      <c r="BY34" s="151"/>
      <c r="BZ34" s="151"/>
      <c r="CA34" s="151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DK34" s="143"/>
      <c r="DL34" s="162"/>
      <c r="DM34" s="146"/>
      <c r="DN34" s="146"/>
    </row>
    <row r="35" spans="1:118" s="142" customFormat="1" ht="15" hidden="1" customHeight="1" x14ac:dyDescent="0.2">
      <c r="A35" s="139"/>
      <c r="B35" s="139"/>
      <c r="C35" s="139"/>
      <c r="D35" s="139"/>
      <c r="E35" s="139"/>
      <c r="F35" s="156" t="s">
        <v>87</v>
      </c>
      <c r="G35" s="147"/>
      <c r="H35" s="147"/>
      <c r="I35" s="147"/>
      <c r="J35" s="147">
        <f>J17</f>
        <v>43</v>
      </c>
      <c r="K35" s="147"/>
      <c r="L35" s="147"/>
      <c r="M35" s="147"/>
      <c r="N35" s="147">
        <f>N17</f>
        <v>29</v>
      </c>
      <c r="O35" s="147"/>
      <c r="P35" s="147"/>
      <c r="Q35" s="147"/>
      <c r="R35" s="147">
        <f>R17</f>
        <v>9</v>
      </c>
      <c r="S35" s="147"/>
      <c r="T35" s="147"/>
      <c r="U35" s="147"/>
      <c r="V35" s="147">
        <f>V17</f>
        <v>29</v>
      </c>
      <c r="W35" s="147"/>
      <c r="X35" s="147"/>
      <c r="Y35" s="147"/>
      <c r="Z35" s="147">
        <f>Z17</f>
        <v>12</v>
      </c>
      <c r="AA35" s="147"/>
      <c r="AB35" s="147"/>
      <c r="AC35" s="147"/>
      <c r="AD35" s="147">
        <f>AD17</f>
        <v>46</v>
      </c>
      <c r="AE35" s="147"/>
      <c r="AF35" s="147"/>
      <c r="AG35" s="147"/>
      <c r="AH35" s="147" t="str">
        <f>AH17</f>
        <v/>
      </c>
      <c r="AI35" s="147"/>
      <c r="AJ35" s="147"/>
      <c r="AK35" s="147"/>
      <c r="AL35" s="147">
        <f>AL17</f>
        <v>22</v>
      </c>
      <c r="AM35" s="147"/>
      <c r="AN35" s="147"/>
      <c r="AO35" s="147"/>
      <c r="AP35" s="147">
        <f>AP17</f>
        <v>18</v>
      </c>
      <c r="AQ35" s="147"/>
      <c r="AR35" s="147"/>
      <c r="AS35" s="147"/>
      <c r="AT35" s="147">
        <f>AT17</f>
        <v>9</v>
      </c>
      <c r="AU35" s="147"/>
      <c r="AV35" s="147"/>
      <c r="AW35" s="147"/>
      <c r="AX35" s="147">
        <f>AX17</f>
        <v>45</v>
      </c>
      <c r="AY35" s="147"/>
      <c r="AZ35" s="147"/>
      <c r="BA35" s="147"/>
      <c r="BB35" s="147">
        <f>BB17</f>
        <v>27</v>
      </c>
      <c r="BH35" s="141"/>
      <c r="BI35" s="147"/>
      <c r="BJ35" s="147"/>
      <c r="BK35" s="147"/>
      <c r="BL35" s="147">
        <f>BL17</f>
        <v>11</v>
      </c>
      <c r="BN35" s="148"/>
      <c r="BO35" s="149">
        <f>IF(COUNTBLANK($C$24)=0,1,0)</f>
        <v>1</v>
      </c>
      <c r="BP35" s="150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DK35" s="143"/>
      <c r="DL35" s="162"/>
      <c r="DM35" s="146"/>
      <c r="DN35" s="146"/>
    </row>
    <row r="36" spans="1:118" s="142" customFormat="1" ht="15" hidden="1" customHeight="1" x14ac:dyDescent="0.2">
      <c r="A36" s="139"/>
      <c r="B36" s="139"/>
      <c r="C36" s="139"/>
      <c r="D36" s="139"/>
      <c r="E36" s="139"/>
      <c r="F36" s="156" t="s">
        <v>88</v>
      </c>
      <c r="G36" s="147"/>
      <c r="H36" s="147"/>
      <c r="I36" s="147"/>
      <c r="J36" s="147">
        <f>I22</f>
        <v>12</v>
      </c>
      <c r="K36" s="147"/>
      <c r="L36" s="147"/>
      <c r="M36" s="147"/>
      <c r="N36" s="147">
        <f>M22</f>
        <v>1</v>
      </c>
      <c r="O36" s="147"/>
      <c r="P36" s="147"/>
      <c r="Q36" s="147"/>
      <c r="R36" s="147">
        <f>Q22</f>
        <v>2</v>
      </c>
      <c r="S36" s="147"/>
      <c r="T36" s="147"/>
      <c r="U36" s="147"/>
      <c r="V36" s="147">
        <f>U22</f>
        <v>7</v>
      </c>
      <c r="W36" s="147"/>
      <c r="X36" s="147"/>
      <c r="Y36" s="147"/>
      <c r="Z36" s="147">
        <f>Y22</f>
        <v>3</v>
      </c>
      <c r="AA36" s="147"/>
      <c r="AB36" s="147"/>
      <c r="AC36" s="147"/>
      <c r="AD36" s="147">
        <f>AC22</f>
        <v>11</v>
      </c>
      <c r="AE36" s="147"/>
      <c r="AF36" s="147"/>
      <c r="AG36" s="147"/>
      <c r="AH36" s="147">
        <f>AG22</f>
        <v>10</v>
      </c>
      <c r="AI36" s="147"/>
      <c r="AJ36" s="147"/>
      <c r="AK36" s="147"/>
      <c r="AL36" s="147">
        <f>AK22</f>
        <v>6</v>
      </c>
      <c r="AM36" s="147"/>
      <c r="AN36" s="147"/>
      <c r="AO36" s="147"/>
      <c r="AP36" s="147">
        <f>AO22</f>
        <v>5</v>
      </c>
      <c r="AQ36" s="147"/>
      <c r="AR36" s="147"/>
      <c r="AS36" s="147"/>
      <c r="AT36" s="147">
        <f>AS22</f>
        <v>3</v>
      </c>
      <c r="AU36" s="147"/>
      <c r="AV36" s="147"/>
      <c r="AW36" s="147"/>
      <c r="AX36" s="147">
        <f>AW22</f>
        <v>8</v>
      </c>
      <c r="AY36" s="147"/>
      <c r="AZ36" s="147"/>
      <c r="BA36" s="147"/>
      <c r="BB36" s="147">
        <f>BA22</f>
        <v>9</v>
      </c>
      <c r="BH36" s="141"/>
      <c r="BI36" s="147"/>
      <c r="BJ36" s="147"/>
      <c r="BK36" s="147"/>
      <c r="BL36" s="147">
        <f>BK22</f>
        <v>7</v>
      </c>
      <c r="BN36" s="148" t="s">
        <v>59</v>
      </c>
      <c r="BO36" s="149">
        <f>SUM(BO32:BO35)</f>
        <v>4</v>
      </c>
      <c r="BP36" s="150" t="s">
        <v>60</v>
      </c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DK36" s="143"/>
      <c r="DL36" s="162"/>
      <c r="DM36" s="146"/>
      <c r="DN36" s="146"/>
    </row>
    <row r="37" spans="1:118" s="142" customFormat="1" ht="15" hidden="1" customHeight="1" x14ac:dyDescent="0.2">
      <c r="A37" s="139"/>
      <c r="B37" s="139"/>
      <c r="C37" s="139"/>
      <c r="D37" s="139"/>
      <c r="E37" s="139"/>
      <c r="F37" s="156" t="s">
        <v>89</v>
      </c>
      <c r="G37" s="147"/>
      <c r="H37" s="147"/>
      <c r="I37" s="147"/>
      <c r="J37" s="147">
        <f>J22</f>
        <v>146</v>
      </c>
      <c r="K37" s="147"/>
      <c r="L37" s="147"/>
      <c r="M37" s="147"/>
      <c r="N37" s="147">
        <f>N22</f>
        <v>78</v>
      </c>
      <c r="O37" s="147"/>
      <c r="P37" s="147"/>
      <c r="Q37" s="147"/>
      <c r="R37" s="147">
        <f>R22</f>
        <v>82</v>
      </c>
      <c r="S37" s="147"/>
      <c r="T37" s="147"/>
      <c r="U37" s="147"/>
      <c r="V37" s="147">
        <f>V22</f>
        <v>98</v>
      </c>
      <c r="W37" s="147"/>
      <c r="X37" s="147"/>
      <c r="Y37" s="147"/>
      <c r="Z37" s="147">
        <f>Z22</f>
        <v>86</v>
      </c>
      <c r="AA37" s="147"/>
      <c r="AB37" s="147"/>
      <c r="AC37" s="147"/>
      <c r="AD37" s="147">
        <f>AD22</f>
        <v>140</v>
      </c>
      <c r="AE37" s="147"/>
      <c r="AF37" s="147"/>
      <c r="AG37" s="147"/>
      <c r="AH37" s="147">
        <f>AH22</f>
        <v>134</v>
      </c>
      <c r="AI37" s="147"/>
      <c r="AJ37" s="147"/>
      <c r="AK37" s="147"/>
      <c r="AL37" s="147">
        <f>AL22</f>
        <v>96</v>
      </c>
      <c r="AM37" s="147"/>
      <c r="AN37" s="147"/>
      <c r="AO37" s="147"/>
      <c r="AP37" s="147">
        <f>AP22</f>
        <v>90</v>
      </c>
      <c r="AQ37" s="147"/>
      <c r="AR37" s="147"/>
      <c r="AS37" s="147"/>
      <c r="AT37" s="147">
        <f>AT22</f>
        <v>86</v>
      </c>
      <c r="AU37" s="147"/>
      <c r="AV37" s="147"/>
      <c r="AW37" s="147"/>
      <c r="AX37" s="147">
        <f>AX22</f>
        <v>100</v>
      </c>
      <c r="AY37" s="147"/>
      <c r="AZ37" s="147"/>
      <c r="BA37" s="147"/>
      <c r="BB37" s="147">
        <f>BB22</f>
        <v>116</v>
      </c>
      <c r="BH37" s="141"/>
      <c r="BI37" s="147"/>
      <c r="BJ37" s="147"/>
      <c r="BK37" s="147"/>
      <c r="BL37" s="147">
        <f>BL22</f>
        <v>98</v>
      </c>
      <c r="BN37" s="148"/>
      <c r="BO37" s="149">
        <f>IF(COUNTBLANK($BD$5:$BD$8)=0,1,0)</f>
        <v>1</v>
      </c>
      <c r="BP37" s="150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DK37" s="143"/>
      <c r="DL37" s="162"/>
      <c r="DM37" s="146"/>
      <c r="DN37" s="146"/>
    </row>
    <row r="38" spans="1:118" s="142" customFormat="1" ht="15" hidden="1" customHeight="1" x14ac:dyDescent="0.2">
      <c r="A38" s="139"/>
      <c r="B38" s="139"/>
      <c r="C38" s="139"/>
      <c r="D38" s="139"/>
      <c r="E38" s="139"/>
      <c r="F38" s="156" t="s">
        <v>90</v>
      </c>
      <c r="G38" s="147"/>
      <c r="H38" s="147"/>
      <c r="I38" s="147"/>
      <c r="J38" s="147">
        <f>I26</f>
        <v>1</v>
      </c>
      <c r="K38" s="147"/>
      <c r="L38" s="147"/>
      <c r="M38" s="147"/>
      <c r="N38" s="147">
        <f>M26</f>
        <v>1</v>
      </c>
      <c r="O38" s="147"/>
      <c r="P38" s="147"/>
      <c r="Q38" s="147"/>
      <c r="R38" s="147">
        <f>Q26</f>
        <v>1</v>
      </c>
      <c r="S38" s="147"/>
      <c r="T38" s="147"/>
      <c r="U38" s="147"/>
      <c r="V38" s="147">
        <f>U26</f>
        <v>1</v>
      </c>
      <c r="W38" s="147"/>
      <c r="X38" s="147"/>
      <c r="Y38" s="147"/>
      <c r="Z38" s="147">
        <f>Y26</f>
        <v>1</v>
      </c>
      <c r="AA38" s="147"/>
      <c r="AB38" s="147"/>
      <c r="AC38" s="147"/>
      <c r="AD38" s="147">
        <f>AC26</f>
        <v>1</v>
      </c>
      <c r="AE38" s="147"/>
      <c r="AF38" s="147"/>
      <c r="AG38" s="147"/>
      <c r="AH38" s="147">
        <f>AG26</f>
        <v>1</v>
      </c>
      <c r="AI38" s="147"/>
      <c r="AJ38" s="147"/>
      <c r="AK38" s="147"/>
      <c r="AL38" s="147">
        <f>AK26</f>
        <v>1</v>
      </c>
      <c r="AM38" s="147"/>
      <c r="AN38" s="147"/>
      <c r="AO38" s="147"/>
      <c r="AP38" s="147">
        <f>AO26</f>
        <v>1</v>
      </c>
      <c r="AQ38" s="147"/>
      <c r="AR38" s="147"/>
      <c r="AS38" s="147"/>
      <c r="AT38" s="147">
        <f>AS26</f>
        <v>1</v>
      </c>
      <c r="AU38" s="147"/>
      <c r="AV38" s="147"/>
      <c r="AW38" s="147"/>
      <c r="AX38" s="147">
        <f>AW26</f>
        <v>1</v>
      </c>
      <c r="AY38" s="147"/>
      <c r="AZ38" s="147"/>
      <c r="BA38" s="147"/>
      <c r="BB38" s="147">
        <f>BA26</f>
        <v>1</v>
      </c>
      <c r="BH38" s="141"/>
      <c r="BI38" s="147"/>
      <c r="BJ38" s="147"/>
      <c r="BK38" s="147"/>
      <c r="BL38" s="147">
        <f>BK26</f>
        <v>1</v>
      </c>
      <c r="BN38" s="148"/>
      <c r="BO38" s="149">
        <f>IF(COUNTBLANK($BD$12:$BD$15)=0,1,0)</f>
        <v>1</v>
      </c>
      <c r="BP38" s="150"/>
      <c r="BQ38" s="151"/>
      <c r="BR38" s="151"/>
      <c r="BS38" s="151"/>
      <c r="BT38" s="151"/>
      <c r="BU38" s="151"/>
      <c r="BV38" s="151"/>
      <c r="BW38" s="151"/>
      <c r="BX38" s="151"/>
      <c r="BY38" s="151"/>
      <c r="BZ38" s="151"/>
      <c r="CA38" s="151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DK38" s="143"/>
      <c r="DL38" s="163"/>
      <c r="DM38" s="146"/>
      <c r="DN38" s="146"/>
    </row>
    <row r="39" spans="1:118" s="142" customFormat="1" ht="15" hidden="1" customHeight="1" x14ac:dyDescent="0.2">
      <c r="A39" s="139"/>
      <c r="B39" s="139"/>
      <c r="C39" s="139"/>
      <c r="D39" s="139"/>
      <c r="E39" s="139"/>
      <c r="F39" s="156" t="s">
        <v>91</v>
      </c>
      <c r="G39" s="147"/>
      <c r="H39" s="147"/>
      <c r="I39" s="147"/>
      <c r="J39" s="147">
        <f>J26</f>
        <v>0</v>
      </c>
      <c r="K39" s="147"/>
      <c r="L39" s="147"/>
      <c r="M39" s="147"/>
      <c r="N39" s="147">
        <f>N26</f>
        <v>0</v>
      </c>
      <c r="O39" s="147"/>
      <c r="P39" s="147"/>
      <c r="Q39" s="147"/>
      <c r="R39" s="147">
        <f>R26</f>
        <v>0</v>
      </c>
      <c r="S39" s="147"/>
      <c r="T39" s="147"/>
      <c r="U39" s="147"/>
      <c r="V39" s="147">
        <f>V26</f>
        <v>0</v>
      </c>
      <c r="W39" s="147"/>
      <c r="X39" s="147"/>
      <c r="Y39" s="147"/>
      <c r="Z39" s="147">
        <f>Z26</f>
        <v>0</v>
      </c>
      <c r="AA39" s="147"/>
      <c r="AB39" s="147"/>
      <c r="AC39" s="147"/>
      <c r="AD39" s="147">
        <f>AD26</f>
        <v>0</v>
      </c>
      <c r="AE39" s="147"/>
      <c r="AF39" s="147"/>
      <c r="AG39" s="147"/>
      <c r="AH39" s="147">
        <f>AH26</f>
        <v>0</v>
      </c>
      <c r="AI39" s="147"/>
      <c r="AJ39" s="147"/>
      <c r="AK39" s="147"/>
      <c r="AL39" s="147">
        <f>AL26</f>
        <v>0</v>
      </c>
      <c r="AM39" s="147"/>
      <c r="AN39" s="147"/>
      <c r="AO39" s="147"/>
      <c r="AP39" s="147">
        <f>AP26</f>
        <v>0</v>
      </c>
      <c r="AQ39" s="147"/>
      <c r="AR39" s="147"/>
      <c r="AS39" s="147"/>
      <c r="AT39" s="147">
        <f>AT26</f>
        <v>0</v>
      </c>
      <c r="AU39" s="147"/>
      <c r="AV39" s="147"/>
      <c r="AW39" s="147"/>
      <c r="AX39" s="147">
        <f>AX26</f>
        <v>0</v>
      </c>
      <c r="AY39" s="147"/>
      <c r="AZ39" s="147"/>
      <c r="BA39" s="147"/>
      <c r="BB39" s="147">
        <f>BB26</f>
        <v>0</v>
      </c>
      <c r="BH39" s="141"/>
      <c r="BI39" s="147"/>
      <c r="BJ39" s="147"/>
      <c r="BK39" s="147"/>
      <c r="BL39" s="147">
        <f>BL26</f>
        <v>0</v>
      </c>
      <c r="BN39" s="148"/>
      <c r="BO39" s="149">
        <f>IF(COUNTBLANK($BD$19:$BD$20)=0,1,0)</f>
        <v>1</v>
      </c>
      <c r="BP39" s="150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DK39" s="143"/>
      <c r="DL39" s="163"/>
      <c r="DM39" s="146"/>
      <c r="DN39" s="146"/>
    </row>
    <row r="40" spans="1:118" s="142" customFormat="1" ht="15" hidden="1" customHeight="1" x14ac:dyDescent="0.2">
      <c r="A40" s="139"/>
      <c r="B40" s="139"/>
      <c r="C40" s="139"/>
      <c r="D40" s="139"/>
      <c r="E40" s="139"/>
      <c r="F40" s="156" t="s">
        <v>92</v>
      </c>
      <c r="G40" s="147"/>
      <c r="H40" s="147"/>
      <c r="I40" s="147"/>
      <c r="J40" s="147">
        <f>I28</f>
        <v>10</v>
      </c>
      <c r="K40" s="147"/>
      <c r="L40" s="147"/>
      <c r="M40" s="147"/>
      <c r="N40" s="147">
        <f>M28</f>
        <v>6</v>
      </c>
      <c r="O40" s="147"/>
      <c r="P40" s="147"/>
      <c r="Q40" s="147"/>
      <c r="R40" s="147">
        <f>Q28</f>
        <v>1</v>
      </c>
      <c r="S40" s="147"/>
      <c r="T40" s="147"/>
      <c r="U40" s="147"/>
      <c r="V40" s="147">
        <f>U28</f>
        <v>7</v>
      </c>
      <c r="W40" s="147"/>
      <c r="X40" s="147"/>
      <c r="Y40" s="147"/>
      <c r="Z40" s="147">
        <f>Y28</f>
        <v>3</v>
      </c>
      <c r="AA40" s="147"/>
      <c r="AB40" s="147"/>
      <c r="AC40" s="147"/>
      <c r="AD40" s="147">
        <f>AC28</f>
        <v>11</v>
      </c>
      <c r="AE40" s="147"/>
      <c r="AF40" s="147"/>
      <c r="AG40" s="147"/>
      <c r="AH40" s="147" t="str">
        <f>AG28</f>
        <v/>
      </c>
      <c r="AI40" s="147"/>
      <c r="AJ40" s="147"/>
      <c r="AK40" s="147"/>
      <c r="AL40" s="147">
        <f>AK28</f>
        <v>4</v>
      </c>
      <c r="AM40" s="147"/>
      <c r="AN40" s="147"/>
      <c r="AO40" s="147"/>
      <c r="AP40" s="147">
        <f>AO28</f>
        <v>4</v>
      </c>
      <c r="AQ40" s="147"/>
      <c r="AR40" s="147"/>
      <c r="AS40" s="147"/>
      <c r="AT40" s="147">
        <f>AS28</f>
        <v>2</v>
      </c>
      <c r="AU40" s="147"/>
      <c r="AV40" s="147"/>
      <c r="AW40" s="147"/>
      <c r="AX40" s="147">
        <f>AW28</f>
        <v>9</v>
      </c>
      <c r="AY40" s="147"/>
      <c r="AZ40" s="147"/>
      <c r="BA40" s="147"/>
      <c r="BB40" s="147">
        <f>BA28</f>
        <v>8</v>
      </c>
      <c r="BH40" s="141"/>
      <c r="BI40" s="147"/>
      <c r="BJ40" s="147"/>
      <c r="BK40" s="147"/>
      <c r="BL40" s="147">
        <f>BK28</f>
        <v>3</v>
      </c>
      <c r="BN40" s="148"/>
      <c r="BO40" s="149">
        <f>IF(COUNTBLANK($BD$24)=0,1,0)</f>
        <v>0</v>
      </c>
      <c r="BP40" s="150"/>
      <c r="BQ40" s="151"/>
      <c r="BR40" s="151"/>
      <c r="BS40" s="151"/>
      <c r="BT40" s="151"/>
      <c r="BU40" s="151"/>
      <c r="BV40" s="151"/>
      <c r="BW40" s="151"/>
      <c r="BX40" s="151"/>
      <c r="BY40" s="151"/>
      <c r="BZ40" s="151"/>
      <c r="CA40" s="151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DK40" s="143"/>
      <c r="DL40" s="163"/>
      <c r="DM40" s="146"/>
      <c r="DN40" s="146"/>
    </row>
    <row r="41" spans="1:118" s="142" customFormat="1" ht="15" hidden="1" customHeight="1" x14ac:dyDescent="0.2">
      <c r="A41" s="139"/>
      <c r="B41" s="139"/>
      <c r="C41" s="139"/>
      <c r="D41" s="139"/>
      <c r="E41" s="139"/>
      <c r="F41" s="156" t="s">
        <v>93</v>
      </c>
      <c r="G41" s="147"/>
      <c r="H41" s="147"/>
      <c r="I41" s="147"/>
      <c r="J41" s="147">
        <f>J28</f>
        <v>235</v>
      </c>
      <c r="K41" s="147"/>
      <c r="L41" s="147"/>
      <c r="M41" s="147"/>
      <c r="N41" s="147">
        <f>N28</f>
        <v>181</v>
      </c>
      <c r="O41" s="147"/>
      <c r="P41" s="147"/>
      <c r="Q41" s="147"/>
      <c r="R41" s="147">
        <f>R28</f>
        <v>134</v>
      </c>
      <c r="S41" s="147"/>
      <c r="T41" s="147"/>
      <c r="U41" s="147"/>
      <c r="V41" s="147">
        <f>V28</f>
        <v>188</v>
      </c>
      <c r="W41" s="147"/>
      <c r="X41" s="147"/>
      <c r="Y41" s="147"/>
      <c r="Z41" s="147">
        <f>Z28</f>
        <v>166</v>
      </c>
      <c r="AA41" s="147"/>
      <c r="AB41" s="147"/>
      <c r="AC41" s="147"/>
      <c r="AD41" s="147">
        <f>AD28</f>
        <v>264</v>
      </c>
      <c r="AE41" s="147"/>
      <c r="AF41" s="147"/>
      <c r="AG41" s="147"/>
      <c r="AH41" s="147" t="str">
        <f>AH28</f>
        <v/>
      </c>
      <c r="AI41" s="147"/>
      <c r="AJ41" s="147"/>
      <c r="AK41" s="147"/>
      <c r="AL41" s="147">
        <f>AL28</f>
        <v>177</v>
      </c>
      <c r="AM41" s="147"/>
      <c r="AN41" s="147"/>
      <c r="AO41" s="147"/>
      <c r="AP41" s="147">
        <f>AP28</f>
        <v>177</v>
      </c>
      <c r="AQ41" s="147"/>
      <c r="AR41" s="147"/>
      <c r="AS41" s="147"/>
      <c r="AT41" s="147">
        <f>AT28</f>
        <v>152</v>
      </c>
      <c r="AU41" s="147"/>
      <c r="AV41" s="147"/>
      <c r="AW41" s="147"/>
      <c r="AX41" s="147">
        <f>AX28</f>
        <v>213</v>
      </c>
      <c r="AY41" s="147"/>
      <c r="AZ41" s="147"/>
      <c r="BA41" s="147"/>
      <c r="BB41" s="147">
        <f>BB28</f>
        <v>200</v>
      </c>
      <c r="BH41" s="141"/>
      <c r="BI41" s="147"/>
      <c r="BJ41" s="147"/>
      <c r="BK41" s="147"/>
      <c r="BL41" s="147">
        <f>BL28</f>
        <v>165</v>
      </c>
      <c r="BN41" s="148" t="s">
        <v>59</v>
      </c>
      <c r="BO41" s="149">
        <f>SUM(BO37:BO40)</f>
        <v>3</v>
      </c>
      <c r="BP41" s="150" t="s">
        <v>61</v>
      </c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DK41" s="143"/>
      <c r="DL41" s="163"/>
      <c r="DM41" s="146"/>
      <c r="DN41" s="146"/>
    </row>
    <row r="42" spans="1:118" s="142" customFormat="1" ht="15" hidden="1" customHeight="1" x14ac:dyDescent="0.2">
      <c r="A42" s="139"/>
      <c r="B42" s="139"/>
      <c r="C42" s="139"/>
      <c r="D42" s="139"/>
      <c r="E42" s="139"/>
      <c r="F42" s="156" t="s">
        <v>94</v>
      </c>
      <c r="G42" s="147">
        <f>IF(AND($BD5&lt;&gt;"H",$BD5&lt;&gt;"V"),"",IF(G5=$BD5,1,0))</f>
        <v>1</v>
      </c>
      <c r="H42" s="147"/>
      <c r="I42" s="147"/>
      <c r="J42" s="147"/>
      <c r="K42" s="147">
        <f>IF(AND($BD5&lt;&gt;"H",$BD5&lt;&gt;"V"),"",IF(K5=$BD5,1,0))</f>
        <v>1</v>
      </c>
      <c r="L42" s="147"/>
      <c r="M42" s="147"/>
      <c r="N42" s="147"/>
      <c r="O42" s="147">
        <f>IF(AND($BD5&lt;&gt;"H",$BD5&lt;&gt;"V"),"",IF(O5=$BD5,1,0))</f>
        <v>1</v>
      </c>
      <c r="P42" s="147"/>
      <c r="Q42" s="147"/>
      <c r="R42" s="147"/>
      <c r="S42" s="147">
        <f>IF(AND($BD5&lt;&gt;"H",$BD5&lt;&gt;"V"),"",IF(S5=$BD5,1,0))</f>
        <v>1</v>
      </c>
      <c r="T42" s="147"/>
      <c r="U42" s="147"/>
      <c r="V42" s="147"/>
      <c r="W42" s="147">
        <f>IF(AND($BD5&lt;&gt;"H",$BD5&lt;&gt;"V"),"",IF(W5=$BD5,1,0))</f>
        <v>1</v>
      </c>
      <c r="X42" s="147"/>
      <c r="Y42" s="147"/>
      <c r="Z42" s="147"/>
      <c r="AA42" s="147">
        <f>IF(AND($BD5&lt;&gt;"H",$BD5&lt;&gt;"V"),"",IF(AA5=$BD5,1,0))</f>
        <v>1</v>
      </c>
      <c r="AB42" s="147"/>
      <c r="AC42" s="147"/>
      <c r="AD42" s="147"/>
      <c r="AE42" s="147">
        <f>IF(AND($BD5&lt;&gt;"H",$BD5&lt;&gt;"V"),"",IF(AE5=$BD5,1,0))</f>
        <v>1</v>
      </c>
      <c r="AF42" s="147"/>
      <c r="AG42" s="147"/>
      <c r="AH42" s="147"/>
      <c r="AI42" s="147">
        <f>IF(AND($BD5&lt;&gt;"H",$BD5&lt;&gt;"V"),"",IF(AI5=$BD5,1,0))</f>
        <v>1</v>
      </c>
      <c r="AJ42" s="147"/>
      <c r="AK42" s="147"/>
      <c r="AL42" s="147"/>
      <c r="AM42" s="147">
        <f>IF(AND($BD5&lt;&gt;"H",$BD5&lt;&gt;"V"),"",IF(AM5=$BD5,1,0))</f>
        <v>1</v>
      </c>
      <c r="AN42" s="147"/>
      <c r="AO42" s="147"/>
      <c r="AP42" s="147"/>
      <c r="AQ42" s="147">
        <f>IF(AND($BD5&lt;&gt;"H",$BD5&lt;&gt;"V"),"",IF(AQ5=$BD5,1,0))</f>
        <v>1</v>
      </c>
      <c r="AR42" s="147"/>
      <c r="AS42" s="147"/>
      <c r="AT42" s="147"/>
      <c r="AU42" s="147">
        <f>IF(AND($BD5&lt;&gt;"H",$BD5&lt;&gt;"V"),"",IF(AU5=$BD5,1,0))</f>
        <v>1</v>
      </c>
      <c r="AV42" s="147"/>
      <c r="AW42" s="147"/>
      <c r="AX42" s="147"/>
      <c r="AY42" s="147">
        <f>IF(AND($BD5&lt;&gt;"H",$BD5&lt;&gt;"V"),"",IF(AY5=$BD5,1,0))</f>
        <v>1</v>
      </c>
      <c r="AZ42" s="147"/>
      <c r="BA42" s="147"/>
      <c r="BB42" s="147"/>
      <c r="BH42" s="141"/>
      <c r="BI42" s="147">
        <f>IF(AND($BD5&lt;&gt;"H",$BD5&lt;&gt;"V"),"",IF(BI5=$BD5,1,0))</f>
        <v>1</v>
      </c>
      <c r="BJ42" s="147"/>
      <c r="BK42" s="147"/>
      <c r="BL42" s="147"/>
      <c r="BN42" s="148"/>
      <c r="BO42" s="149"/>
      <c r="BP42" s="150"/>
      <c r="BQ42" s="151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DK42" s="143"/>
      <c r="DL42" s="163"/>
      <c r="DM42" s="146"/>
      <c r="DN42" s="146"/>
    </row>
    <row r="43" spans="1:118" s="142" customFormat="1" ht="15" hidden="1" customHeight="1" x14ac:dyDescent="0.2">
      <c r="A43" s="139"/>
      <c r="B43" s="139"/>
      <c r="C43" s="139"/>
      <c r="D43" s="139"/>
      <c r="E43" s="139"/>
      <c r="F43" s="156" t="s">
        <v>95</v>
      </c>
      <c r="G43" s="147">
        <f>IF(AND($BD6&lt;&gt;"H",$BD6&lt;&gt;"V"),"",IF(G6=$BD6,1,0))</f>
        <v>1</v>
      </c>
      <c r="H43" s="147"/>
      <c r="I43" s="147"/>
      <c r="J43" s="147"/>
      <c r="K43" s="147">
        <f>IF(AND($BD6&lt;&gt;"H",$BD6&lt;&gt;"V"),"",IF(K6=$BD6,1,0))</f>
        <v>1</v>
      </c>
      <c r="L43" s="147"/>
      <c r="M43" s="147"/>
      <c r="N43" s="147"/>
      <c r="O43" s="147">
        <f>IF(AND($BD6&lt;&gt;"H",$BD6&lt;&gt;"V"),"",IF(O6=$BD6,1,0))</f>
        <v>1</v>
      </c>
      <c r="P43" s="147"/>
      <c r="Q43" s="147"/>
      <c r="R43" s="147"/>
      <c r="S43" s="147">
        <f>IF(AND($BD6&lt;&gt;"H",$BD6&lt;&gt;"V"),"",IF(S6=$BD6,1,0))</f>
        <v>1</v>
      </c>
      <c r="T43" s="147"/>
      <c r="U43" s="147"/>
      <c r="V43" s="147"/>
      <c r="W43" s="147">
        <f>IF(AND($BD6&lt;&gt;"H",$BD6&lt;&gt;"V"),"",IF(W6=$BD6,1,0))</f>
        <v>1</v>
      </c>
      <c r="X43" s="147"/>
      <c r="Y43" s="147"/>
      <c r="Z43" s="147"/>
      <c r="AA43" s="147">
        <f>IF(AND($BD6&lt;&gt;"H",$BD6&lt;&gt;"V"),"",IF(AA6=$BD6,1,0))</f>
        <v>0</v>
      </c>
      <c r="AB43" s="147"/>
      <c r="AC43" s="147"/>
      <c r="AD43" s="147"/>
      <c r="AE43" s="147">
        <f>IF(AND($BD6&lt;&gt;"H",$BD6&lt;&gt;"V"),"",IF(AE6=$BD6,1,0))</f>
        <v>1</v>
      </c>
      <c r="AF43" s="147"/>
      <c r="AG43" s="147"/>
      <c r="AH43" s="147"/>
      <c r="AI43" s="147">
        <f>IF(AND($BD6&lt;&gt;"H",$BD6&lt;&gt;"V"),"",IF(AI6=$BD6,1,0))</f>
        <v>0</v>
      </c>
      <c r="AJ43" s="147"/>
      <c r="AK43" s="147"/>
      <c r="AL43" s="147"/>
      <c r="AM43" s="147">
        <f>IF(AND($BD6&lt;&gt;"H",$BD6&lt;&gt;"V"),"",IF(AM6=$BD6,1,0))</f>
        <v>0</v>
      </c>
      <c r="AN43" s="147"/>
      <c r="AO43" s="147"/>
      <c r="AP43" s="147"/>
      <c r="AQ43" s="147">
        <f>IF(AND($BD6&lt;&gt;"H",$BD6&lt;&gt;"V"),"",IF(AQ6=$BD6,1,0))</f>
        <v>1</v>
      </c>
      <c r="AR43" s="147"/>
      <c r="AS43" s="147"/>
      <c r="AT43" s="147"/>
      <c r="AU43" s="147">
        <f>IF(AND($BD6&lt;&gt;"H",$BD6&lt;&gt;"V"),"",IF(AU6=$BD6,1,0))</f>
        <v>1</v>
      </c>
      <c r="AV43" s="147"/>
      <c r="AW43" s="147"/>
      <c r="AX43" s="147"/>
      <c r="AY43" s="147">
        <f>IF(AND($BD6&lt;&gt;"H",$BD6&lt;&gt;"V"),"",IF(AY6=$BD6,1,0))</f>
        <v>1</v>
      </c>
      <c r="AZ43" s="147"/>
      <c r="BA43" s="147"/>
      <c r="BB43" s="147"/>
      <c r="BH43" s="141"/>
      <c r="BI43" s="147">
        <f>IF(AND($BD6&lt;&gt;"H",$BD6&lt;&gt;"V"),"",IF(BI6=$BD6,1,0))</f>
        <v>1</v>
      </c>
      <c r="BJ43" s="147"/>
      <c r="BK43" s="147"/>
      <c r="BL43" s="147"/>
      <c r="BN43" s="148"/>
      <c r="BO43" s="149"/>
      <c r="BP43" s="150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DK43" s="143"/>
      <c r="DL43" s="163"/>
      <c r="DM43" s="146"/>
      <c r="DN43" s="146"/>
    </row>
    <row r="44" spans="1:118" s="142" customFormat="1" ht="15" hidden="1" customHeight="1" x14ac:dyDescent="0.2">
      <c r="A44" s="139"/>
      <c r="B44" s="139"/>
      <c r="C44" s="139"/>
      <c r="D44" s="139"/>
      <c r="E44" s="139"/>
      <c r="F44" s="156" t="s">
        <v>96</v>
      </c>
      <c r="G44" s="147">
        <f>IF(AND($BD7&lt;&gt;"H",$BD7&lt;&gt;"V"),"",IF(G7=$BD7,1,0))</f>
        <v>1</v>
      </c>
      <c r="H44" s="147"/>
      <c r="I44" s="147"/>
      <c r="J44" s="147"/>
      <c r="K44" s="147">
        <f>IF(AND($BD7&lt;&gt;"H",$BD7&lt;&gt;"V"),"",IF(K7=$BD7,1,0))</f>
        <v>0</v>
      </c>
      <c r="L44" s="147"/>
      <c r="M44" s="147"/>
      <c r="N44" s="147"/>
      <c r="O44" s="147">
        <f>IF(AND($BD7&lt;&gt;"H",$BD7&lt;&gt;"V"),"",IF(O7=$BD7,1,0))</f>
        <v>1</v>
      </c>
      <c r="P44" s="147"/>
      <c r="Q44" s="147"/>
      <c r="R44" s="147"/>
      <c r="S44" s="147">
        <f>IF(AND($BD7&lt;&gt;"H",$BD7&lt;&gt;"V"),"",IF(S7=$BD7,1,0))</f>
        <v>1</v>
      </c>
      <c r="T44" s="147"/>
      <c r="U44" s="147"/>
      <c r="V44" s="147"/>
      <c r="W44" s="147">
        <f>IF(AND($BD7&lt;&gt;"H",$BD7&lt;&gt;"V"),"",IF(W7=$BD7,1,0))</f>
        <v>1</v>
      </c>
      <c r="X44" s="147"/>
      <c r="Y44" s="147"/>
      <c r="Z44" s="147"/>
      <c r="AA44" s="147">
        <f>IF(AND($BD7&lt;&gt;"H",$BD7&lt;&gt;"V"),"",IF(AA7=$BD7,1,0))</f>
        <v>1</v>
      </c>
      <c r="AB44" s="147"/>
      <c r="AC44" s="147"/>
      <c r="AD44" s="147"/>
      <c r="AE44" s="147">
        <f>IF(AND($BD7&lt;&gt;"H",$BD7&lt;&gt;"V"),"",IF(AE7=$BD7,1,0))</f>
        <v>1</v>
      </c>
      <c r="AF44" s="147"/>
      <c r="AG44" s="147"/>
      <c r="AH44" s="147"/>
      <c r="AI44" s="147">
        <f>IF(AND($BD7&lt;&gt;"H",$BD7&lt;&gt;"V"),"",IF(AI7=$BD7,1,0))</f>
        <v>0</v>
      </c>
      <c r="AJ44" s="147"/>
      <c r="AK44" s="147"/>
      <c r="AL44" s="147"/>
      <c r="AM44" s="147">
        <f>IF(AND($BD7&lt;&gt;"H",$BD7&lt;&gt;"V"),"",IF(AM7=$BD7,1,0))</f>
        <v>0</v>
      </c>
      <c r="AN44" s="147"/>
      <c r="AO44" s="147"/>
      <c r="AP44" s="147"/>
      <c r="AQ44" s="147">
        <f>IF(AND($BD7&lt;&gt;"H",$BD7&lt;&gt;"V"),"",IF(AQ7=$BD7,1,0))</f>
        <v>1</v>
      </c>
      <c r="AR44" s="147"/>
      <c r="AS44" s="147"/>
      <c r="AT44" s="147"/>
      <c r="AU44" s="147">
        <f>IF(AND($BD7&lt;&gt;"H",$BD7&lt;&gt;"V"),"",IF(AU7=$BD7,1,0))</f>
        <v>1</v>
      </c>
      <c r="AV44" s="147"/>
      <c r="AW44" s="147"/>
      <c r="AX44" s="147"/>
      <c r="AY44" s="147">
        <f>IF(AND($BD7&lt;&gt;"H",$BD7&lt;&gt;"V"),"",IF(AY7=$BD7,1,0))</f>
        <v>0</v>
      </c>
      <c r="AZ44" s="147"/>
      <c r="BA44" s="147"/>
      <c r="BB44" s="147"/>
      <c r="BH44" s="141"/>
      <c r="BI44" s="147">
        <f>IF(AND($BD7&lt;&gt;"H",$BD7&lt;&gt;"V"),"",IF(BI7=$BD7,1,0))</f>
        <v>1</v>
      </c>
      <c r="BJ44" s="147"/>
      <c r="BK44" s="147"/>
      <c r="BL44" s="147"/>
      <c r="BN44" s="148"/>
      <c r="BO44" s="149"/>
      <c r="BP44" s="150"/>
      <c r="BQ44" s="151"/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DK44" s="143"/>
      <c r="DL44" s="163"/>
      <c r="DM44" s="146"/>
      <c r="DN44" s="146"/>
    </row>
    <row r="45" spans="1:118" s="142" customFormat="1" ht="15" hidden="1" customHeight="1" x14ac:dyDescent="0.2">
      <c r="A45" s="139"/>
      <c r="B45" s="139"/>
      <c r="C45" s="139"/>
      <c r="D45" s="139"/>
      <c r="E45" s="139"/>
      <c r="F45" s="156" t="s">
        <v>97</v>
      </c>
      <c r="G45" s="147">
        <f>IF(AND($BD8&lt;&gt;"H",$BD8&lt;&gt;"V"),"",IF(G8=$BD8,1,0))</f>
        <v>1</v>
      </c>
      <c r="H45" s="147"/>
      <c r="I45" s="147"/>
      <c r="J45" s="147"/>
      <c r="K45" s="147">
        <f>IF(AND($BD8&lt;&gt;"H",$BD8&lt;&gt;"V"),"",IF(K8=$BD8,1,0))</f>
        <v>0</v>
      </c>
      <c r="L45" s="147"/>
      <c r="M45" s="147"/>
      <c r="N45" s="147"/>
      <c r="O45" s="147">
        <f>IF(AND($BD8&lt;&gt;"H",$BD8&lt;&gt;"V"),"",IF(O8=$BD8,1,0))</f>
        <v>1</v>
      </c>
      <c r="P45" s="147"/>
      <c r="Q45" s="147"/>
      <c r="R45" s="147"/>
      <c r="S45" s="147">
        <f>IF(AND($BD8&lt;&gt;"H",$BD8&lt;&gt;"V"),"",IF(S8=$BD8,1,0))</f>
        <v>1</v>
      </c>
      <c r="T45" s="147"/>
      <c r="U45" s="147"/>
      <c r="V45" s="147"/>
      <c r="W45" s="147">
        <f>IF(AND($BD8&lt;&gt;"H",$BD8&lt;&gt;"V"),"",IF(W8=$BD8,1,0))</f>
        <v>0</v>
      </c>
      <c r="X45" s="147"/>
      <c r="Y45" s="147"/>
      <c r="Z45" s="147"/>
      <c r="AA45" s="147">
        <f>IF(AND($BD8&lt;&gt;"H",$BD8&lt;&gt;"V"),"",IF(AA8=$BD8,1,0))</f>
        <v>0</v>
      </c>
      <c r="AB45" s="147"/>
      <c r="AC45" s="147"/>
      <c r="AD45" s="147"/>
      <c r="AE45" s="147">
        <f>IF(AND($BD8&lt;&gt;"H",$BD8&lt;&gt;"V"),"",IF(AE8=$BD8,1,0))</f>
        <v>0</v>
      </c>
      <c r="AF45" s="147"/>
      <c r="AG45" s="147"/>
      <c r="AH45" s="147"/>
      <c r="AI45" s="147">
        <f>IF(AND($BD8&lt;&gt;"H",$BD8&lt;&gt;"V"),"",IF(AI8=$BD8,1,0))</f>
        <v>1</v>
      </c>
      <c r="AJ45" s="147"/>
      <c r="AK45" s="147"/>
      <c r="AL45" s="147"/>
      <c r="AM45" s="147">
        <f>IF(AND($BD8&lt;&gt;"H",$BD8&lt;&gt;"V"),"",IF(AM8=$BD8,1,0))</f>
        <v>0</v>
      </c>
      <c r="AN45" s="147"/>
      <c r="AO45" s="147"/>
      <c r="AP45" s="147"/>
      <c r="AQ45" s="147">
        <f>IF(AND($BD8&lt;&gt;"H",$BD8&lt;&gt;"V"),"",IF(AQ8=$BD8,1,0))</f>
        <v>0</v>
      </c>
      <c r="AR45" s="147"/>
      <c r="AS45" s="147"/>
      <c r="AT45" s="147"/>
      <c r="AU45" s="147">
        <f>IF(AND($BD8&lt;&gt;"H",$BD8&lt;&gt;"V"),"",IF(AU8=$BD8,1,0))</f>
        <v>0</v>
      </c>
      <c r="AV45" s="147"/>
      <c r="AW45" s="147"/>
      <c r="AX45" s="147"/>
      <c r="AY45" s="147">
        <f>IF(AND($BD8&lt;&gt;"H",$BD8&lt;&gt;"V"),"",IF(AY8=$BD8,1,0))</f>
        <v>1</v>
      </c>
      <c r="AZ45" s="147"/>
      <c r="BA45" s="147"/>
      <c r="BB45" s="147"/>
      <c r="BH45" s="141"/>
      <c r="BI45" s="147">
        <f>IF(AND($BD8&lt;&gt;"H",$BD8&lt;&gt;"V"),"",IF(BI8=$BD8,1,0))</f>
        <v>0</v>
      </c>
      <c r="BJ45" s="147"/>
      <c r="BK45" s="147"/>
      <c r="BL45" s="147"/>
      <c r="BN45" s="148"/>
      <c r="BO45" s="149"/>
      <c r="BP45" s="150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DK45" s="143"/>
      <c r="DL45" s="163"/>
      <c r="DM45" s="146"/>
      <c r="DN45" s="146"/>
    </row>
    <row r="46" spans="1:118" s="142" customFormat="1" ht="15" hidden="1" customHeight="1" x14ac:dyDescent="0.2">
      <c r="A46" s="139"/>
      <c r="B46" s="139"/>
      <c r="C46" s="139"/>
      <c r="D46" s="139"/>
      <c r="E46" s="139"/>
      <c r="F46" s="156" t="s">
        <v>98</v>
      </c>
      <c r="G46" s="147">
        <f>IF(AND($BD12&lt;&gt;"H",$BD12&lt;&gt;"V"),"",IF(G12=$BD12,1,0))</f>
        <v>0</v>
      </c>
      <c r="H46" s="147"/>
      <c r="I46" s="147"/>
      <c r="J46" s="147"/>
      <c r="K46" s="147">
        <f>IF(AND($BD12&lt;&gt;"H",$BD12&lt;&gt;"V"),"",IF(K12=$BD12,1,0))</f>
        <v>1</v>
      </c>
      <c r="L46" s="147"/>
      <c r="M46" s="147"/>
      <c r="N46" s="147"/>
      <c r="O46" s="147">
        <f>IF(AND($BD12&lt;&gt;"H",$BD12&lt;&gt;"V"),"",IF(O12=$BD12,1,0))</f>
        <v>1</v>
      </c>
      <c r="P46" s="147"/>
      <c r="Q46" s="147"/>
      <c r="R46" s="147"/>
      <c r="S46" s="147">
        <f>IF(AND($BD12&lt;&gt;"H",$BD12&lt;&gt;"V"),"",IF(S12=$BD12,1,0))</f>
        <v>1</v>
      </c>
      <c r="T46" s="147"/>
      <c r="U46" s="147"/>
      <c r="V46" s="147"/>
      <c r="W46" s="147">
        <f>IF(AND($BD12&lt;&gt;"H",$BD12&lt;&gt;"V"),"",IF(W12=$BD12,1,0))</f>
        <v>1</v>
      </c>
      <c r="X46" s="147"/>
      <c r="Y46" s="147"/>
      <c r="Z46" s="147"/>
      <c r="AA46" s="147">
        <f>IF(AND($BD12&lt;&gt;"H",$BD12&lt;&gt;"V"),"",IF(AA12=$BD12,1,0))</f>
        <v>0</v>
      </c>
      <c r="AB46" s="147"/>
      <c r="AC46" s="147"/>
      <c r="AD46" s="147"/>
      <c r="AE46" s="147">
        <f>IF(AND($BD12&lt;&gt;"H",$BD12&lt;&gt;"V"),"",IF(AE12=$BD12,1,0))</f>
        <v>0</v>
      </c>
      <c r="AF46" s="147"/>
      <c r="AG46" s="147"/>
      <c r="AH46" s="147"/>
      <c r="AI46" s="147">
        <f>IF(AND($BD12&lt;&gt;"H",$BD12&lt;&gt;"V"),"",IF(AI12=$BD12,1,0))</f>
        <v>1</v>
      </c>
      <c r="AJ46" s="147"/>
      <c r="AK46" s="147"/>
      <c r="AL46" s="147"/>
      <c r="AM46" s="147">
        <f>IF(AND($BD12&lt;&gt;"H",$BD12&lt;&gt;"V"),"",IF(AM12=$BD12,1,0))</f>
        <v>0</v>
      </c>
      <c r="AN46" s="147"/>
      <c r="AO46" s="147"/>
      <c r="AP46" s="147"/>
      <c r="AQ46" s="147">
        <f>IF(AND($BD12&lt;&gt;"H",$BD12&lt;&gt;"V"),"",IF(AQ12=$BD12,1,0))</f>
        <v>1</v>
      </c>
      <c r="AR46" s="147"/>
      <c r="AS46" s="147"/>
      <c r="AT46" s="147"/>
      <c r="AU46" s="147">
        <f>IF(AND($BD12&lt;&gt;"H",$BD12&lt;&gt;"V"),"",IF(AU12=$BD12,1,0))</f>
        <v>0</v>
      </c>
      <c r="AV46" s="147"/>
      <c r="AW46" s="147"/>
      <c r="AX46" s="147"/>
      <c r="AY46" s="147">
        <f>IF(AND($BD12&lt;&gt;"H",$BD12&lt;&gt;"V"),"",IF(AY12=$BD12,1,0))</f>
        <v>1</v>
      </c>
      <c r="AZ46" s="147"/>
      <c r="BA46" s="147"/>
      <c r="BB46" s="147"/>
      <c r="BH46" s="141"/>
      <c r="BI46" s="147">
        <f>IF(AND($BD12&lt;&gt;"H",$BD12&lt;&gt;"V"),"",IF(BI12=$BD12,1,0))</f>
        <v>1</v>
      </c>
      <c r="BJ46" s="147"/>
      <c r="BK46" s="147"/>
      <c r="BL46" s="147"/>
      <c r="BN46" s="148"/>
      <c r="BO46" s="149"/>
      <c r="BP46" s="150"/>
      <c r="BQ46" s="151"/>
      <c r="BR46" s="151"/>
      <c r="BS46" s="151"/>
      <c r="BT46" s="151"/>
      <c r="BU46" s="151"/>
      <c r="BV46" s="151"/>
      <c r="BW46" s="151"/>
      <c r="BX46" s="151"/>
      <c r="BY46" s="151"/>
      <c r="BZ46" s="151"/>
      <c r="CA46" s="151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DK46" s="143"/>
      <c r="DL46" s="163"/>
      <c r="DM46" s="146"/>
      <c r="DN46" s="146"/>
    </row>
    <row r="47" spans="1:118" s="142" customFormat="1" ht="15" hidden="1" customHeight="1" x14ac:dyDescent="0.2">
      <c r="A47" s="139"/>
      <c r="B47" s="139"/>
      <c r="C47" s="139"/>
      <c r="D47" s="139"/>
      <c r="E47" s="139"/>
      <c r="F47" s="156" t="s">
        <v>99</v>
      </c>
      <c r="G47" s="147">
        <f>IF(AND($BD13&lt;&gt;"H",$BD13&lt;&gt;"V"),"",IF(G13=$BD13,1,0))</f>
        <v>1</v>
      </c>
      <c r="H47" s="147"/>
      <c r="I47" s="147"/>
      <c r="J47" s="147"/>
      <c r="K47" s="147">
        <f>IF(AND($BD13&lt;&gt;"H",$BD13&lt;&gt;"V"),"",IF(K13=$BD13,1,0))</f>
        <v>1</v>
      </c>
      <c r="L47" s="147"/>
      <c r="M47" s="147"/>
      <c r="N47" s="147"/>
      <c r="O47" s="147">
        <f>IF(AND($BD13&lt;&gt;"H",$BD13&lt;&gt;"V"),"",IF(O13=$BD13,1,0))</f>
        <v>1</v>
      </c>
      <c r="P47" s="147"/>
      <c r="Q47" s="147"/>
      <c r="R47" s="147"/>
      <c r="S47" s="147">
        <f>IF(AND($BD13&lt;&gt;"H",$BD13&lt;&gt;"V"),"",IF(S13=$BD13,1,0))</f>
        <v>0</v>
      </c>
      <c r="T47" s="147"/>
      <c r="U47" s="147"/>
      <c r="V47" s="147"/>
      <c r="W47" s="147">
        <f>IF(AND($BD13&lt;&gt;"H",$BD13&lt;&gt;"V"),"",IF(W13=$BD13,1,0))</f>
        <v>1</v>
      </c>
      <c r="X47" s="147"/>
      <c r="Y47" s="147"/>
      <c r="Z47" s="147"/>
      <c r="AA47" s="147">
        <f>IF(AND($BD13&lt;&gt;"H",$BD13&lt;&gt;"V"),"",IF(AA13=$BD13,1,0))</f>
        <v>1</v>
      </c>
      <c r="AB47" s="147"/>
      <c r="AC47" s="147"/>
      <c r="AD47" s="147"/>
      <c r="AE47" s="147">
        <f>IF(AND($BD13&lt;&gt;"H",$BD13&lt;&gt;"V"),"",IF(AE13=$BD13,1,0))</f>
        <v>0</v>
      </c>
      <c r="AF47" s="147"/>
      <c r="AG47" s="147"/>
      <c r="AH47" s="147"/>
      <c r="AI47" s="147">
        <f>IF(AND($BD13&lt;&gt;"H",$BD13&lt;&gt;"V"),"",IF(AI13=$BD13,1,0))</f>
        <v>1</v>
      </c>
      <c r="AJ47" s="147"/>
      <c r="AK47" s="147"/>
      <c r="AL47" s="147"/>
      <c r="AM47" s="147">
        <f>IF(AND($BD13&lt;&gt;"H",$BD13&lt;&gt;"V"),"",IF(AM13=$BD13,1,0))</f>
        <v>1</v>
      </c>
      <c r="AN47" s="147"/>
      <c r="AO47" s="147"/>
      <c r="AP47" s="147"/>
      <c r="AQ47" s="147">
        <f>IF(AND($BD13&lt;&gt;"H",$BD13&lt;&gt;"V"),"",IF(AQ13=$BD13,1,0))</f>
        <v>1</v>
      </c>
      <c r="AR47" s="147"/>
      <c r="AS47" s="147"/>
      <c r="AT47" s="147"/>
      <c r="AU47" s="147">
        <f>IF(AND($BD13&lt;&gt;"H",$BD13&lt;&gt;"V"),"",IF(AU13=$BD13,1,0))</f>
        <v>1</v>
      </c>
      <c r="AV47" s="147"/>
      <c r="AW47" s="147"/>
      <c r="AX47" s="147"/>
      <c r="AY47" s="147">
        <f>IF(AND($BD13&lt;&gt;"H",$BD13&lt;&gt;"V"),"",IF(AY13=$BD13,1,0))</f>
        <v>1</v>
      </c>
      <c r="AZ47" s="147"/>
      <c r="BA47" s="147"/>
      <c r="BB47" s="147"/>
      <c r="BH47" s="141"/>
      <c r="BI47" s="147">
        <f>IF(AND($BD13&lt;&gt;"H",$BD13&lt;&gt;"V"),"",IF(BI13=$BD13,1,0))</f>
        <v>1</v>
      </c>
      <c r="BJ47" s="147"/>
      <c r="BK47" s="147"/>
      <c r="BL47" s="147"/>
      <c r="BN47" s="148"/>
      <c r="BO47" s="149"/>
      <c r="BP47" s="150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DK47" s="143"/>
      <c r="DL47" s="163"/>
      <c r="DM47" s="146"/>
      <c r="DN47" s="146"/>
    </row>
    <row r="48" spans="1:118" s="142" customFormat="1" ht="15" hidden="1" customHeight="1" x14ac:dyDescent="0.2">
      <c r="A48" s="139"/>
      <c r="B48" s="139"/>
      <c r="C48" s="139"/>
      <c r="D48" s="139"/>
      <c r="E48" s="139"/>
      <c r="F48" s="156" t="s">
        <v>100</v>
      </c>
      <c r="G48" s="147">
        <f>IF(AND($BD14&lt;&gt;"H",$BD14&lt;&gt;"V"),"",IF(G14=$BD14,1,0))</f>
        <v>0</v>
      </c>
      <c r="H48" s="147"/>
      <c r="I48" s="147"/>
      <c r="J48" s="147"/>
      <c r="K48" s="147">
        <f>IF(AND($BD14&lt;&gt;"H",$BD14&lt;&gt;"V"),"",IF(K14=$BD14,1,0))</f>
        <v>1</v>
      </c>
      <c r="L48" s="147"/>
      <c r="M48" s="147"/>
      <c r="N48" s="147"/>
      <c r="O48" s="147">
        <f>IF(AND($BD14&lt;&gt;"H",$BD14&lt;&gt;"V"),"",IF(O14=$BD14,1,0))</f>
        <v>1</v>
      </c>
      <c r="P48" s="147"/>
      <c r="Q48" s="147"/>
      <c r="R48" s="147"/>
      <c r="S48" s="147">
        <f>IF(AND($BD14&lt;&gt;"H",$BD14&lt;&gt;"V"),"",IF(S14=$BD14,1,0))</f>
        <v>0</v>
      </c>
      <c r="T48" s="147"/>
      <c r="U48" s="147"/>
      <c r="V48" s="147"/>
      <c r="W48" s="147">
        <f>IF(AND($BD14&lt;&gt;"H",$BD14&lt;&gt;"V"),"",IF(W14=$BD14,1,0))</f>
        <v>1</v>
      </c>
      <c r="X48" s="147"/>
      <c r="Y48" s="147"/>
      <c r="Z48" s="147"/>
      <c r="AA48" s="147">
        <f>IF(AND($BD14&lt;&gt;"H",$BD14&lt;&gt;"V"),"",IF(AA14=$BD14,1,0))</f>
        <v>1</v>
      </c>
      <c r="AB48" s="147"/>
      <c r="AC48" s="147"/>
      <c r="AD48" s="147"/>
      <c r="AE48" s="147">
        <f>IF(AND($BD14&lt;&gt;"H",$BD14&lt;&gt;"V"),"",IF(AE14=$BD14,1,0))</f>
        <v>0</v>
      </c>
      <c r="AF48" s="147"/>
      <c r="AG48" s="147"/>
      <c r="AH48" s="147"/>
      <c r="AI48" s="147">
        <f>IF(AND($BD14&lt;&gt;"H",$BD14&lt;&gt;"V"),"",IF(AI14=$BD14,1,0))</f>
        <v>1</v>
      </c>
      <c r="AJ48" s="147"/>
      <c r="AK48" s="147"/>
      <c r="AL48" s="147"/>
      <c r="AM48" s="147">
        <f>IF(AND($BD14&lt;&gt;"H",$BD14&lt;&gt;"V"),"",IF(AM14=$BD14,1,0))</f>
        <v>1</v>
      </c>
      <c r="AN48" s="147"/>
      <c r="AO48" s="147"/>
      <c r="AP48" s="147"/>
      <c r="AQ48" s="147">
        <f>IF(AND($BD14&lt;&gt;"H",$BD14&lt;&gt;"V"),"",IF(AQ14=$BD14,1,0))</f>
        <v>1</v>
      </c>
      <c r="AR48" s="147"/>
      <c r="AS48" s="147"/>
      <c r="AT48" s="147"/>
      <c r="AU48" s="147">
        <f>IF(AND($BD14&lt;&gt;"H",$BD14&lt;&gt;"V"),"",IF(AU14=$BD14,1,0))</f>
        <v>1</v>
      </c>
      <c r="AV48" s="147"/>
      <c r="AW48" s="147"/>
      <c r="AX48" s="147"/>
      <c r="AY48" s="147">
        <f>IF(AND($BD14&lt;&gt;"H",$BD14&lt;&gt;"V"),"",IF(AY14=$BD14,1,0))</f>
        <v>0</v>
      </c>
      <c r="AZ48" s="147"/>
      <c r="BA48" s="147"/>
      <c r="BB48" s="147"/>
      <c r="BH48" s="141"/>
      <c r="BI48" s="147">
        <f>IF(AND($BD14&lt;&gt;"H",$BD14&lt;&gt;"V"),"",IF(BI14=$BD14,1,0))</f>
        <v>1</v>
      </c>
      <c r="BJ48" s="147"/>
      <c r="BK48" s="147"/>
      <c r="BL48" s="147"/>
      <c r="BN48" s="148"/>
      <c r="BO48" s="149"/>
      <c r="BP48" s="150"/>
      <c r="BQ48" s="151"/>
      <c r="BR48" s="151"/>
      <c r="BS48" s="151"/>
      <c r="BT48" s="151"/>
      <c r="BU48" s="151"/>
      <c r="BV48" s="151"/>
      <c r="BW48" s="151"/>
      <c r="BX48" s="151"/>
      <c r="BY48" s="151"/>
      <c r="BZ48" s="151"/>
      <c r="CA48" s="151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DK48" s="143"/>
      <c r="DL48" s="163"/>
      <c r="DM48" s="146"/>
      <c r="DN48" s="146"/>
    </row>
    <row r="49" spans="1:118" s="142" customFormat="1" ht="15" hidden="1" customHeight="1" x14ac:dyDescent="0.2">
      <c r="A49" s="139"/>
      <c r="B49" s="139"/>
      <c r="C49" s="139"/>
      <c r="D49" s="139"/>
      <c r="E49" s="139"/>
      <c r="F49" s="156" t="s">
        <v>101</v>
      </c>
      <c r="G49" s="147">
        <f>IF(AND($BD15&lt;&gt;"H",$BD15&lt;&gt;"V"),"",IF(G15=$BD15,1,0))</f>
        <v>1</v>
      </c>
      <c r="H49" s="147"/>
      <c r="I49" s="147"/>
      <c r="J49" s="147"/>
      <c r="K49" s="147">
        <f>IF(AND($BD15&lt;&gt;"H",$BD15&lt;&gt;"V"),"",IF(K15=$BD15,1,0))</f>
        <v>1</v>
      </c>
      <c r="L49" s="147"/>
      <c r="M49" s="147"/>
      <c r="N49" s="147"/>
      <c r="O49" s="147">
        <f>IF(AND($BD15&lt;&gt;"H",$BD15&lt;&gt;"V"),"",IF(O15=$BD15,1,0))</f>
        <v>1</v>
      </c>
      <c r="P49" s="147"/>
      <c r="Q49" s="147"/>
      <c r="R49" s="147"/>
      <c r="S49" s="147">
        <f>IF(AND($BD15&lt;&gt;"H",$BD15&lt;&gt;"V"),"",IF(S15=$BD15,1,0))</f>
        <v>1</v>
      </c>
      <c r="T49" s="147"/>
      <c r="U49" s="147"/>
      <c r="V49" s="147"/>
      <c r="W49" s="147">
        <f>IF(AND($BD15&lt;&gt;"H",$BD15&lt;&gt;"V"),"",IF(W15=$BD15,1,0))</f>
        <v>1</v>
      </c>
      <c r="X49" s="147"/>
      <c r="Y49" s="147"/>
      <c r="Z49" s="147"/>
      <c r="AA49" s="147">
        <f>IF(AND($BD15&lt;&gt;"H",$BD15&lt;&gt;"V"),"",IF(AA15=$BD15,1,0))</f>
        <v>1</v>
      </c>
      <c r="AB49" s="147"/>
      <c r="AC49" s="147"/>
      <c r="AD49" s="147"/>
      <c r="AE49" s="147">
        <f>IF(AND($BD15&lt;&gt;"H",$BD15&lt;&gt;"V"),"",IF(AE15=$BD15,1,0))</f>
        <v>0</v>
      </c>
      <c r="AF49" s="147"/>
      <c r="AG49" s="147"/>
      <c r="AH49" s="147"/>
      <c r="AI49" s="147">
        <f>IF(AND($BD15&lt;&gt;"H",$BD15&lt;&gt;"V"),"",IF(AI15=$BD15,1,0))</f>
        <v>0</v>
      </c>
      <c r="AJ49" s="147"/>
      <c r="AK49" s="147"/>
      <c r="AL49" s="147"/>
      <c r="AM49" s="147">
        <f>IF(AND($BD15&lt;&gt;"H",$BD15&lt;&gt;"V"),"",IF(AM15=$BD15,1,0))</f>
        <v>1</v>
      </c>
      <c r="AN49" s="147"/>
      <c r="AO49" s="147"/>
      <c r="AP49" s="147"/>
      <c r="AQ49" s="147">
        <f>IF(AND($BD15&lt;&gt;"H",$BD15&lt;&gt;"V"),"",IF(AQ15=$BD15,1,0))</f>
        <v>1</v>
      </c>
      <c r="AR49" s="147"/>
      <c r="AS49" s="147"/>
      <c r="AT49" s="147"/>
      <c r="AU49" s="147">
        <f>IF(AND($BD15&lt;&gt;"H",$BD15&lt;&gt;"V"),"",IF(AU15=$BD15,1,0))</f>
        <v>1</v>
      </c>
      <c r="AV49" s="147"/>
      <c r="AW49" s="147"/>
      <c r="AX49" s="147"/>
      <c r="AY49" s="147">
        <f>IF(AND($BD15&lt;&gt;"H",$BD15&lt;&gt;"V"),"",IF(AY15=$BD15,1,0))</f>
        <v>1</v>
      </c>
      <c r="AZ49" s="147"/>
      <c r="BA49" s="147"/>
      <c r="BB49" s="147"/>
      <c r="BH49" s="141"/>
      <c r="BI49" s="147">
        <f>IF(AND($BD15&lt;&gt;"H",$BD15&lt;&gt;"V"),"",IF(BI15=$BD15,1,0))</f>
        <v>1</v>
      </c>
      <c r="BJ49" s="147"/>
      <c r="BK49" s="147"/>
      <c r="BL49" s="147"/>
      <c r="BN49" s="148"/>
      <c r="BO49" s="149"/>
      <c r="BP49" s="150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DK49" s="143"/>
      <c r="DL49" s="163"/>
      <c r="DM49" s="146"/>
      <c r="DN49" s="146"/>
    </row>
    <row r="50" spans="1:118" s="147" customFormat="1" ht="15" hidden="1" customHeight="1" x14ac:dyDescent="0.2">
      <c r="B50" s="139"/>
      <c r="C50" s="139"/>
      <c r="D50" s="139"/>
      <c r="E50" s="139"/>
      <c r="F50" s="156" t="s">
        <v>102</v>
      </c>
      <c r="G50" s="147">
        <f>IF(AND($BD19&lt;&gt;"H",$BD19&lt;&gt;"V"),"",IF(G19=$BD19,1,0))</f>
        <v>0</v>
      </c>
      <c r="K50" s="147">
        <f>IF(AND($BD19&lt;&gt;"H",$BD19&lt;&gt;"V"),"",IF(K19=$BD19,1,0))</f>
        <v>0</v>
      </c>
      <c r="O50" s="147">
        <f>IF(AND($BD19&lt;&gt;"H",$BD19&lt;&gt;"V"),"",IF(O19=$BD19,1,0))</f>
        <v>0</v>
      </c>
      <c r="S50" s="147">
        <f>IF(AND($BD19&lt;&gt;"H",$BD19&lt;&gt;"V"),"",IF(S19=$BD19,1,0))</f>
        <v>1</v>
      </c>
      <c r="W50" s="147">
        <f>IF(AND($BD19&lt;&gt;"H",$BD19&lt;&gt;"V"),"",IF(W19=$BD19,1,0))</f>
        <v>0</v>
      </c>
      <c r="AA50" s="147">
        <f>IF(AND($BD19&lt;&gt;"H",$BD19&lt;&gt;"V"),"",IF(AA19=$BD19,1,0))</f>
        <v>0</v>
      </c>
      <c r="AE50" s="147">
        <f>IF(AND($BD19&lt;&gt;"H",$BD19&lt;&gt;"V"),"",IF(AE19=$BD19,1,0))</f>
        <v>0</v>
      </c>
      <c r="AI50" s="147">
        <f>IF(AND($BD19&lt;&gt;"H",$BD19&lt;&gt;"V"),"",IF(AI19=$BD19,1,0))</f>
        <v>0</v>
      </c>
      <c r="AM50" s="147">
        <f>IF(AND($BD19&lt;&gt;"H",$BD19&lt;&gt;"V"),"",IF(AM19=$BD19,1,0))</f>
        <v>1</v>
      </c>
      <c r="AQ50" s="147">
        <f>IF(AND($BD19&lt;&gt;"H",$BD19&lt;&gt;"V"),"",IF(AQ19=$BD19,1,0))</f>
        <v>0</v>
      </c>
      <c r="AU50" s="147">
        <f>IF(AND($BD19&lt;&gt;"H",$BD19&lt;&gt;"V"),"",IF(AU19=$BD19,1,0))</f>
        <v>0</v>
      </c>
      <c r="AY50" s="147">
        <f>IF(AND($BD19&lt;&gt;"H",$BD19&lt;&gt;"V"),"",IF(AY19=$BD19,1,0))</f>
        <v>0</v>
      </c>
      <c r="BC50" s="142"/>
      <c r="BD50" s="142"/>
      <c r="BE50" s="142"/>
      <c r="BF50" s="142"/>
      <c r="BG50" s="142"/>
      <c r="BH50" s="141"/>
      <c r="BI50" s="147">
        <f>IF(AND($BD19&lt;&gt;"H",$BD19&lt;&gt;"V"),"",IF(BI19=$BD19,1,0))</f>
        <v>0</v>
      </c>
      <c r="BM50" s="142"/>
      <c r="BN50" s="148"/>
      <c r="BO50" s="149"/>
      <c r="BP50" s="150"/>
      <c r="BQ50" s="151"/>
      <c r="BR50" s="151"/>
      <c r="BS50" s="151"/>
      <c r="BT50" s="151"/>
      <c r="BU50" s="151"/>
      <c r="BV50" s="151"/>
      <c r="BW50" s="151"/>
      <c r="BX50" s="151"/>
      <c r="BY50" s="151"/>
      <c r="BZ50" s="151"/>
      <c r="CA50" s="151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DK50" s="143"/>
      <c r="DL50" s="163"/>
      <c r="DM50" s="146"/>
      <c r="DN50" s="146"/>
    </row>
    <row r="51" spans="1:118" s="139" customFormat="1" ht="15" hidden="1" customHeight="1" x14ac:dyDescent="0.2">
      <c r="F51" s="156" t="s">
        <v>103</v>
      </c>
      <c r="G51" s="147">
        <f>IF(AND($BD20&lt;&gt;"H",$BD20&lt;&gt;"V"),"",IF(G20=$BD20,1,0))</f>
        <v>0</v>
      </c>
      <c r="H51" s="147"/>
      <c r="I51" s="147"/>
      <c r="J51" s="147"/>
      <c r="K51" s="147">
        <f>IF(AND($BD20&lt;&gt;"H",$BD20&lt;&gt;"V"),"",IF(K20=$BD20,1,0))</f>
        <v>1</v>
      </c>
      <c r="L51" s="147"/>
      <c r="M51" s="147"/>
      <c r="N51" s="147"/>
      <c r="O51" s="147">
        <f>IF(AND($BD20&lt;&gt;"H",$BD20&lt;&gt;"V"),"",IF(O20=$BD20,1,0))</f>
        <v>1</v>
      </c>
      <c r="P51" s="147"/>
      <c r="Q51" s="147"/>
      <c r="R51" s="147"/>
      <c r="S51" s="147">
        <f>IF(AND($BD20&lt;&gt;"H",$BD20&lt;&gt;"V"),"",IF(S20=$BD20,1,0))</f>
        <v>0</v>
      </c>
      <c r="T51" s="147"/>
      <c r="U51" s="147"/>
      <c r="V51" s="147"/>
      <c r="W51" s="147">
        <f>IF(AND($BD20&lt;&gt;"H",$BD20&lt;&gt;"V"),"",IF(W20=$BD20,1,0))</f>
        <v>1</v>
      </c>
      <c r="X51" s="147"/>
      <c r="Y51" s="147"/>
      <c r="Z51" s="147"/>
      <c r="AA51" s="147">
        <f>IF(AND($BD20&lt;&gt;"H",$BD20&lt;&gt;"V"),"",IF(AA20=$BD20,1,0))</f>
        <v>0</v>
      </c>
      <c r="AB51" s="147"/>
      <c r="AC51" s="147"/>
      <c r="AD51" s="147"/>
      <c r="AE51" s="147">
        <f>IF(AND($BD20&lt;&gt;"H",$BD20&lt;&gt;"V"),"",IF(AE20=$BD20,1,0))</f>
        <v>0</v>
      </c>
      <c r="AF51" s="147"/>
      <c r="AG51" s="147"/>
      <c r="AH51" s="147"/>
      <c r="AI51" s="147">
        <f>IF(AND($BD20&lt;&gt;"H",$BD20&lt;&gt;"V"),"",IF(AI20=$BD20,1,0))</f>
        <v>1</v>
      </c>
      <c r="AJ51" s="147"/>
      <c r="AK51" s="147"/>
      <c r="AL51" s="147"/>
      <c r="AM51" s="147">
        <f>IF(AND($BD20&lt;&gt;"H",$BD20&lt;&gt;"V"),"",IF(AM20=$BD20,1,0))</f>
        <v>0</v>
      </c>
      <c r="AN51" s="147"/>
      <c r="AO51" s="147"/>
      <c r="AP51" s="147"/>
      <c r="AQ51" s="147">
        <f>IF(AND($BD20&lt;&gt;"H",$BD20&lt;&gt;"V"),"",IF(AQ20=$BD20,1,0))</f>
        <v>1</v>
      </c>
      <c r="AR51" s="147"/>
      <c r="AS51" s="147"/>
      <c r="AT51" s="147"/>
      <c r="AU51" s="147">
        <f>IF(AND($BD20&lt;&gt;"H",$BD20&lt;&gt;"V"),"",IF(AU20=$BD20,1,0))</f>
        <v>1</v>
      </c>
      <c r="AV51" s="147"/>
      <c r="AW51" s="147"/>
      <c r="AX51" s="147"/>
      <c r="AY51" s="147">
        <f>IF(AND($BD20&lt;&gt;"H",$BD20&lt;&gt;"V"),"",IF(AY20=$BD20,1,0))</f>
        <v>0</v>
      </c>
      <c r="AZ51" s="147"/>
      <c r="BA51" s="147"/>
      <c r="BB51" s="147"/>
      <c r="BC51" s="142"/>
      <c r="BD51" s="142"/>
      <c r="BE51" s="142"/>
      <c r="BF51" s="142"/>
      <c r="BG51" s="142"/>
      <c r="BH51" s="141"/>
      <c r="BI51" s="147">
        <f>IF(AND($BD20&lt;&gt;"H",$BD20&lt;&gt;"V"),"",IF(BI20=$BD20,1,0))</f>
        <v>1</v>
      </c>
      <c r="BJ51" s="147"/>
      <c r="BK51" s="147"/>
      <c r="BL51" s="147"/>
      <c r="BM51" s="142"/>
      <c r="BN51" s="148"/>
      <c r="BO51" s="149"/>
      <c r="BP51" s="150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DK51" s="143"/>
      <c r="DL51" s="163"/>
      <c r="DM51" s="146"/>
      <c r="DN51" s="146"/>
    </row>
    <row r="52" spans="1:118" s="139" customFormat="1" ht="15" hidden="1" customHeight="1" x14ac:dyDescent="0.2">
      <c r="F52" s="156" t="s">
        <v>104</v>
      </c>
      <c r="G52" s="147" t="str">
        <f>IF(AND($BD24&lt;&gt;"H",$BD24&lt;&gt;"V"),"",IF(G24=$BD24,1,0))</f>
        <v/>
      </c>
      <c r="H52" s="147"/>
      <c r="I52" s="147"/>
      <c r="J52" s="147"/>
      <c r="K52" s="147" t="str">
        <f>IF(AND($BD24&lt;&gt;"H",$BD24&lt;&gt;"V"),"",IF(K24=$BD24,1,0))</f>
        <v/>
      </c>
      <c r="L52" s="147"/>
      <c r="M52" s="147"/>
      <c r="N52" s="147"/>
      <c r="O52" s="147" t="str">
        <f>IF(AND($BD24&lt;&gt;"H",$BD24&lt;&gt;"V"),"",IF(O24=$BD24,1,0))</f>
        <v/>
      </c>
      <c r="P52" s="147"/>
      <c r="Q52" s="147"/>
      <c r="R52" s="147"/>
      <c r="S52" s="147" t="str">
        <f>IF(AND($BD24&lt;&gt;"H",$BD24&lt;&gt;"V"),"",IF(S24=$BD24,1,0))</f>
        <v/>
      </c>
      <c r="T52" s="147"/>
      <c r="U52" s="147"/>
      <c r="V52" s="147"/>
      <c r="W52" s="147" t="str">
        <f>IF(AND($BD24&lt;&gt;"H",$BD24&lt;&gt;"V"),"",IF(W24=$BD24,1,0))</f>
        <v/>
      </c>
      <c r="X52" s="147"/>
      <c r="Y52" s="147"/>
      <c r="Z52" s="147"/>
      <c r="AA52" s="147" t="str">
        <f>IF(AND($BD24&lt;&gt;"H",$BD24&lt;&gt;"V"),"",IF(AA24=$BD24,1,0))</f>
        <v/>
      </c>
      <c r="AB52" s="147"/>
      <c r="AC52" s="147"/>
      <c r="AD52" s="147"/>
      <c r="AE52" s="147" t="str">
        <f>IF(AND($BD24&lt;&gt;"H",$BD24&lt;&gt;"V"),"",IF(AE24=$BD24,1,0))</f>
        <v/>
      </c>
      <c r="AF52" s="147"/>
      <c r="AG52" s="147"/>
      <c r="AH52" s="147"/>
      <c r="AI52" s="147" t="str">
        <f>IF(AND($BD24&lt;&gt;"H",$BD24&lt;&gt;"V"),"",IF(AI24=$BD24,1,0))</f>
        <v/>
      </c>
      <c r="AJ52" s="147"/>
      <c r="AK52" s="147"/>
      <c r="AL52" s="147"/>
      <c r="AM52" s="147" t="str">
        <f>IF(AND($BD24&lt;&gt;"H",$BD24&lt;&gt;"V"),"",IF(AM24=$BD24,1,0))</f>
        <v/>
      </c>
      <c r="AN52" s="147"/>
      <c r="AO52" s="147"/>
      <c r="AP52" s="147"/>
      <c r="AQ52" s="147" t="str">
        <f>IF(AND($BD24&lt;&gt;"H",$BD24&lt;&gt;"V"),"",IF(AQ24=$BD24,1,0))</f>
        <v/>
      </c>
      <c r="AR52" s="147"/>
      <c r="AS52" s="147"/>
      <c r="AT52" s="147"/>
      <c r="AU52" s="147" t="str">
        <f>IF(AND($BD24&lt;&gt;"H",$BD24&lt;&gt;"V"),"",IF(AU24=$BD24,1,0))</f>
        <v/>
      </c>
      <c r="AV52" s="147"/>
      <c r="AW52" s="147"/>
      <c r="AX52" s="147"/>
      <c r="AY52" s="147" t="str">
        <f>IF(AND($BD24&lt;&gt;"H",$BD24&lt;&gt;"V"),"",IF(AY24=$BD24,1,0))</f>
        <v/>
      </c>
      <c r="AZ52" s="147"/>
      <c r="BA52" s="147"/>
      <c r="BB52" s="147"/>
      <c r="BC52" s="142"/>
      <c r="BD52" s="142"/>
      <c r="BE52" s="142"/>
      <c r="BF52" s="142"/>
      <c r="BG52" s="142"/>
      <c r="BH52" s="141"/>
      <c r="BI52" s="147" t="str">
        <f>IF(AND($BD24&lt;&gt;"H",$BD24&lt;&gt;"V"),"",IF(BI24=$BD24,1,0))</f>
        <v/>
      </c>
      <c r="BJ52" s="147"/>
      <c r="BK52" s="147"/>
      <c r="BL52" s="147"/>
      <c r="BM52" s="142"/>
      <c r="BN52" s="148"/>
      <c r="BO52" s="149"/>
      <c r="BP52" s="150"/>
      <c r="BQ52" s="151"/>
      <c r="BR52" s="151"/>
      <c r="BS52" s="151"/>
      <c r="BT52" s="151"/>
      <c r="BU52" s="151"/>
      <c r="BV52" s="151"/>
      <c r="BW52" s="151"/>
      <c r="BX52" s="151"/>
      <c r="BY52" s="151"/>
      <c r="BZ52" s="151"/>
      <c r="CA52" s="151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DK52" s="143"/>
      <c r="DL52" s="163"/>
      <c r="DM52" s="146"/>
      <c r="DN52" s="146"/>
    </row>
    <row r="53" spans="1:118" s="139" customFormat="1" ht="15" hidden="1" customHeight="1" x14ac:dyDescent="0.2">
      <c r="F53" s="156" t="s">
        <v>105</v>
      </c>
      <c r="G53" s="153"/>
      <c r="H53" s="153"/>
      <c r="I53" s="153"/>
      <c r="J53" s="153">
        <f>IF(J9="",999,IF(J9&lt;0,ABS(J9)+0.1,ABS(J9)))</f>
        <v>999</v>
      </c>
      <c r="K53" s="153"/>
      <c r="L53" s="153"/>
      <c r="M53" s="153"/>
      <c r="N53" s="153">
        <f>IF(N9="",999,IF(N9&lt;0,ABS(N9)+0.1,ABS(N9)))</f>
        <v>999</v>
      </c>
      <c r="O53" s="153"/>
      <c r="P53" s="153"/>
      <c r="Q53" s="153"/>
      <c r="R53" s="153">
        <f>IF(R9="",999,IF(R9&lt;0,ABS(R9)+0.1,ABS(R9)))</f>
        <v>999</v>
      </c>
      <c r="S53" s="153"/>
      <c r="T53" s="153"/>
      <c r="U53" s="153"/>
      <c r="V53" s="153">
        <f>IF(V9="",999,IF(V9&lt;0,ABS(V9)+0.1,ABS(V9)))</f>
        <v>999</v>
      </c>
      <c r="W53" s="153"/>
      <c r="X53" s="153"/>
      <c r="Y53" s="153"/>
      <c r="Z53" s="153">
        <f>IF(Z9="",999,IF(Z9&lt;0,ABS(Z9)+0.1,ABS(Z9)))</f>
        <v>999</v>
      </c>
      <c r="AA53" s="153"/>
      <c r="AB53" s="153"/>
      <c r="AC53" s="153"/>
      <c r="AD53" s="153">
        <f>IF(AD9="",999,IF(AD9&lt;0,ABS(AD9)+0.1,ABS(AD9)))</f>
        <v>999</v>
      </c>
      <c r="AE53" s="153"/>
      <c r="AF53" s="153"/>
      <c r="AG53" s="153"/>
      <c r="AH53" s="153">
        <f>IF(AH9="",999,IF(AH9&lt;0,ABS(AH9)+0.1,ABS(AH9)))</f>
        <v>999</v>
      </c>
      <c r="AI53" s="153"/>
      <c r="AJ53" s="153"/>
      <c r="AK53" s="153"/>
      <c r="AL53" s="153">
        <f>IF(AL9="",999,IF(AL9&lt;0,ABS(AL9)+0.1,ABS(AL9)))</f>
        <v>999</v>
      </c>
      <c r="AM53" s="153"/>
      <c r="AN53" s="153"/>
      <c r="AO53" s="153"/>
      <c r="AP53" s="153">
        <f>IF(AP9="",999,IF(AP9&lt;0,ABS(AP9)+0.1,ABS(AP9)))</f>
        <v>999</v>
      </c>
      <c r="AQ53" s="153"/>
      <c r="AR53" s="153"/>
      <c r="AS53" s="153"/>
      <c r="AT53" s="153">
        <f>IF(AT9="",999,IF(AT9&lt;0,ABS(AT9)+0.1,ABS(AT9)))</f>
        <v>999</v>
      </c>
      <c r="AU53" s="153"/>
      <c r="AV53" s="153"/>
      <c r="AW53" s="153"/>
      <c r="AX53" s="153">
        <f>IF(AX9="",999,IF(AX9&lt;0,ABS(AX9)+0.1,ABS(AX9)))</f>
        <v>999</v>
      </c>
      <c r="AY53" s="153"/>
      <c r="AZ53" s="153"/>
      <c r="BA53" s="153"/>
      <c r="BB53" s="153">
        <f>IF(BB9="",999,IF(BB9&lt;0,ABS(BB9)+0.1,ABS(BB9)))</f>
        <v>999</v>
      </c>
      <c r="BC53" s="142"/>
      <c r="BD53" s="142"/>
      <c r="BE53" s="142"/>
      <c r="BF53" s="142"/>
      <c r="BG53" s="142"/>
      <c r="BH53" s="141"/>
      <c r="BI53" s="147"/>
      <c r="BJ53" s="147"/>
      <c r="BK53" s="147"/>
      <c r="BL53" s="147"/>
      <c r="BM53" s="142"/>
      <c r="BN53" s="148"/>
      <c r="BO53" s="149"/>
      <c r="BP53" s="150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DK53" s="143"/>
      <c r="DL53" s="163"/>
      <c r="DM53" s="146"/>
      <c r="DN53" s="146"/>
    </row>
    <row r="54" spans="1:118" s="139" customFormat="1" ht="15" hidden="1" customHeight="1" x14ac:dyDescent="0.2">
      <c r="F54" s="156" t="s">
        <v>106</v>
      </c>
      <c r="G54" s="153"/>
      <c r="H54" s="153"/>
      <c r="I54" s="153"/>
      <c r="J54" s="153">
        <f>IF(J16="",999,IF(J16&lt;0,ABS(J16)+0.1,ABS(J16)))</f>
        <v>999</v>
      </c>
      <c r="K54" s="153"/>
      <c r="L54" s="153"/>
      <c r="M54" s="153"/>
      <c r="N54" s="153">
        <f>IF(N16="",999,IF(N16&lt;0,ABS(N16)+0.1,ABS(N16)))</f>
        <v>999</v>
      </c>
      <c r="O54" s="153"/>
      <c r="P54" s="153"/>
      <c r="Q54" s="153"/>
      <c r="R54" s="153">
        <f>IF(R16="",999,IF(R16&lt;0,ABS(R16)+0.1,ABS(R16)))</f>
        <v>1.1000000000000001</v>
      </c>
      <c r="S54" s="153"/>
      <c r="T54" s="153"/>
      <c r="U54" s="153"/>
      <c r="V54" s="153">
        <f>IF(V16="",999,IF(V16&lt;0,ABS(V16)+0.1,ABS(V16)))</f>
        <v>999</v>
      </c>
      <c r="W54" s="153"/>
      <c r="X54" s="153"/>
      <c r="Y54" s="153"/>
      <c r="Z54" s="153">
        <f>IF(Z16="",999,IF(Z16&lt;0,ABS(Z16)+0.1,ABS(Z16)))</f>
        <v>999</v>
      </c>
      <c r="AA54" s="153"/>
      <c r="AB54" s="153"/>
      <c r="AC54" s="153"/>
      <c r="AD54" s="153">
        <f>IF(AD16="",999,IF(AD16&lt;0,ABS(AD16)+0.1,ABS(AD16)))</f>
        <v>999</v>
      </c>
      <c r="AE54" s="153"/>
      <c r="AF54" s="153"/>
      <c r="AG54" s="153"/>
      <c r="AH54" s="153">
        <f>IF(AH16="",999,IF(AH16&lt;0,ABS(AH16)+0.1,ABS(AH16)))</f>
        <v>999</v>
      </c>
      <c r="AI54" s="153"/>
      <c r="AJ54" s="153"/>
      <c r="AK54" s="153"/>
      <c r="AL54" s="153">
        <f>IF(AL16="",999,IF(AL16&lt;0,ABS(AL16)+0.1,ABS(AL16)))</f>
        <v>999</v>
      </c>
      <c r="AM54" s="153"/>
      <c r="AN54" s="153"/>
      <c r="AO54" s="153"/>
      <c r="AP54" s="153">
        <f>IF(AP16="",999,IF(AP16&lt;0,ABS(AP16)+0.1,ABS(AP16)))</f>
        <v>999</v>
      </c>
      <c r="AQ54" s="153"/>
      <c r="AR54" s="153"/>
      <c r="AS54" s="153"/>
      <c r="AT54" s="153">
        <f>IF(AT16="",999,IF(AT16&lt;0,ABS(AT16)+0.1,ABS(AT16)))</f>
        <v>1.1000000000000001</v>
      </c>
      <c r="AU54" s="153"/>
      <c r="AV54" s="153"/>
      <c r="AW54" s="153"/>
      <c r="AX54" s="153">
        <f>IF(AX16="",999,IF(AX16&lt;0,ABS(AX16)+0.1,ABS(AX16)))</f>
        <v>999</v>
      </c>
      <c r="AY54" s="153"/>
      <c r="AZ54" s="153"/>
      <c r="BA54" s="153"/>
      <c r="BB54" s="153">
        <f>IF(BB16="",999,IF(BB16&lt;0,ABS(BB16)+0.1,ABS(BB16)))</f>
        <v>999</v>
      </c>
      <c r="BC54" s="142"/>
      <c r="BD54" s="142"/>
      <c r="BE54" s="142"/>
      <c r="BF54" s="142"/>
      <c r="BG54" s="142"/>
      <c r="BH54" s="141"/>
      <c r="BI54" s="147"/>
      <c r="BJ54" s="147"/>
      <c r="BK54" s="147"/>
      <c r="BL54" s="147"/>
      <c r="BM54" s="142"/>
      <c r="BN54" s="148"/>
      <c r="BO54" s="149"/>
      <c r="BP54" s="150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DK54" s="143"/>
      <c r="DL54" s="163"/>
      <c r="DM54" s="146"/>
      <c r="DN54" s="146"/>
    </row>
    <row r="55" spans="1:118" s="139" customFormat="1" ht="15" hidden="1" customHeight="1" x14ac:dyDescent="0.2">
      <c r="F55" s="156" t="s">
        <v>107</v>
      </c>
      <c r="G55" s="147"/>
      <c r="H55" s="147"/>
      <c r="I55" s="147"/>
      <c r="J55" s="153">
        <f>IF(J21="",999,IF(J21&lt;0,ABS(J21)+0.1,ABS(J21)))</f>
        <v>999</v>
      </c>
      <c r="K55" s="147"/>
      <c r="L55" s="147"/>
      <c r="M55" s="147"/>
      <c r="N55" s="153">
        <f>IF(N21="",999,IF(N21&lt;0,ABS(N21)+0.1,ABS(N21)))</f>
        <v>999</v>
      </c>
      <c r="O55" s="147"/>
      <c r="P55" s="147"/>
      <c r="Q55" s="147"/>
      <c r="R55" s="153">
        <f>IF(R21="",999,IF(R21&lt;0,ABS(R21)+0.1,ABS(R21)))</f>
        <v>999</v>
      </c>
      <c r="S55" s="147"/>
      <c r="T55" s="147"/>
      <c r="U55" s="147"/>
      <c r="V55" s="153">
        <f>IF(V21="",999,IF(V21&lt;0,ABS(V21)+0.1,ABS(V21)))</f>
        <v>999</v>
      </c>
      <c r="W55" s="147"/>
      <c r="X55" s="147"/>
      <c r="Y55" s="147"/>
      <c r="Z55" s="153">
        <f>IF(Z21="",999,IF(Z21&lt;0,ABS(Z21)+0.1,ABS(Z21)))</f>
        <v>999</v>
      </c>
      <c r="AA55" s="147"/>
      <c r="AB55" s="147"/>
      <c r="AC55" s="147"/>
      <c r="AD55" s="153">
        <f>IF(AD21="",999,IF(AD21&lt;0,ABS(AD21)+0.1,ABS(AD21)))</f>
        <v>999</v>
      </c>
      <c r="AE55" s="147"/>
      <c r="AF55" s="147"/>
      <c r="AG55" s="147"/>
      <c r="AH55" s="153">
        <f>IF(AH21="",999,IF(AH21&lt;0,ABS(AH21)+0.1,ABS(AH21)))</f>
        <v>999</v>
      </c>
      <c r="AI55" s="147"/>
      <c r="AJ55" s="147"/>
      <c r="AK55" s="147"/>
      <c r="AL55" s="153">
        <f>IF(AL21="",999,IF(AL21&lt;0,ABS(AL21)+0.1,ABS(AL21)))</f>
        <v>999</v>
      </c>
      <c r="AM55" s="147"/>
      <c r="AN55" s="147"/>
      <c r="AO55" s="147"/>
      <c r="AP55" s="153">
        <f>IF(AP21="",999,IF(AP21&lt;0,ABS(AP21)+0.1,ABS(AP21)))</f>
        <v>999</v>
      </c>
      <c r="AQ55" s="147"/>
      <c r="AR55" s="147"/>
      <c r="AS55" s="147"/>
      <c r="AT55" s="153">
        <f>IF(AT21="",999,IF(AT21&lt;0,ABS(AT21)+0.1,ABS(AT21)))</f>
        <v>999</v>
      </c>
      <c r="AU55" s="147"/>
      <c r="AV55" s="147"/>
      <c r="AW55" s="147"/>
      <c r="AX55" s="153">
        <f>IF(AX21="",999,IF(AX21&lt;0,ABS(AX21)+0.1,ABS(AX21)))</f>
        <v>999</v>
      </c>
      <c r="AY55" s="147"/>
      <c r="AZ55" s="147"/>
      <c r="BA55" s="147"/>
      <c r="BB55" s="153">
        <f>IF(BB21="",999,IF(BB21&lt;0,ABS(BB21)+0.1,ABS(BB21)))</f>
        <v>999</v>
      </c>
      <c r="BC55" s="142"/>
      <c r="BD55" s="142"/>
      <c r="BE55" s="142"/>
      <c r="BF55" s="142"/>
      <c r="BG55" s="142"/>
      <c r="BH55" s="141"/>
      <c r="BI55" s="147"/>
      <c r="BJ55" s="147"/>
      <c r="BK55" s="147"/>
      <c r="BL55" s="147"/>
      <c r="BM55" s="142"/>
      <c r="BN55" s="148"/>
      <c r="BO55" s="149"/>
      <c r="BP55" s="150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DK55" s="143"/>
      <c r="DL55" s="163"/>
      <c r="DM55" s="146"/>
      <c r="DN55" s="146"/>
    </row>
    <row r="56" spans="1:118" s="139" customFormat="1" ht="15" hidden="1" customHeight="1" x14ac:dyDescent="0.2">
      <c r="F56" s="156" t="s">
        <v>108</v>
      </c>
      <c r="G56" s="147"/>
      <c r="H56" s="147"/>
      <c r="I56" s="147"/>
      <c r="J56" s="153">
        <f>IF(J25="",999,IF(J25&lt;0,ABS(J25)+0.1,ABS(J25)))</f>
        <v>999</v>
      </c>
      <c r="K56" s="147"/>
      <c r="L56" s="147"/>
      <c r="M56" s="147"/>
      <c r="N56" s="153">
        <f>IF(N25="",999,IF(N25&lt;0,ABS(N25)+0.1,ABS(N25)))</f>
        <v>999</v>
      </c>
      <c r="O56" s="147"/>
      <c r="P56" s="147"/>
      <c r="Q56" s="147"/>
      <c r="R56" s="153">
        <f>IF(R25="",999,IF(R25&lt;0,ABS(R25)+0.1,ABS(R25)))</f>
        <v>999</v>
      </c>
      <c r="S56" s="147"/>
      <c r="T56" s="147"/>
      <c r="U56" s="147"/>
      <c r="V56" s="153">
        <f>IF(V25="",999,IF(V25&lt;0,ABS(V25)+0.1,ABS(V25)))</f>
        <v>999</v>
      </c>
      <c r="W56" s="147"/>
      <c r="X56" s="147"/>
      <c r="Y56" s="147"/>
      <c r="Z56" s="153">
        <f>IF(Z25="",999,IF(Z25&lt;0,ABS(Z25)+0.1,ABS(Z25)))</f>
        <v>999</v>
      </c>
      <c r="AA56" s="147"/>
      <c r="AB56" s="147"/>
      <c r="AC56" s="147"/>
      <c r="AD56" s="153">
        <f>IF(AD25="",999,IF(AD25&lt;0,ABS(AD25)+0.1,ABS(AD25)))</f>
        <v>999</v>
      </c>
      <c r="AE56" s="147"/>
      <c r="AF56" s="147"/>
      <c r="AG56" s="147"/>
      <c r="AH56" s="153">
        <f>IF(AH25="",999,IF(AH25&lt;0,ABS(AH25)+0.1,ABS(AH25)))</f>
        <v>999</v>
      </c>
      <c r="AI56" s="147"/>
      <c r="AJ56" s="147"/>
      <c r="AK56" s="147"/>
      <c r="AL56" s="153">
        <f>IF(AL25="",999,IF(AL25&lt;0,ABS(AL25)+0.1,ABS(AL25)))</f>
        <v>999</v>
      </c>
      <c r="AM56" s="147"/>
      <c r="AN56" s="147"/>
      <c r="AO56" s="147"/>
      <c r="AP56" s="153">
        <f>IF(AP25="",999,IF(AP25&lt;0,ABS(AP25)+0.1,ABS(AP25)))</f>
        <v>999</v>
      </c>
      <c r="AQ56" s="147"/>
      <c r="AR56" s="147"/>
      <c r="AS56" s="147"/>
      <c r="AT56" s="153">
        <f>IF(AT25="",999,IF(AT25&lt;0,ABS(AT25)+0.1,ABS(AT25)))</f>
        <v>999</v>
      </c>
      <c r="AU56" s="147"/>
      <c r="AV56" s="147"/>
      <c r="AW56" s="147"/>
      <c r="AX56" s="153">
        <f>IF(AX25="",999,IF(AX25&lt;0,ABS(AX25)+0.1,ABS(AX25)))</f>
        <v>999</v>
      </c>
      <c r="AY56" s="147"/>
      <c r="AZ56" s="147"/>
      <c r="BA56" s="147"/>
      <c r="BB56" s="153">
        <f>IF(BB25="",999,IF(BB25&lt;0,ABS(BB25)+0.1,ABS(BB25)))</f>
        <v>999</v>
      </c>
      <c r="BC56" s="142"/>
      <c r="BD56" s="142"/>
      <c r="BE56" s="142"/>
      <c r="BF56" s="142"/>
      <c r="BG56" s="142"/>
      <c r="BH56" s="141"/>
      <c r="BI56" s="147"/>
      <c r="BJ56" s="147"/>
      <c r="BK56" s="147"/>
      <c r="BL56" s="147"/>
      <c r="BM56" s="142"/>
      <c r="BN56" s="148"/>
      <c r="BO56" s="149"/>
      <c r="BP56" s="150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DK56" s="143"/>
      <c r="DL56" s="163"/>
      <c r="DM56" s="146"/>
      <c r="DN56" s="146"/>
    </row>
    <row r="57" spans="1:118" s="139" customFormat="1" ht="15" hidden="1" customHeight="1" x14ac:dyDescent="0.2">
      <c r="F57" s="156" t="s">
        <v>109</v>
      </c>
      <c r="G57" s="66" t="str">
        <f>H2</f>
        <v>BM</v>
      </c>
      <c r="H57" s="66" t="str">
        <f>L2</f>
        <v>CK</v>
      </c>
      <c r="I57" s="66" t="str">
        <f>P2</f>
        <v>CP</v>
      </c>
      <c r="J57" s="66" t="str">
        <f>T2</f>
        <v>DC</v>
      </c>
      <c r="K57" s="66" t="str">
        <f>X2</f>
        <v>DH</v>
      </c>
      <c r="L57" s="66" t="str">
        <f>AB2</f>
        <v>GP</v>
      </c>
      <c r="M57" s="66" t="str">
        <f>AF2</f>
        <v>JG</v>
      </c>
      <c r="N57" s="66" t="str">
        <f>AJ2</f>
        <v>JH</v>
      </c>
      <c r="O57" s="66" t="str">
        <f>AN2</f>
        <v>JL</v>
      </c>
      <c r="P57" s="66" t="str">
        <f>AR2</f>
        <v>KC</v>
      </c>
      <c r="Q57" s="66" t="str">
        <f>AV2</f>
        <v>KK</v>
      </c>
      <c r="R57" s="66" t="str">
        <f>AZ2</f>
        <v>RR</v>
      </c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2"/>
      <c r="BD57" s="142"/>
      <c r="BE57" s="142"/>
      <c r="BF57" s="142"/>
      <c r="BG57" s="142"/>
      <c r="BH57" s="141"/>
      <c r="BI57" s="147"/>
      <c r="BJ57" s="147"/>
      <c r="BK57" s="147"/>
      <c r="BL57" s="147"/>
      <c r="BM57" s="142"/>
      <c r="BN57" s="148"/>
      <c r="BO57" s="149"/>
      <c r="BP57" s="150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DK57" s="143"/>
      <c r="DL57" s="163"/>
      <c r="DM57" s="146"/>
      <c r="DN57" s="146"/>
    </row>
    <row r="58" spans="1:118" s="139" customFormat="1" ht="15" hidden="1" customHeight="1" x14ac:dyDescent="0.2">
      <c r="F58" s="156" t="s">
        <v>110</v>
      </c>
      <c r="G58" s="154">
        <f>IF($BD$24="",IF($BD$19="",IF($BD$12="",IF($BD$5="",0,-18),-11),-6),-2)</f>
        <v>-6</v>
      </c>
      <c r="H58" s="147"/>
      <c r="I58" s="147"/>
      <c r="K58" s="155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2"/>
      <c r="BD58" s="142"/>
      <c r="BE58" s="142"/>
      <c r="BF58" s="142"/>
      <c r="BG58" s="142"/>
      <c r="BH58" s="141"/>
      <c r="BI58" s="147"/>
      <c r="BJ58" s="147"/>
      <c r="BK58" s="147"/>
      <c r="BL58" s="147"/>
      <c r="BM58" s="142"/>
      <c r="BN58" s="148"/>
      <c r="BO58" s="149"/>
      <c r="BP58" s="150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DK58" s="143"/>
      <c r="DL58" s="163"/>
      <c r="DM58" s="146"/>
      <c r="DN58" s="146"/>
    </row>
    <row r="59" spans="1:118" s="139" customFormat="1" ht="15" hidden="1" customHeight="1" x14ac:dyDescent="0.2"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2"/>
      <c r="BD59" s="142"/>
      <c r="BE59" s="142"/>
      <c r="BF59" s="142"/>
      <c r="BG59" s="142"/>
      <c r="BH59" s="141"/>
      <c r="BI59" s="147"/>
      <c r="BJ59" s="147"/>
      <c r="BK59" s="147"/>
      <c r="BL59" s="147"/>
      <c r="BM59" s="142"/>
      <c r="BN59" s="148"/>
      <c r="BO59" s="149"/>
      <c r="BP59" s="150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DK59" s="143"/>
      <c r="DL59" s="163"/>
      <c r="DM59" s="146"/>
      <c r="DN59" s="146"/>
    </row>
    <row r="60" spans="1:118" s="139" customFormat="1" ht="15" hidden="1" customHeight="1" x14ac:dyDescent="0.2"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2"/>
      <c r="BD60" s="142"/>
      <c r="BE60" s="142"/>
      <c r="BF60" s="142"/>
      <c r="BG60" s="142"/>
      <c r="BH60" s="141"/>
      <c r="BI60" s="147"/>
      <c r="BJ60" s="147"/>
      <c r="BK60" s="147"/>
      <c r="BL60" s="147"/>
      <c r="BM60" s="142"/>
      <c r="BN60" s="148"/>
      <c r="BO60" s="149"/>
      <c r="BP60" s="150"/>
      <c r="BQ60" s="151"/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DK60" s="143"/>
      <c r="DL60" s="163"/>
      <c r="DM60" s="146"/>
      <c r="DN60" s="146"/>
    </row>
    <row r="61" spans="1:118" s="139" customFormat="1" ht="15" customHeight="1" thickBot="1" x14ac:dyDescent="0.25"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2"/>
      <c r="BD61" s="142"/>
      <c r="BE61" s="142"/>
      <c r="BF61" s="142"/>
      <c r="BG61" s="142"/>
      <c r="BH61" s="141"/>
      <c r="BI61" s="147"/>
      <c r="BJ61" s="147"/>
      <c r="BK61" s="147"/>
      <c r="BL61" s="147"/>
      <c r="BM61" s="142"/>
      <c r="BN61" s="142"/>
      <c r="BO61" s="149"/>
      <c r="BP61" s="150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DK61" s="143"/>
      <c r="DL61" s="162" t="s">
        <v>72</v>
      </c>
      <c r="DM61" s="146"/>
      <c r="DN61" s="146"/>
    </row>
    <row r="62" spans="1:118" ht="21" customHeight="1" thickTop="1" thickBot="1" x14ac:dyDescent="0.25">
      <c r="B62" s="2"/>
      <c r="C62" s="2"/>
      <c r="D62" s="2"/>
      <c r="E62" s="2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126"/>
      <c r="AI62" s="126"/>
      <c r="AJ62" s="126"/>
      <c r="AK62" s="126"/>
      <c r="AL62" s="126"/>
      <c r="AM62" s="126"/>
      <c r="AN62" s="126"/>
      <c r="AO62" s="126"/>
      <c r="AP62" s="126"/>
      <c r="AQ62" s="126"/>
      <c r="AR62" s="126"/>
      <c r="AS62" s="126"/>
      <c r="AT62" s="126"/>
      <c r="AU62" s="126"/>
      <c r="AV62" s="126"/>
      <c r="AW62" s="126"/>
      <c r="AX62" s="126"/>
      <c r="AY62" s="126"/>
      <c r="AZ62" s="126"/>
      <c r="BA62" s="126"/>
      <c r="BB62" s="126"/>
      <c r="BI62" s="126"/>
      <c r="BJ62" s="126"/>
      <c r="BK62" s="126"/>
      <c r="BL62" s="126"/>
      <c r="BO62" s="124"/>
      <c r="BP62" s="125"/>
      <c r="BQ62" s="124"/>
      <c r="BR62" s="124"/>
      <c r="BS62" s="124"/>
      <c r="BT62" s="124"/>
      <c r="BU62" s="124"/>
      <c r="BV62" s="124"/>
      <c r="BW62" s="124"/>
      <c r="BX62" s="124"/>
      <c r="BY62" s="124"/>
      <c r="BZ62" s="124"/>
      <c r="CA62" s="124"/>
      <c r="CB62" s="261" t="str">
        <f>CONCATENATE("Week ",IF($BD$24="",IF($BD$19="",IF($BD$12="",IF($BD$5="",0,1),2),3),4)," Scores")</f>
        <v>Week 3 Scores</v>
      </c>
      <c r="CC62" s="262"/>
      <c r="CD62" s="263"/>
      <c r="CE62" s="170"/>
      <c r="CF62" s="261" t="s">
        <v>122</v>
      </c>
      <c r="CG62" s="262"/>
      <c r="CH62" s="263"/>
      <c r="CI62" s="169"/>
      <c r="CJ62" s="261" t="s">
        <v>132</v>
      </c>
      <c r="CK62" s="262"/>
      <c r="CL62" s="263"/>
      <c r="CM62" s="261" t="s">
        <v>128</v>
      </c>
      <c r="CN62" s="262"/>
      <c r="CO62" s="262"/>
      <c r="CP62" s="262"/>
      <c r="CQ62" s="262"/>
      <c r="CR62" s="262"/>
      <c r="CS62" s="263"/>
      <c r="CT62" s="191"/>
      <c r="DK62" s="191"/>
      <c r="DL62" s="162" t="str">
        <f>CONCATENATE($DM$2,$DN$2)</f>
        <v xml:space="preserve">   "",</v>
      </c>
      <c r="DM62" s="146"/>
      <c r="DN62" s="146"/>
    </row>
    <row r="63" spans="1:118" ht="21" customHeight="1" thickTop="1" x14ac:dyDescent="0.2">
      <c r="CB63" s="192" t="s">
        <v>5</v>
      </c>
      <c r="CC63" s="193" t="s">
        <v>6</v>
      </c>
      <c r="CD63" s="194" t="s">
        <v>8</v>
      </c>
      <c r="CE63" s="65"/>
      <c r="CF63" s="195" t="s">
        <v>5</v>
      </c>
      <c r="CG63" s="193" t="s">
        <v>6</v>
      </c>
      <c r="CH63" s="194" t="s">
        <v>8</v>
      </c>
      <c r="CI63" s="67"/>
      <c r="CJ63" s="192" t="s">
        <v>5</v>
      </c>
      <c r="CK63" s="193" t="s">
        <v>6</v>
      </c>
      <c r="CL63" s="194" t="s">
        <v>7</v>
      </c>
      <c r="CM63" s="196" t="s">
        <v>123</v>
      </c>
      <c r="CN63" s="255" t="s">
        <v>124</v>
      </c>
      <c r="CO63" s="256"/>
      <c r="CP63" s="255" t="s">
        <v>125</v>
      </c>
      <c r="CQ63" s="256"/>
      <c r="CR63" s="255" t="s">
        <v>126</v>
      </c>
      <c r="CS63" s="257"/>
      <c r="CT63" s="191"/>
      <c r="DK63" s="191"/>
      <c r="DL63" s="162" t="str">
        <f>CONCATENATE($DM$2,$DN$2)</f>
        <v xml:space="preserve">   "",</v>
      </c>
      <c r="DM63" s="146"/>
      <c r="DN63" s="146"/>
    </row>
    <row r="64" spans="1:118" ht="15" customHeight="1" x14ac:dyDescent="0.2">
      <c r="CB64" s="197">
        <f ca="1">IF(CC64="","",OFFSET($M$28,$G$58,0))</f>
        <v>1</v>
      </c>
      <c r="CC64" s="171" t="str">
        <f ca="1">IF(OR($L$2="",$L$2=0,CD64=""),"",$L$2)</f>
        <v>CK</v>
      </c>
      <c r="CD64" s="172">
        <f ca="1">OFFSET($N$28,$G$58,0)</f>
        <v>78</v>
      </c>
      <c r="CE64" s="173"/>
      <c r="CF64" s="198">
        <f t="shared" ref="CF64:CF75" si="0">IF(CH64="","",RANK(CH64,CH$64:CH$75,1))</f>
        <v>1</v>
      </c>
      <c r="CG64" s="171" t="str">
        <f>IF(OR($P$2="",$P$2=0,CH64=""),"",$P$2)</f>
        <v>CP</v>
      </c>
      <c r="CH64" s="172">
        <f>$R$28</f>
        <v>134</v>
      </c>
      <c r="CI64" s="68"/>
      <c r="CJ64" s="199">
        <f t="shared" ref="CJ64:CJ75" si="1">IF(CK64="","",RANK(CL64,CL$64:CL$75,0))</f>
        <v>1</v>
      </c>
      <c r="CK64" s="179" t="str">
        <f>IF(OR($P$2="",$P$2=0),"",$P$2)</f>
        <v>CP</v>
      </c>
      <c r="CL64" s="200">
        <f t="shared" ref="CL64:CL75" si="2">IF(OR(CK64="",CK64=0),"",SUM(CM64,CO64,CQ64,CS64))</f>
        <v>65</v>
      </c>
      <c r="CM64" s="201">
        <f t="shared" ref="CM64:CM75" si="3">IF(CK64="","",-$BO$3)</f>
        <v>-10</v>
      </c>
      <c r="CN64" s="202">
        <f>IF(IF($BO$41&gt;0,COUNTIF($Q$10,1),0)+IF($BO$41&gt;1,COUNTIF($Q$17,1),0)+IF($BO$41&gt;2,COUNTIF($Q$22,1),0)+IF($BO$41&gt;3,COUNTIF($Q$26,1),0)&gt;0,IF($BO$41&gt;0,COUNTIF($Q$10,1),0)+IF($BO$41&gt;1,COUNTIF($Q$17,1),0)+IF($BO$41&gt;2,COUNTIF($Q$22,1),0)+IF($BO$41&gt;3,COUNTIF($Q$26,1),0),"")</f>
        <v>2</v>
      </c>
      <c r="CO64" s="203">
        <f>IF(CN64="","",IF(AND($BO$41&gt;0,$Q$10=1),$BO$5/$BO$10,0)+IF(AND($BO$41&gt;1,$Q$17=1),$BO$5/$BO$17,0)+IF(AND($BO$41&gt;2,$Q$22=1),$BO$5/$BO$22,0)+IF(AND($BO$41&gt;3,$Q$26=1),$BO$5/$BO$26,0))</f>
        <v>15</v>
      </c>
      <c r="CP64" s="204" t="str">
        <f>IF($Q$28=1,"✓","")</f>
        <v>✓</v>
      </c>
      <c r="CQ64" s="203">
        <f t="shared" ref="CQ64:CQ75" si="4">IF(CP64="✓",IF($BO$28&gt;1,($BO$6+$BO$7)/$BO$28,$BO$6/$BO$28),"")</f>
        <v>60</v>
      </c>
      <c r="CR64" s="205" t="str">
        <f>IF($Q$28=2,"✓","")</f>
        <v/>
      </c>
      <c r="CS64" s="206" t="str">
        <f t="shared" ref="CS64:CS75" si="5">IF(CR64="✓",$BO$7/$BP$28,"")</f>
        <v/>
      </c>
      <c r="CT64" s="191"/>
      <c r="DK64" s="191"/>
      <c r="DL64" s="162" t="str">
        <f>CONCATENATE($DM$2,$DN$2)</f>
        <v xml:space="preserve">   "",</v>
      </c>
      <c r="DM64" s="146"/>
      <c r="DN64" s="146"/>
    </row>
    <row r="65" spans="80:118" ht="15" customHeight="1" x14ac:dyDescent="0.2">
      <c r="CB65" s="207">
        <f ca="1">IF(CC65="","",OFFSET($Q$28,$G$58,0))</f>
        <v>2</v>
      </c>
      <c r="CC65" s="174" t="str">
        <f ca="1">IF(OR($P$2="",$P$2=0,CD65=""),"",$P$2)</f>
        <v>CP</v>
      </c>
      <c r="CD65" s="175">
        <f ca="1">OFFSET($R$28,$G$58,0)</f>
        <v>82</v>
      </c>
      <c r="CE65" s="176"/>
      <c r="CF65" s="208">
        <f t="shared" si="0"/>
        <v>2</v>
      </c>
      <c r="CG65" s="174" t="str">
        <f>IF(OR($AR$2="",$AR$2=0,CH65=""),"",$AR$2)</f>
        <v>KC</v>
      </c>
      <c r="CH65" s="175">
        <f>$AT$28</f>
        <v>152</v>
      </c>
      <c r="CI65" s="68"/>
      <c r="CJ65" s="209">
        <f t="shared" si="1"/>
        <v>2</v>
      </c>
      <c r="CK65" s="174" t="str">
        <f>IF(OR($AR$2="",$AR$2=0),"",$AR$2)</f>
        <v>KC</v>
      </c>
      <c r="CL65" s="210">
        <f t="shared" si="2"/>
        <v>15</v>
      </c>
      <c r="CM65" s="211">
        <f t="shared" si="3"/>
        <v>-10</v>
      </c>
      <c r="CN65" s="212">
        <f>IF(IF($BO$41&gt;0,COUNTIF($AS$10,1),0)+IF($BO$41&gt;1,COUNTIF($AS$17,1),0)+IF($BO$41&gt;2,COUNTIF($AS$22,1),0)+IF($BO$41&gt;3,COUNTIF($AS$26,1),0)&gt;0,IF($BO$41&gt;0,COUNTIF($AS$10,1),0)+IF($BO$41&gt;1,COUNTIF($AS$17,1),0)+IF($BO$41&gt;2,COUNTIF($AS$22,1),0)+IF($BO$41&gt;3,COUNTIF($AS$26,1),0),"")</f>
        <v>1</v>
      </c>
      <c r="CO65" s="213">
        <f>IF(CN65="","",IF(AND($BO$41&gt;0,$AS$10=1),$BO$5/$BO$10,0)+IF(AND($BO$41&gt;1,$AS$17=1),$BO$5/$BO$17,0)+IF(AND($BO$41&gt;2,$AS$22=1),$BO$5/$BO$22,0)+IF(AND($BO$41&gt;3,$AS$26=1),$BO$5/$BO$26,0))</f>
        <v>5</v>
      </c>
      <c r="CP65" s="214" t="str">
        <f>IF($AS$28=1,"✓","")</f>
        <v/>
      </c>
      <c r="CQ65" s="213" t="str">
        <f t="shared" si="4"/>
        <v/>
      </c>
      <c r="CR65" s="215" t="str">
        <f>IF($AS$28=2,"✓","")</f>
        <v>✓</v>
      </c>
      <c r="CS65" s="216">
        <f t="shared" si="5"/>
        <v>20</v>
      </c>
      <c r="CT65" s="191"/>
      <c r="DK65" s="191"/>
      <c r="DL65" s="161" t="str">
        <f>CONCATENATE($DM$2,$I$9,$DN$2)</f>
        <v xml:space="preserve">   "47",</v>
      </c>
      <c r="DM65" s="121"/>
      <c r="DN65" s="121"/>
    </row>
    <row r="66" spans="80:118" ht="15" customHeight="1" x14ac:dyDescent="0.2">
      <c r="CB66" s="207">
        <f ca="1">IF(CC66="","",OFFSET($Y$28,$G$58,0))</f>
        <v>3</v>
      </c>
      <c r="CC66" s="174" t="str">
        <f ca="1">IF(OR($X$2="",$X$2=0,CD66=""),"",$X$2)</f>
        <v>DH</v>
      </c>
      <c r="CD66" s="175">
        <f ca="1">OFFSET($Z$28,$G$58,0)</f>
        <v>86</v>
      </c>
      <c r="CE66" s="176"/>
      <c r="CF66" s="208">
        <f t="shared" si="0"/>
        <v>3</v>
      </c>
      <c r="CG66" s="174" t="str">
        <f>IF(OR($X$2="",$X$2=0,CH66=""),"",$X$2)</f>
        <v>DH</v>
      </c>
      <c r="CH66" s="175">
        <f>$Z$28</f>
        <v>166</v>
      </c>
      <c r="CI66" s="68"/>
      <c r="CJ66" s="209">
        <f t="shared" si="1"/>
        <v>3</v>
      </c>
      <c r="CK66" s="174" t="str">
        <f>IF(OR($L$2="",$L$2=0),"",$L$2)</f>
        <v>CK</v>
      </c>
      <c r="CL66" s="210">
        <f t="shared" si="2"/>
        <v>0</v>
      </c>
      <c r="CM66" s="211">
        <f t="shared" si="3"/>
        <v>-10</v>
      </c>
      <c r="CN66" s="212">
        <f>IF(IF($BO$41&gt;0,COUNTIF($M$10,1),0)+IF($BO$41&gt;1,COUNTIF($M$17,1),0)+IF($BO$41&gt;2,COUNTIF($M$22,1),0)+IF($BO$41&gt;3,COUNTIF($M$26,1),0)&gt;0,IF($BO$41&gt;0,COUNTIF($M$10,1),0)+IF($BO$41&gt;1,COUNTIF($M$17,1),0)+IF($BO$41&gt;2,COUNTIF($M$22,1),0)+IF($BO$41&gt;3,COUNTIF($M$26,1),0),"")</f>
        <v>1</v>
      </c>
      <c r="CO66" s="213">
        <f>IF(CN66="","",IF(AND($BO$41&gt;0,$M$10=1),$BO$5/$BO$10,0)+IF(AND($BO$41&gt;1,$M$17=1),$BO$5/$BO$17,0)+IF(AND($BO$41&gt;2,$M$22=1),$BO$5/$BO$22,0)+IF(AND($BO$41&gt;3,$M$26=1),$BO$5/$BO$26,0))</f>
        <v>10</v>
      </c>
      <c r="CP66" s="214" t="str">
        <f>IF($M$28=1,"✓","")</f>
        <v/>
      </c>
      <c r="CQ66" s="213" t="str">
        <f t="shared" si="4"/>
        <v/>
      </c>
      <c r="CR66" s="215" t="str">
        <f>IF($M$28=2,"✓","")</f>
        <v/>
      </c>
      <c r="CS66" s="216" t="str">
        <f t="shared" si="5"/>
        <v/>
      </c>
      <c r="CT66" s="191"/>
      <c r="DK66" s="191"/>
      <c r="DL66" s="162" t="str">
        <f>CONCATENATE($DM$2,$DN$2)</f>
        <v xml:space="preserve">   "",</v>
      </c>
      <c r="DM66" s="121"/>
      <c r="DN66" s="121"/>
    </row>
    <row r="67" spans="80:118" ht="15" customHeight="1" x14ac:dyDescent="0.2">
      <c r="CB67" s="207">
        <f ca="1">IF(CC67="","",OFFSET($AS$28,$G$58,0))</f>
        <v>3</v>
      </c>
      <c r="CC67" s="174" t="str">
        <f ca="1">IF(OR($AR$2="",$AR$2=0,CD67=""),"",$AR$2)</f>
        <v>KC</v>
      </c>
      <c r="CD67" s="175">
        <f ca="1">OFFSET($AT$28,$G$58,0)</f>
        <v>86</v>
      </c>
      <c r="CE67" s="176"/>
      <c r="CF67" s="208">
        <f t="shared" si="0"/>
        <v>4</v>
      </c>
      <c r="CG67" s="174" t="str">
        <f>IF(OR($AJ$2="",$AJ$2=0,CH67=""),"",$AJ$2)</f>
        <v>JH</v>
      </c>
      <c r="CH67" s="175">
        <f>$AL$28</f>
        <v>177</v>
      </c>
      <c r="CI67" s="68"/>
      <c r="CJ67" s="209">
        <f t="shared" si="1"/>
        <v>4</v>
      </c>
      <c r="CK67" s="174" t="str">
        <f>IF(OR($H$2="",$H$2=0),"",$H$2)</f>
        <v>BM</v>
      </c>
      <c r="CL67" s="210">
        <f t="shared" si="2"/>
        <v>-10</v>
      </c>
      <c r="CM67" s="211">
        <f t="shared" si="3"/>
        <v>-10</v>
      </c>
      <c r="CN67" s="212" t="str">
        <f>IF(IF($BO$41&gt;0,COUNTIF($I$10,1),0)+IF($BO$41&gt;1,COUNTIF($I$17,1),0)+IF($BO$41&gt;2,COUNTIF($I$22,1),0)+IF($BO$41&gt;3,COUNTIF($I$26,1),0)&gt;0,IF($BO$41&gt;0,COUNTIF($I$10,1),0)+IF($BO$41&gt;1,COUNTIF($I$17,1),0)+IF($BO$41&gt;2,COUNTIF($I$22,1),0)+IF($BO$41&gt;3,COUNTIF($I$26,1),0),"")</f>
        <v/>
      </c>
      <c r="CO67" s="213" t="str">
        <f>IF(CN67="","",IF(AND($BO$41&gt;0,$I$10=1),$BO$5/$BO$10,0)+IF(AND($BO$41&gt;1,$I$17=1),$BO$5/$BO$17,0)+IF(AND($BO$41&gt;2,$I$22=1),$BO$5/$BO$22,0)+IF(AND($BO$41&gt;3,$I$26=1),$BO$5/$BO$26,0))</f>
        <v/>
      </c>
      <c r="CP67" s="214" t="str">
        <f>IF($I$28=1,"✓","")</f>
        <v/>
      </c>
      <c r="CQ67" s="213" t="str">
        <f t="shared" si="4"/>
        <v/>
      </c>
      <c r="CR67" s="215" t="str">
        <f>IF($I$28=2,"✓","")</f>
        <v/>
      </c>
      <c r="CS67" s="216" t="str">
        <f t="shared" si="5"/>
        <v/>
      </c>
      <c r="CT67" s="191"/>
      <c r="DK67" s="191"/>
      <c r="DL67" s="162" t="str">
        <f>CONCATENATE($DM$2,$DN$2)</f>
        <v xml:space="preserve">   "",</v>
      </c>
      <c r="DM67" s="121"/>
      <c r="DN67" s="121"/>
    </row>
    <row r="68" spans="80:118" ht="15" customHeight="1" x14ac:dyDescent="0.2">
      <c r="CB68" s="207">
        <f ca="1">IF(CC68="","",OFFSET($AO$28,$G$58,0))</f>
        <v>5</v>
      </c>
      <c r="CC68" s="174" t="str">
        <f ca="1">IF(OR($AN$2="",$AN$2=0,CD68=""),"",$AN$2)</f>
        <v>JL</v>
      </c>
      <c r="CD68" s="175">
        <f ca="1">OFFSET($AP$28,$G$58,0)</f>
        <v>90</v>
      </c>
      <c r="CE68" s="176"/>
      <c r="CF68" s="208">
        <f t="shared" si="0"/>
        <v>4</v>
      </c>
      <c r="CG68" s="174" t="str">
        <f>IF(OR($AN$2="",$AN$2=0,CH68=""),"",$AN$2)</f>
        <v>JL</v>
      </c>
      <c r="CH68" s="175">
        <f>$AP$28</f>
        <v>177</v>
      </c>
      <c r="CI68" s="68"/>
      <c r="CJ68" s="209">
        <f t="shared" si="1"/>
        <v>4</v>
      </c>
      <c r="CK68" s="174" t="str">
        <f>IF(OR($T$2="",$T$2=0),"",$T$2)</f>
        <v>DC</v>
      </c>
      <c r="CL68" s="210">
        <f t="shared" si="2"/>
        <v>-10</v>
      </c>
      <c r="CM68" s="211">
        <f t="shared" si="3"/>
        <v>-10</v>
      </c>
      <c r="CN68" s="212" t="str">
        <f>IF(IF($BO$41&gt;0,COUNTIF($U$10,1),0)+IF($BO$41&gt;1,COUNTIF($U$17,1),0)+IF($BO$41&gt;2,COUNTIF($U$22,1),0)+IF($BO$41&gt;3,COUNTIF($U$26,1),0)&gt;0,IF($BO$41&gt;0,COUNTIF($U$10,1),0)+IF($BO$41&gt;1,COUNTIF($U$17,1),0)+IF($BO$41&gt;2,COUNTIF($U$22,1),0)+IF($BO$41&gt;3,COUNTIF($U$26,1),0),"")</f>
        <v/>
      </c>
      <c r="CO68" s="213" t="str">
        <f>IF(CN68="","",IF(AND($BO$41&gt;0,$U$10=1),$BO$5/$BO$10,0)+IF(AND($BO$41&gt;1,$U$17=1),$BO$5/$BO$17,0)+IF(AND($BO$41&gt;2,$U$22=1),$BO$5/$BO$22,0)+IF(AND($BO$41&gt;3,$U$26=1),$BO$5/$BO$26,0))</f>
        <v/>
      </c>
      <c r="CP68" s="214" t="str">
        <f>IF($U$28=1,"✓","")</f>
        <v/>
      </c>
      <c r="CQ68" s="213" t="str">
        <f t="shared" si="4"/>
        <v/>
      </c>
      <c r="CR68" s="215" t="str">
        <f>IF($U$28=2,"✓","")</f>
        <v/>
      </c>
      <c r="CS68" s="216" t="str">
        <f t="shared" si="5"/>
        <v/>
      </c>
      <c r="CT68" s="191"/>
      <c r="DK68" s="191"/>
      <c r="DL68" s="162" t="str">
        <f>CONCATENATE($DM$2,$DN$2)</f>
        <v xml:space="preserve">   "",</v>
      </c>
      <c r="DM68" s="121"/>
      <c r="DN68" s="121"/>
    </row>
    <row r="69" spans="80:118" ht="15" customHeight="1" x14ac:dyDescent="0.2">
      <c r="CB69" s="207">
        <f ca="1">IF(CC69="","",OFFSET($AK$28,$G$58,0))</f>
        <v>6</v>
      </c>
      <c r="CC69" s="174" t="str">
        <f ca="1">IF(OR($AJ$2="",$AJ$2=0,CD69=""),"",$AJ$2)</f>
        <v>JH</v>
      </c>
      <c r="CD69" s="175">
        <f ca="1">OFFSET($AL$28,$G$58,0)</f>
        <v>96</v>
      </c>
      <c r="CE69" s="176"/>
      <c r="CF69" s="208">
        <f t="shared" si="0"/>
        <v>6</v>
      </c>
      <c r="CG69" s="174" t="str">
        <f>IF(OR($L$2="",$L$2=0,CH69=""),"",$L$2)</f>
        <v>CK</v>
      </c>
      <c r="CH69" s="175">
        <f>$N$28</f>
        <v>181</v>
      </c>
      <c r="CI69" s="68"/>
      <c r="CJ69" s="209">
        <f t="shared" si="1"/>
        <v>4</v>
      </c>
      <c r="CK69" s="174" t="str">
        <f>IF(OR($X$2="",$X$2=0),"",$X$2)</f>
        <v>DH</v>
      </c>
      <c r="CL69" s="210">
        <f t="shared" si="2"/>
        <v>-10</v>
      </c>
      <c r="CM69" s="211">
        <f t="shared" si="3"/>
        <v>-10</v>
      </c>
      <c r="CN69" s="212" t="str">
        <f>IF(IF($BO$41&gt;0,COUNTIF($Y$10,1),0)+IF($BO$41&gt;1,COUNTIF($Y$17,1),0)+IF($BO$41&gt;2,COUNTIF($Y$22,1),0)+IF($BO$41&gt;3,COUNTIF($Y$26,1),0)&gt;0,IF($BO$41&gt;0,COUNTIF($Y$10,1),0)+IF($BO$41&gt;1,COUNTIF($Y$17,1),0)+IF($BO$41&gt;2,COUNTIF($Y$22,1),0)+IF($BO$41&gt;3,COUNTIF($Y$26,1),0),"")</f>
        <v/>
      </c>
      <c r="CO69" s="213" t="str">
        <f>IF(CN69="","",IF(AND($BO$41&gt;0,$Y$10=1),$BO$5/$BO$10,0)+IF(AND($BO$41&gt;1,$Y$17=1),$BO$5/$BO$17,0)+IF(AND($BO$41&gt;2,$Y$22=1),$BO$5/$BO$22,0)+IF(AND($BO$41&gt;3,$Y$26=1),$BO$5/$BO$26,0))</f>
        <v/>
      </c>
      <c r="CP69" s="214" t="str">
        <f>IF($Y$28=1,"✓","")</f>
        <v/>
      </c>
      <c r="CQ69" s="213" t="str">
        <f t="shared" si="4"/>
        <v/>
      </c>
      <c r="CR69" s="215" t="str">
        <f>IF($Y$28=2,"✓","")</f>
        <v/>
      </c>
      <c r="CS69" s="216" t="str">
        <f t="shared" si="5"/>
        <v/>
      </c>
      <c r="CT69" s="191"/>
      <c r="DK69" s="191"/>
      <c r="DL69" s="161" t="str">
        <f>CONCATENATE($DM$2,$I$16,$DN$2)</f>
        <v xml:space="preserve">   "40",</v>
      </c>
      <c r="DM69" s="121"/>
      <c r="DN69" s="121"/>
    </row>
    <row r="70" spans="80:118" ht="15" customHeight="1" x14ac:dyDescent="0.2">
      <c r="CB70" s="207">
        <f ca="1">IF(CC70="","",OFFSET($U$28,$G$58,0))</f>
        <v>7</v>
      </c>
      <c r="CC70" s="174" t="str">
        <f ca="1">IF(OR($T$2="",$T$2=0,CD70=""),"",$T$2)</f>
        <v>DC</v>
      </c>
      <c r="CD70" s="175">
        <f ca="1">OFFSET($V$28,$G$58,0)</f>
        <v>98</v>
      </c>
      <c r="CE70" s="176"/>
      <c r="CF70" s="208">
        <f t="shared" si="0"/>
        <v>7</v>
      </c>
      <c r="CG70" s="174" t="str">
        <f>IF(OR($T$2="",$T$2=0,CH70=""),"",$T$2)</f>
        <v>DC</v>
      </c>
      <c r="CH70" s="175">
        <f>$V$28</f>
        <v>188</v>
      </c>
      <c r="CI70" s="68"/>
      <c r="CJ70" s="209">
        <f t="shared" si="1"/>
        <v>4</v>
      </c>
      <c r="CK70" s="174" t="str">
        <f>IF(OR($AB$2="",$AB$2=0),"",$AB$2)</f>
        <v>GP</v>
      </c>
      <c r="CL70" s="210">
        <f t="shared" si="2"/>
        <v>-10</v>
      </c>
      <c r="CM70" s="211">
        <f t="shared" si="3"/>
        <v>-10</v>
      </c>
      <c r="CN70" s="212" t="str">
        <f>IF(IF($BO$41&gt;0,COUNTIF($AC$10,1),0)+IF($BO$41&gt;1,COUNTIF($AC$17,1),0)+IF($BO$41&gt;2,COUNTIF($AC$22,1),0)+IF($BO$41&gt;3,COUNTIF($AC$26,1),0)&gt;0,IF($BO$41&gt;0,COUNTIF($AC$10,1),0)+IF($BO$41&gt;1,COUNTIF($AC$17,1),0)+IF($BO$41&gt;2,COUNTIF($AC$22,1),0)+IF($BO$41&gt;3,COUNTIF($AC$26,1),0),"")</f>
        <v/>
      </c>
      <c r="CO70" s="213" t="str">
        <f>IF(CN70="","",IF(AND($BO$41&gt;0,$AC$10=1),$BO$5/$BO$10,0)+IF(AND($BO$41&gt;1,$AC$17=1),$BO$5/$BO$17,0)+IF(AND($BO$41&gt;2,$AC$22=1),$BO$5/$BO$22,0)+IF(AND($BO$41&gt;3,$AC$26=1),$BO$5/$BO$26,0))</f>
        <v/>
      </c>
      <c r="CP70" s="214" t="str">
        <f>IF($AC$28=1,"✓","")</f>
        <v/>
      </c>
      <c r="CQ70" s="213" t="str">
        <f t="shared" si="4"/>
        <v/>
      </c>
      <c r="CR70" s="215" t="str">
        <f>IF($AC$28=2,"✓","")</f>
        <v/>
      </c>
      <c r="CS70" s="216" t="str">
        <f t="shared" si="5"/>
        <v/>
      </c>
      <c r="CT70" s="191"/>
      <c r="DK70" s="191"/>
      <c r="DL70" s="162" t="str">
        <f>CONCATENATE($DM$2,$DN$2)</f>
        <v xml:space="preserve">   "",</v>
      </c>
      <c r="DM70" s="121"/>
      <c r="DN70" s="121"/>
    </row>
    <row r="71" spans="80:118" ht="15" customHeight="1" x14ac:dyDescent="0.2">
      <c r="CB71" s="207">
        <f ca="1">IF(CC71="","",OFFSET($AW$28,$G$58,0))</f>
        <v>8</v>
      </c>
      <c r="CC71" s="174" t="str">
        <f ca="1">IF(OR($AV$2="",$AV$2=0,CD71=""),"",$AV$2)</f>
        <v>KK</v>
      </c>
      <c r="CD71" s="175">
        <f ca="1">OFFSET($AX$28,$G$58,0)</f>
        <v>100</v>
      </c>
      <c r="CE71" s="176"/>
      <c r="CF71" s="208">
        <f t="shared" si="0"/>
        <v>8</v>
      </c>
      <c r="CG71" s="174" t="str">
        <f>IF(OR($AZ$2="",$AZ$2=0,CH71=""),"",$AZ$2)</f>
        <v>RR</v>
      </c>
      <c r="CH71" s="175">
        <f>$BB$28</f>
        <v>200</v>
      </c>
      <c r="CI71" s="68"/>
      <c r="CJ71" s="209">
        <f t="shared" si="1"/>
        <v>4</v>
      </c>
      <c r="CK71" s="174" t="str">
        <f>IF(OR($AF$2="",$AF$2=0),"",$AF$2)</f>
        <v>JG</v>
      </c>
      <c r="CL71" s="210">
        <f t="shared" si="2"/>
        <v>-10</v>
      </c>
      <c r="CM71" s="211">
        <f t="shared" si="3"/>
        <v>-10</v>
      </c>
      <c r="CN71" s="212" t="str">
        <f>IF(IF($BO$41&gt;0,COUNTIF($AG$10,1),0)+IF($BO$41&gt;1,COUNTIF($AG$17,1),0)+IF($BO$41&gt;2,COUNTIF($AG$22,1),0)+IF($BO$41&gt;3,COUNTIF($AG$26,1),0)&gt;0,IF($BO$41&gt;0,COUNTIF($AG$10,1),0)+IF($BO$41&gt;1,COUNTIF($AG$17,1),0)+IF($BO$41&gt;2,COUNTIF($AG$22,1),0)+IF($BO$41&gt;3,COUNTIF($AG$26,1),0),"")</f>
        <v/>
      </c>
      <c r="CO71" s="213" t="str">
        <f>IF(CN71="","",IF(AND($BO$41&gt;0,$AG$10=1),$BO$5/$BO$10,0)+IF(AND($BO$41&gt;1,$AG$17=1),$BO$5/$BO$17,0)+IF(AND($BO$41&gt;2,$AG$22=1),$BO$5/$BO$22,0)+IF(AND($BO$41&gt;3,$AG$26=1),$BO$5/$BO$26,0))</f>
        <v/>
      </c>
      <c r="CP71" s="214" t="str">
        <f>IF($AG$28=1,"✓","")</f>
        <v/>
      </c>
      <c r="CQ71" s="213" t="str">
        <f t="shared" si="4"/>
        <v/>
      </c>
      <c r="CR71" s="215" t="str">
        <f>IF($AG$28=2,"✓","")</f>
        <v/>
      </c>
      <c r="CS71" s="216" t="str">
        <f t="shared" si="5"/>
        <v/>
      </c>
      <c r="CT71" s="191"/>
      <c r="DK71" s="191"/>
      <c r="DL71" s="161" t="str">
        <f>CONCATENATE($DM$2,$I$21,$DN$2)</f>
        <v xml:space="preserve">   "54",</v>
      </c>
      <c r="DM71" s="121"/>
      <c r="DN71" s="121"/>
    </row>
    <row r="72" spans="80:118" ht="15" customHeight="1" x14ac:dyDescent="0.2">
      <c r="CB72" s="207">
        <f ca="1">IF(CC72="","",OFFSET($BA$28,$G$58,0))</f>
        <v>9</v>
      </c>
      <c r="CC72" s="174" t="str">
        <f ca="1">IF(OR($AZ$2="",$AZ$2=0,CD72=""),"",$AZ$2)</f>
        <v>RR</v>
      </c>
      <c r="CD72" s="175">
        <f ca="1">OFFSET($BB$28,$G$58,0)</f>
        <v>116</v>
      </c>
      <c r="CE72" s="176"/>
      <c r="CF72" s="208">
        <f t="shared" si="0"/>
        <v>9</v>
      </c>
      <c r="CG72" s="174" t="str">
        <f>IF(OR($AV$2="",$AV$2=0,CH72=""),"",$AV$2)</f>
        <v>KK</v>
      </c>
      <c r="CH72" s="175">
        <f>$AX$28</f>
        <v>213</v>
      </c>
      <c r="CI72" s="68"/>
      <c r="CJ72" s="209">
        <f t="shared" si="1"/>
        <v>4</v>
      </c>
      <c r="CK72" s="174" t="str">
        <f>IF(OR($AJ$2="",$AJ$2=0),"",$AJ$2)</f>
        <v>JH</v>
      </c>
      <c r="CL72" s="210">
        <f t="shared" si="2"/>
        <v>-10</v>
      </c>
      <c r="CM72" s="211">
        <f t="shared" si="3"/>
        <v>-10</v>
      </c>
      <c r="CN72" s="212" t="str">
        <f>IF(IF($BO$41&gt;0,COUNTIF($AK$10,1),0)+IF($BO$41&gt;1,COUNTIF($AK$17,1),0)+IF($BO$41&gt;2,COUNTIF($AK$22,1),0)+IF($BO$41&gt;3,COUNTIF($AK$26,1),0)&gt;0,IF($BO$41&gt;0,COUNTIF($AK$10,1),0)+IF($BO$41&gt;1,COUNTIF($AK$17,1),0)+IF($BO$41&gt;2,COUNTIF($AK$22,1),0)+IF($BO$41&gt;3,COUNTIF($AK$26,1),0),"")</f>
        <v/>
      </c>
      <c r="CO72" s="213" t="str">
        <f>IF(CN72="","",IF(AND($BO$41&gt;0,$AK$10=1),$BO$5/$BO$10,0)+IF(AND($BO$41&gt;1,$AK$17=1),$BO$5/$BO$17,0)+IF(AND($BO$41&gt;2,$AK$22=1),$BO$5/$BO$22,0)+IF(AND($BO$41&gt;3,$AK$26=1),$BO$5/$BO$26,0))</f>
        <v/>
      </c>
      <c r="CP72" s="214" t="str">
        <f>IF($AK$28=1,"✓","")</f>
        <v/>
      </c>
      <c r="CQ72" s="213" t="str">
        <f t="shared" si="4"/>
        <v/>
      </c>
      <c r="CR72" s="215" t="str">
        <f>IF($AK$28=2,"✓","")</f>
        <v/>
      </c>
      <c r="CS72" s="216" t="str">
        <f t="shared" si="5"/>
        <v/>
      </c>
      <c r="CT72" s="191"/>
      <c r="DK72" s="191"/>
      <c r="DL72" s="161" t="str">
        <f>CONCATENATE($DM$2,$I$25,$DN$3)</f>
        <v xml:space="preserve">   "47"</v>
      </c>
      <c r="DM72" s="121"/>
      <c r="DN72" s="121"/>
    </row>
    <row r="73" spans="80:118" ht="15" customHeight="1" x14ac:dyDescent="0.2">
      <c r="CB73" s="207">
        <f ca="1">IF(CC73="","",OFFSET($AG$28,$G$58,0))</f>
        <v>10</v>
      </c>
      <c r="CC73" s="174" t="str">
        <f ca="1">IF(OR($AF$2="",$AF$2=0,CD73=""),"",$AF$2)</f>
        <v>JG</v>
      </c>
      <c r="CD73" s="175">
        <f ca="1">OFFSET($AH$28,$G$58,0)</f>
        <v>134</v>
      </c>
      <c r="CE73" s="176"/>
      <c r="CF73" s="208">
        <f t="shared" si="0"/>
        <v>10</v>
      </c>
      <c r="CG73" s="174" t="str">
        <f>IF(OR($H$2="",$H$2=0,CH73=""),"",$H$2)</f>
        <v>BM</v>
      </c>
      <c r="CH73" s="175">
        <f>$J$28</f>
        <v>235</v>
      </c>
      <c r="CI73" s="68"/>
      <c r="CJ73" s="209">
        <f t="shared" si="1"/>
        <v>4</v>
      </c>
      <c r="CK73" s="174" t="str">
        <f>IF(OR($AN$2="",$AN$2=0),"",$AN$2)</f>
        <v>JL</v>
      </c>
      <c r="CL73" s="210">
        <f t="shared" si="2"/>
        <v>-10</v>
      </c>
      <c r="CM73" s="211">
        <f t="shared" si="3"/>
        <v>-10</v>
      </c>
      <c r="CN73" s="212" t="str">
        <f>IF(IF($BO$41&gt;0,COUNTIF($AO$10,1),0)+IF($BO$41&gt;1,COUNTIF($AO$17,1),0)+IF($BO$41&gt;2,COUNTIF($AO$22,1),0)+IF($BO$41&gt;3,COUNTIF($AO$26,1),0)&gt;0,IF($BO$41&gt;0,COUNTIF($AO$10,1),0)+IF($BO$41&gt;1,COUNTIF($AO$17,1),0)+IF($BO$41&gt;2,COUNTIF($AO$22,1),0)+IF($BO$41&gt;3,COUNTIF($AO$26,1),0),"")</f>
        <v/>
      </c>
      <c r="CO73" s="213" t="str">
        <f>IF(CN73="","",IF(AND($BO$41&gt;0,$AO$10=1),$BO$5/$BO$10,0)+IF(AND($BO$41&gt;1,$AO$17=1),$BO$5/$BO$17,0)+IF(AND($BO$41&gt;2,$AO$22=1),$BO$5/$BO$22,0)+IF(AND($BO$41&gt;3,$AO$26=1),$BO$5/$BO$26,0))</f>
        <v/>
      </c>
      <c r="CP73" s="214" t="str">
        <f>IF($AO$28=1,"✓","")</f>
        <v/>
      </c>
      <c r="CQ73" s="213" t="str">
        <f t="shared" si="4"/>
        <v/>
      </c>
      <c r="CR73" s="215" t="str">
        <f>IF($AO$28=2,"✓","")</f>
        <v/>
      </c>
      <c r="CS73" s="216" t="str">
        <f t="shared" si="5"/>
        <v/>
      </c>
      <c r="CT73" s="191"/>
      <c r="DK73" s="191"/>
      <c r="DL73" s="161" t="s">
        <v>31</v>
      </c>
      <c r="DM73" s="121"/>
      <c r="DN73" s="121"/>
    </row>
    <row r="74" spans="80:118" ht="15" customHeight="1" x14ac:dyDescent="0.2">
      <c r="CB74" s="207">
        <f ca="1">IF(CC74="","",OFFSET($AC$28,$G$58,0))</f>
        <v>11</v>
      </c>
      <c r="CC74" s="174" t="str">
        <f ca="1">IF(OR($AB$2="",$AB$2=0,CD74=""),"",$AB$2)</f>
        <v>GP</v>
      </c>
      <c r="CD74" s="175">
        <f ca="1">OFFSET($AD$28,$G$58,0)</f>
        <v>140</v>
      </c>
      <c r="CE74" s="176"/>
      <c r="CF74" s="208">
        <f t="shared" si="0"/>
        <v>11</v>
      </c>
      <c r="CG74" s="174" t="str">
        <f>IF(OR($AB$2="",$AB$2=0,CH74=""),"",$AB$2)</f>
        <v>GP</v>
      </c>
      <c r="CH74" s="175">
        <f>$AD$28</f>
        <v>264</v>
      </c>
      <c r="CI74" s="68"/>
      <c r="CJ74" s="209">
        <f t="shared" si="1"/>
        <v>4</v>
      </c>
      <c r="CK74" s="174" t="str">
        <f>IF(OR($AV$2="",$AV$2=0),"",$AV$2)</f>
        <v>KK</v>
      </c>
      <c r="CL74" s="210">
        <f t="shared" si="2"/>
        <v>-10</v>
      </c>
      <c r="CM74" s="211">
        <f t="shared" si="3"/>
        <v>-10</v>
      </c>
      <c r="CN74" s="212" t="str">
        <f>IF(IF($BO$41&gt;0,COUNTIF($AW$10,1),0)+IF($BO$41&gt;1,COUNTIF($AW$17,1),0)+IF($BO$41&gt;2,COUNTIF($AW$22,1),0)+IF($BO$41&gt;3,COUNTIF($AW$26,1),0)&gt;0,IF($BO$41&gt;0,COUNTIF($AW$10,1),0)+IF($BO$41&gt;1,COUNTIF($AW$17,1),0)+IF($BO$41&gt;2,COUNTIF($AW$22,1),0)+IF($BO$41&gt;3,COUNTIF($AW$26,1),0),"")</f>
        <v/>
      </c>
      <c r="CO74" s="213" t="str">
        <f>IF(CN74="","",IF(AND($BO$41&gt;0,$AW$10=1),$BO$5/$BO$10,0)+IF(AND($BO$41&gt;1,$AW$17=1),$BO$5/$BO$17,0)+IF(AND($BO$41&gt;2,$AW$22=1),$BO$5/$BO$22,0)+IF(AND($BO$41&gt;3,$AW$26=1),$BO$5/$BO$26,0))</f>
        <v/>
      </c>
      <c r="CP74" s="214" t="str">
        <f>IF($AW$28=1,"✓","")</f>
        <v/>
      </c>
      <c r="CQ74" s="213" t="str">
        <f t="shared" si="4"/>
        <v/>
      </c>
      <c r="CR74" s="215" t="str">
        <f>IF($AW$28=2,"✓","")</f>
        <v/>
      </c>
      <c r="CS74" s="216" t="str">
        <f t="shared" si="5"/>
        <v/>
      </c>
      <c r="CT74" s="191"/>
      <c r="DK74" s="191"/>
      <c r="DL74" s="163"/>
      <c r="DM74" s="121"/>
      <c r="DN74" s="121"/>
    </row>
    <row r="75" spans="80:118" ht="15" customHeight="1" thickBot="1" x14ac:dyDescent="0.25">
      <c r="CB75" s="217">
        <f ca="1">IF(CC75="","",OFFSET($I$28,$G$58,0))</f>
        <v>12</v>
      </c>
      <c r="CC75" s="177" t="str">
        <f ca="1">IF(OR($H$2="",$H$2=0,CD75=""),"",$H$2)</f>
        <v>BM</v>
      </c>
      <c r="CD75" s="178">
        <f ca="1">OFFSET($J$28,$G$58,0)</f>
        <v>146</v>
      </c>
      <c r="CE75" s="176"/>
      <c r="CF75" s="218" t="str">
        <f t="shared" si="0"/>
        <v/>
      </c>
      <c r="CG75" s="177" t="str">
        <f>IF(OR($AF$2="",$AF$2=0,CH75=""),"",$AF$2)</f>
        <v/>
      </c>
      <c r="CH75" s="178" t="str">
        <f>$AH$28</f>
        <v/>
      </c>
      <c r="CI75" s="68"/>
      <c r="CJ75" s="219">
        <f t="shared" si="1"/>
        <v>4</v>
      </c>
      <c r="CK75" s="177" t="str">
        <f>IF(OR($AZ$2="",$AZ$2=0),"",$AZ$2)</f>
        <v>RR</v>
      </c>
      <c r="CL75" s="220">
        <f t="shared" si="2"/>
        <v>-10</v>
      </c>
      <c r="CM75" s="221">
        <f t="shared" si="3"/>
        <v>-10</v>
      </c>
      <c r="CN75" s="222" t="str">
        <f>IF(IF($BO$41&gt;0,COUNTIF($BA$10,1),0)+IF($BO$41&gt;1,COUNTIF($BA$17,1),0)+IF($BO$41&gt;2,COUNTIF($BA$22,1),0)+IF($BO$41&gt;3,COUNTIF($BA$26,1),0)&gt;0,IF($BO$41&gt;0,COUNTIF($BA$10,1),0)+IF($BO$41&gt;1,COUNTIF($BA$17,1),0)+IF($BO$41&gt;2,COUNTIF($BA$22,1),0)+IF($BO$41&gt;3,COUNTIF($BA$26,1),0),"")</f>
        <v/>
      </c>
      <c r="CO75" s="223" t="str">
        <f>IF(CN75="","",IF(AND($BO$41&gt;0,$BA$10=1),$BO$5/$BO$10,0)+IF(AND($BO$41&gt;1,$BA$17=1),$BO$5/$BO$17,0)+IF(AND($BO$41&gt;2,$BA$22=1),$BO$5/$BO$22,0)+IF(AND($BO$41&gt;3,$BA$26=1),$BO$5/$BO$26,0))</f>
        <v/>
      </c>
      <c r="CP75" s="224" t="str">
        <f>IF($BA$28=1,"✓","")</f>
        <v/>
      </c>
      <c r="CQ75" s="223" t="str">
        <f t="shared" si="4"/>
        <v/>
      </c>
      <c r="CR75" s="225" t="str">
        <f>IF($BA$28=2,"✓","")</f>
        <v/>
      </c>
      <c r="CS75" s="226" t="str">
        <f t="shared" si="5"/>
        <v/>
      </c>
      <c r="CT75" s="191"/>
      <c r="DK75" s="191"/>
      <c r="DL75" s="161" t="s">
        <v>33</v>
      </c>
      <c r="DM75" s="121"/>
      <c r="DN75" s="121"/>
    </row>
    <row r="76" spans="80:118" ht="12.75" customHeight="1" thickTop="1" thickBot="1" x14ac:dyDescent="0.25">
      <c r="DL76" s="161" t="str">
        <f>CONCATENATE($DM$2,$K$5,$DN$2)</f>
        <v xml:space="preserve">   "V",</v>
      </c>
      <c r="DM76" s="121"/>
      <c r="DN76" s="121"/>
    </row>
    <row r="77" spans="80:118" ht="15" customHeight="1" thickBot="1" x14ac:dyDescent="0.25">
      <c r="CU77" s="266" t="str">
        <f>CONCATENATE($Z$1," Results")</f>
        <v>2015 Football Pool Results</v>
      </c>
      <c r="CV77" s="267"/>
      <c r="CW77" s="267"/>
      <c r="CX77" s="267"/>
      <c r="CY77" s="267"/>
      <c r="CZ77" s="267"/>
      <c r="DA77" s="267"/>
      <c r="DB77" s="267"/>
      <c r="DC77" s="267"/>
      <c r="DD77" s="267"/>
      <c r="DE77" s="267"/>
      <c r="DF77" s="267"/>
      <c r="DG77" s="267"/>
      <c r="DH77" s="267"/>
      <c r="DI77" s="267"/>
      <c r="DJ77" s="268"/>
      <c r="DL77" s="161" t="str">
        <f>CONCATENATE($DM$2,$K$6,$DN$2)</f>
        <v xml:space="preserve">   "V",</v>
      </c>
      <c r="DM77" s="121"/>
      <c r="DN77" s="121"/>
    </row>
    <row r="78" spans="80:118" ht="15" customHeight="1" thickBot="1" x14ac:dyDescent="0.25">
      <c r="CU78" s="258" t="s">
        <v>6</v>
      </c>
      <c r="CV78" s="258" t="s">
        <v>129</v>
      </c>
      <c r="CW78" s="271" t="s">
        <v>130</v>
      </c>
      <c r="CX78" s="272"/>
      <c r="CY78" s="272"/>
      <c r="CZ78" s="272"/>
      <c r="DA78" s="272"/>
      <c r="DB78" s="272"/>
      <c r="DC78" s="273"/>
      <c r="DD78" s="271" t="s">
        <v>131</v>
      </c>
      <c r="DE78" s="272"/>
      <c r="DF78" s="272"/>
      <c r="DG78" s="272"/>
      <c r="DH78" s="272"/>
      <c r="DI78" s="272"/>
      <c r="DJ78" s="273"/>
      <c r="DL78" s="161" t="str">
        <f>CONCATENATE($DM$2,$K$7,$DN$2)</f>
        <v xml:space="preserve">   "H",</v>
      </c>
      <c r="DM78" s="121"/>
      <c r="DN78" s="121"/>
    </row>
    <row r="79" spans="80:118" ht="15" customHeight="1" x14ac:dyDescent="0.2">
      <c r="CU79" s="259"/>
      <c r="CV79" s="259"/>
      <c r="CW79" s="269" t="s">
        <v>117</v>
      </c>
      <c r="CX79" s="251" t="s">
        <v>116</v>
      </c>
      <c r="CY79" s="264" t="s">
        <v>117</v>
      </c>
      <c r="CZ79" s="251" t="s">
        <v>118</v>
      </c>
      <c r="DA79" s="264"/>
      <c r="DB79" s="251" t="s">
        <v>119</v>
      </c>
      <c r="DC79" s="252"/>
      <c r="DD79" s="269" t="str">
        <f>CONCATENATE("Cost to Play ($",$BO$3,")")</f>
        <v>Cost to Play ($10)</v>
      </c>
      <c r="DE79" s="251" t="s">
        <v>116</v>
      </c>
      <c r="DF79" s="264"/>
      <c r="DG79" s="251" t="s">
        <v>120</v>
      </c>
      <c r="DH79" s="264"/>
      <c r="DI79" s="251" t="s">
        <v>121</v>
      </c>
      <c r="DJ79" s="252"/>
      <c r="DL79" s="161" t="str">
        <f>CONCATENATE($DM$2,$K$8,$DN$2)</f>
        <v xml:space="preserve">   "H",</v>
      </c>
      <c r="DM79" s="121"/>
      <c r="DN79" s="121"/>
    </row>
    <row r="80" spans="80:118" ht="15" customHeight="1" thickBot="1" x14ac:dyDescent="0.25">
      <c r="CU80" s="260"/>
      <c r="CV80" s="260"/>
      <c r="CW80" s="270"/>
      <c r="CX80" s="253"/>
      <c r="CY80" s="265"/>
      <c r="CZ80" s="253"/>
      <c r="DA80" s="265"/>
      <c r="DB80" s="253"/>
      <c r="DC80" s="254"/>
      <c r="DD80" s="270"/>
      <c r="DE80" s="253"/>
      <c r="DF80" s="265"/>
      <c r="DG80" s="253"/>
      <c r="DH80" s="265"/>
      <c r="DI80" s="253"/>
      <c r="DJ80" s="254"/>
      <c r="DL80" s="161" t="str">
        <f>CONCATENATE($DM$2,$K$12,$DN$2)</f>
        <v xml:space="preserve">   "H",</v>
      </c>
      <c r="DM80" s="121"/>
      <c r="DN80" s="121"/>
    </row>
    <row r="81" spans="99:118" ht="15" customHeight="1" x14ac:dyDescent="0.2">
      <c r="CU81" s="227" t="str">
        <f>IF(OR($H$2="",$H$2=0),"",$H$2)</f>
        <v>BM</v>
      </c>
      <c r="CV81" s="228">
        <f t="shared" ref="CV81:CV92" si="6">IF(CU81="","",SUM(CW81,CY81,DA81,DC81,DD81,DF81,DH81,DJ81))</f>
        <v>83</v>
      </c>
      <c r="CW81" s="229">
        <v>-51</v>
      </c>
      <c r="CX81" s="230">
        <v>3</v>
      </c>
      <c r="CY81" s="231">
        <v>93</v>
      </c>
      <c r="CZ81" s="232" t="s">
        <v>154</v>
      </c>
      <c r="DA81" s="231">
        <v>51</v>
      </c>
      <c r="DB81" s="232" t="s">
        <v>155</v>
      </c>
      <c r="DC81" s="233" t="s">
        <v>155</v>
      </c>
      <c r="DD81" s="229">
        <f t="shared" ref="DD81:DD92" si="7">IF(CU81="","",-$BO$3)</f>
        <v>-10</v>
      </c>
      <c r="DE81" s="230" t="str">
        <f>IF(IF($BO$41&gt;0,COUNTIF($I$10,1),0)+IF($BO$41&gt;1,COUNTIF($I$17,1),0)+IF($BO$41&gt;2,COUNTIF($I$22,1),0)+IF($BO$41&gt;3,COUNTIF($I$26,1),0)&gt;0,IF($BO$41&gt;0,COUNTIF($I$10,1),0)+IF($BO$41&gt;1,COUNTIF($I$17,1),0)+IF($BO$41&gt;2,COUNTIF($I$22,1),0)+IF($BO$41&gt;3,COUNTIF($I$26,1),0),"")</f>
        <v/>
      </c>
      <c r="DF81" s="231" t="str">
        <f>IF(DE81="","",IF(AND($BO$41&gt;0,$I$10=1),$BO$5/$BO$10,0)+IF(AND($BO$41&gt;1,$I$17=1),$BO$5/$BO$17,0)+IF(AND($BO$41&gt;2,$I$22=1),$BO$5/$BO$22,0)+IF(AND($BO$41&gt;3,$I$26=1),$BO$5/$BO$26,0))</f>
        <v/>
      </c>
      <c r="DG81" s="232" t="str">
        <f>IF($I$28=1,"✓","")</f>
        <v/>
      </c>
      <c r="DH81" s="231" t="str">
        <f t="shared" ref="DH81:DH92" si="8">IF(DG81="✓",IF($BO$28&gt;1,($BO$6+$BO$7)/$BO$28,$BO$6/$BO$28),"")</f>
        <v/>
      </c>
      <c r="DI81" s="232" t="str">
        <f>IF($I$28=2,"✓","")</f>
        <v/>
      </c>
      <c r="DJ81" s="234" t="str">
        <f t="shared" ref="DJ81:DJ92" si="9">IF(DI81="✓",$BO$7/$BP$28,"")</f>
        <v/>
      </c>
      <c r="DL81" s="161" t="str">
        <f>CONCATENATE($DM$2,$K$13,$DN$2)</f>
        <v xml:space="preserve">   "H",</v>
      </c>
      <c r="DM81" s="121"/>
      <c r="DN81" s="121"/>
    </row>
    <row r="82" spans="99:118" ht="15" customHeight="1" x14ac:dyDescent="0.2">
      <c r="CU82" s="235" t="str">
        <f>IF(OR($L$2="",$L$2=0),"",$L$2)</f>
        <v>CK</v>
      </c>
      <c r="CV82" s="236">
        <f t="shared" si="6"/>
        <v>73</v>
      </c>
      <c r="CW82" s="237">
        <v>-51</v>
      </c>
      <c r="CX82" s="238">
        <v>4</v>
      </c>
      <c r="CY82" s="239">
        <v>124</v>
      </c>
      <c r="CZ82" s="240" t="s">
        <v>155</v>
      </c>
      <c r="DA82" s="239" t="s">
        <v>155</v>
      </c>
      <c r="DB82" s="240" t="s">
        <v>155</v>
      </c>
      <c r="DC82" s="241" t="s">
        <v>155</v>
      </c>
      <c r="DD82" s="237">
        <f t="shared" si="7"/>
        <v>-10</v>
      </c>
      <c r="DE82" s="238">
        <f>IF(IF($BO$41&gt;0,COUNTIF($M$10,1),0)+IF($BO$41&gt;1,COUNTIF($M$17,1),0)+IF($BO$41&gt;2,COUNTIF($M$22,1),0)+IF($BO$41&gt;3,COUNTIF($M$26,1),0)&gt;0,IF($BO$41&gt;0,COUNTIF($M$10,1),0)+IF($BO$41&gt;1,COUNTIF($M$17,1),0)+IF($BO$41&gt;2,COUNTIF($M$22,1),0)+IF($BO$41&gt;3,COUNTIF($M$26,1),0),"")</f>
        <v>1</v>
      </c>
      <c r="DF82" s="239">
        <f>IF(DE82="","",IF(AND($BO$41&gt;0,$M$10=1),$BO$5/$BO$10,0)+IF(AND($BO$41&gt;1,$M$17=1),$BO$5/$BO$17,0)+IF(AND($BO$41&gt;2,$M$22=1),$BO$5/$BO$22,0)+IF(AND($BO$41&gt;3,$M$26=1),$BO$5/$BO$26,0))</f>
        <v>10</v>
      </c>
      <c r="DG82" s="240" t="str">
        <f>IF($M$28=1,"✓","")</f>
        <v/>
      </c>
      <c r="DH82" s="239" t="str">
        <f t="shared" si="8"/>
        <v/>
      </c>
      <c r="DI82" s="240" t="str">
        <f>IF($M$28=2,"✓","")</f>
        <v/>
      </c>
      <c r="DJ82" s="242" t="str">
        <f t="shared" si="9"/>
        <v/>
      </c>
      <c r="DL82" s="161" t="str">
        <f>CONCATENATE($DM$2,$K$14,$DN$2)</f>
        <v xml:space="preserve">   "H",</v>
      </c>
      <c r="DM82" s="121"/>
      <c r="DN82" s="121"/>
    </row>
    <row r="83" spans="99:118" ht="15" customHeight="1" x14ac:dyDescent="0.2">
      <c r="CU83" s="235" t="str">
        <f>IF(OR($AV$2="",$AV$2=0),"",$AV$2)</f>
        <v>KK</v>
      </c>
      <c r="CV83" s="236">
        <f t="shared" si="6"/>
        <v>66</v>
      </c>
      <c r="CW83" s="237">
        <v>-51</v>
      </c>
      <c r="CX83" s="238">
        <v>3</v>
      </c>
      <c r="CY83" s="239">
        <v>93</v>
      </c>
      <c r="CZ83" s="240" t="s">
        <v>155</v>
      </c>
      <c r="DA83" s="239" t="s">
        <v>155</v>
      </c>
      <c r="DB83" s="240" t="s">
        <v>154</v>
      </c>
      <c r="DC83" s="241">
        <v>34</v>
      </c>
      <c r="DD83" s="237">
        <f t="shared" si="7"/>
        <v>-10</v>
      </c>
      <c r="DE83" s="238" t="str">
        <f>IF(IF($BO$41&gt;0,COUNTIF($AW$10,1),0)+IF($BO$41&gt;1,COUNTIF($AW$17,1),0)+IF($BO$41&gt;2,COUNTIF($AW$22,1),0)+IF($BO$41&gt;3,COUNTIF($AW$26,1),0)&gt;0,IF($BO$41&gt;0,COUNTIF($AW$10,1),0)+IF($BO$41&gt;1,COUNTIF($AW$17,1),0)+IF($BO$41&gt;2,COUNTIF($AW$22,1),0)+IF($BO$41&gt;3,COUNTIF($AW$26,1),0),"")</f>
        <v/>
      </c>
      <c r="DF83" s="239" t="str">
        <f>IF(DE83="","",IF(AND($BO$41&gt;0,$AW$10=1),$BO$5/$BO$10,0)+IF(AND($BO$41&gt;1,$AW$17=1),$BO$5/$BO$17,0)+IF(AND($BO$41&gt;2,$AW$22=1),$BO$5/$BO$22,0)+IF(AND($BO$41&gt;3,$AW$26=1),$BO$5/$BO$26,0))</f>
        <v/>
      </c>
      <c r="DG83" s="240" t="str">
        <f>IF($AW$28=1,"✓","")</f>
        <v/>
      </c>
      <c r="DH83" s="239" t="str">
        <f t="shared" si="8"/>
        <v/>
      </c>
      <c r="DI83" s="240" t="str">
        <f>IF($AW$28=2,"✓","")</f>
        <v/>
      </c>
      <c r="DJ83" s="242" t="str">
        <f t="shared" si="9"/>
        <v/>
      </c>
      <c r="DL83" s="161" t="str">
        <f>CONCATENATE($DM$2,$K$15,$DN$2)</f>
        <v xml:space="preserve">   "H",</v>
      </c>
      <c r="DM83" s="121"/>
      <c r="DN83" s="121"/>
    </row>
    <row r="84" spans="99:118" ht="15" customHeight="1" x14ac:dyDescent="0.2">
      <c r="CU84" s="235" t="str">
        <f>IF(OR($P$2="",$P$2=0),"",$P$2)</f>
        <v>CP</v>
      </c>
      <c r="CV84" s="236">
        <f t="shared" si="6"/>
        <v>14</v>
      </c>
      <c r="CW84" s="237">
        <v>-51</v>
      </c>
      <c r="CX84" s="238" t="s">
        <v>155</v>
      </c>
      <c r="CY84" s="239" t="s">
        <v>155</v>
      </c>
      <c r="CZ84" s="240" t="s">
        <v>155</v>
      </c>
      <c r="DA84" s="239" t="s">
        <v>155</v>
      </c>
      <c r="DB84" s="240" t="s">
        <v>155</v>
      </c>
      <c r="DC84" s="241" t="s">
        <v>155</v>
      </c>
      <c r="DD84" s="237">
        <f t="shared" si="7"/>
        <v>-10</v>
      </c>
      <c r="DE84" s="238">
        <f>IF(IF($BO$41&gt;0,COUNTIF($Q$10,1),0)+IF($BO$41&gt;1,COUNTIF($Q$17,1),0)+IF($BO$41&gt;2,COUNTIF($Q$22,1),0)+IF($BO$41&gt;3,COUNTIF($Q$26,1),0)&gt;0,IF($BO$41&gt;0,COUNTIF($Q$10,1),0)+IF($BO$41&gt;1,COUNTIF($Q$17,1),0)+IF($BO$41&gt;2,COUNTIF($Q$22,1),0)+IF($BO$41&gt;3,COUNTIF($Q$26,1),0),"")</f>
        <v>2</v>
      </c>
      <c r="DF84" s="239">
        <f>IF(DE84="","",IF(AND($BO$41&gt;0,$Q$10=1),$BO$5/$BO$10,0)+IF(AND($BO$41&gt;1,$Q$17=1),$BO$5/$BO$17,0)+IF(AND($BO$41&gt;2,$Q$22=1),$BO$5/$BO$22,0)+IF(AND($BO$41&gt;3,$Q$26=1),$BO$5/$BO$26,0))</f>
        <v>15</v>
      </c>
      <c r="DG84" s="240" t="str">
        <f>IF($Q$28=1,"✓","")</f>
        <v>✓</v>
      </c>
      <c r="DH84" s="239">
        <f t="shared" si="8"/>
        <v>60</v>
      </c>
      <c r="DI84" s="240" t="str">
        <f>IF($Q$28=2,"✓","")</f>
        <v/>
      </c>
      <c r="DJ84" s="242" t="str">
        <f t="shared" si="9"/>
        <v/>
      </c>
      <c r="DL84" s="161" t="str">
        <f>CONCATENATE($DM$2,$K$19,$DN$2)</f>
        <v xml:space="preserve">   "V",</v>
      </c>
      <c r="DM84" s="121"/>
      <c r="DN84" s="121"/>
    </row>
    <row r="85" spans="99:118" ht="15" customHeight="1" x14ac:dyDescent="0.2">
      <c r="CU85" s="235" t="str">
        <f>IF(OR($X$2="",$X$2=0),"",$X$2)</f>
        <v>DH</v>
      </c>
      <c r="CV85" s="236">
        <f t="shared" si="6"/>
        <v>1</v>
      </c>
      <c r="CW85" s="237">
        <v>-51</v>
      </c>
      <c r="CX85" s="238">
        <v>2</v>
      </c>
      <c r="CY85" s="239">
        <v>62</v>
      </c>
      <c r="CZ85" s="240" t="s">
        <v>155</v>
      </c>
      <c r="DA85" s="239" t="s">
        <v>155</v>
      </c>
      <c r="DB85" s="240" t="s">
        <v>155</v>
      </c>
      <c r="DC85" s="241" t="s">
        <v>155</v>
      </c>
      <c r="DD85" s="237">
        <f t="shared" si="7"/>
        <v>-10</v>
      </c>
      <c r="DE85" s="238" t="str">
        <f>IF(IF($BO$41&gt;0,COUNTIF($Y$10,1),0)+IF($BO$41&gt;1,COUNTIF($Y$17,1),0)+IF($BO$41&gt;2,COUNTIF($Y$22,1),0)+IF($BO$41&gt;3,COUNTIF($Y$26,1),0)&gt;0,IF($BO$41&gt;0,COUNTIF($Y$10,1),0)+IF($BO$41&gt;1,COUNTIF($Y$17,1),0)+IF($BO$41&gt;2,COUNTIF($Y$22,1),0)+IF($BO$41&gt;3,COUNTIF($Y$26,1),0),"")</f>
        <v/>
      </c>
      <c r="DF85" s="239" t="str">
        <f>IF(DE85="","",IF(AND($BO$41&gt;0,$Y$10=1),$BO$5/$BO$10,0)+IF(AND($BO$41&gt;1,$Y$17=1),$BO$5/$BO$17,0)+IF(AND($BO$41&gt;2,$Y$22=1),$BO$5/$BO$22,0)+IF(AND($BO$41&gt;3,$Y$26=1),$BO$5/$BO$26,0))</f>
        <v/>
      </c>
      <c r="DG85" s="240" t="str">
        <f>IF($Y$28=1,"✓","")</f>
        <v/>
      </c>
      <c r="DH85" s="239" t="str">
        <f t="shared" si="8"/>
        <v/>
      </c>
      <c r="DI85" s="240" t="str">
        <f>IF($Y$28=2,"✓","")</f>
        <v/>
      </c>
      <c r="DJ85" s="242" t="str">
        <f t="shared" si="9"/>
        <v/>
      </c>
      <c r="DL85" s="161" t="str">
        <f>CONCATENATE($DM$2,$K$20,$DN$2)</f>
        <v xml:space="preserve">   "H",</v>
      </c>
      <c r="DM85" s="121"/>
      <c r="DN85" s="121"/>
    </row>
    <row r="86" spans="99:118" ht="15" customHeight="1" x14ac:dyDescent="0.2">
      <c r="CU86" s="235" t="str">
        <f>IF(OR($AF$2="",$AF$2=0),"",$AF$2)</f>
        <v>JG</v>
      </c>
      <c r="CV86" s="236">
        <f t="shared" si="6"/>
        <v>1</v>
      </c>
      <c r="CW86" s="237">
        <v>-51</v>
      </c>
      <c r="CX86" s="238">
        <v>2</v>
      </c>
      <c r="CY86" s="239">
        <v>62</v>
      </c>
      <c r="CZ86" s="240" t="s">
        <v>155</v>
      </c>
      <c r="DA86" s="239" t="s">
        <v>155</v>
      </c>
      <c r="DB86" s="240" t="s">
        <v>155</v>
      </c>
      <c r="DC86" s="241" t="s">
        <v>155</v>
      </c>
      <c r="DD86" s="237">
        <f t="shared" si="7"/>
        <v>-10</v>
      </c>
      <c r="DE86" s="238" t="str">
        <f>IF(IF($BO$41&gt;0,COUNTIF($AG$10,1),0)+IF($BO$41&gt;1,COUNTIF($AG$17,1),0)+IF($BO$41&gt;2,COUNTIF($AG$22,1),0)+IF($BO$41&gt;3,COUNTIF($AG$26,1),0)&gt;0,IF($BO$41&gt;0,COUNTIF($AG$10,1),0)+IF($BO$41&gt;1,COUNTIF($AG$17,1),0)+IF($BO$41&gt;2,COUNTIF($AG$22,1),0)+IF($BO$41&gt;3,COUNTIF($AG$26,1),0),"")</f>
        <v/>
      </c>
      <c r="DF86" s="239" t="str">
        <f>IF(DE86="","",IF(AND($BO$41&gt;0,$AG$10=1),$BO$5/$BO$10,0)+IF(AND($BO$41&gt;1,$AG$17=1),$BO$5/$BO$17,0)+IF(AND($BO$41&gt;2,$AG$22=1),$BO$5/$BO$22,0)+IF(AND($BO$41&gt;3,$AG$26=1),$BO$5/$BO$26,0))</f>
        <v/>
      </c>
      <c r="DG86" s="240" t="str">
        <f>IF($AG$28=1,"✓","")</f>
        <v/>
      </c>
      <c r="DH86" s="239" t="str">
        <f t="shared" si="8"/>
        <v/>
      </c>
      <c r="DI86" s="240" t="str">
        <f>IF($AG$28=2,"✓","")</f>
        <v/>
      </c>
      <c r="DJ86" s="242" t="str">
        <f t="shared" si="9"/>
        <v/>
      </c>
      <c r="DL86" s="161" t="str">
        <f>CONCATENATE($DM$2,$K$24,$DN$3)</f>
        <v xml:space="preserve">   "H"</v>
      </c>
      <c r="DM86" s="121"/>
      <c r="DN86" s="121"/>
    </row>
    <row r="87" spans="99:118" ht="15" customHeight="1" x14ac:dyDescent="0.2">
      <c r="CU87" s="235" t="str">
        <f>IF(OR($AJ$2="",$AJ$2=0),"",$AJ$2)</f>
        <v>JH</v>
      </c>
      <c r="CV87" s="236">
        <f t="shared" si="6"/>
        <v>1</v>
      </c>
      <c r="CW87" s="237">
        <v>-51</v>
      </c>
      <c r="CX87" s="238">
        <v>2</v>
      </c>
      <c r="CY87" s="239">
        <v>62</v>
      </c>
      <c r="CZ87" s="240" t="s">
        <v>155</v>
      </c>
      <c r="DA87" s="239" t="s">
        <v>155</v>
      </c>
      <c r="DB87" s="240" t="s">
        <v>155</v>
      </c>
      <c r="DC87" s="241" t="s">
        <v>155</v>
      </c>
      <c r="DD87" s="237">
        <f t="shared" si="7"/>
        <v>-10</v>
      </c>
      <c r="DE87" s="238" t="str">
        <f>IF(IF($BO$41&gt;0,COUNTIF($AK$10,1),0)+IF($BO$41&gt;1,COUNTIF($AK$17,1),0)+IF($BO$41&gt;2,COUNTIF($AK$22,1),0)+IF($BO$41&gt;3,COUNTIF($AK$26,1),0)&gt;0,IF($BO$41&gt;0,COUNTIF($AK$10,1),0)+IF($BO$41&gt;1,COUNTIF($AK$17,1),0)+IF($BO$41&gt;2,COUNTIF($AK$22,1),0)+IF($BO$41&gt;3,COUNTIF($AK$26,1),0),"")</f>
        <v/>
      </c>
      <c r="DF87" s="239" t="str">
        <f>IF(DE87="","",IF(AND($BO$41&gt;0,$AK$10=1),$BO$5/$BO$10,0)+IF(AND($BO$41&gt;1,$AK$17=1),$BO$5/$BO$17,0)+IF(AND($BO$41&gt;2,$AK$22=1),$BO$5/$BO$22,0)+IF(AND($BO$41&gt;3,$AK$26=1),$BO$5/$BO$26,0))</f>
        <v/>
      </c>
      <c r="DG87" s="240" t="str">
        <f>IF($AK$28=1,"✓","")</f>
        <v/>
      </c>
      <c r="DH87" s="239" t="str">
        <f t="shared" si="8"/>
        <v/>
      </c>
      <c r="DI87" s="240" t="str">
        <f>IF($AK$28=2,"✓","")</f>
        <v/>
      </c>
      <c r="DJ87" s="242" t="str">
        <f t="shared" si="9"/>
        <v/>
      </c>
      <c r="DL87" s="161" t="s">
        <v>31</v>
      </c>
      <c r="DM87" s="121"/>
      <c r="DN87" s="121"/>
    </row>
    <row r="88" spans="99:118" ht="15" customHeight="1" x14ac:dyDescent="0.2">
      <c r="CU88" s="235" t="str">
        <f>IF(OR($AN$2="",$AN$2=0),"",$AN$2)</f>
        <v>JL</v>
      </c>
      <c r="CV88" s="236">
        <f t="shared" si="6"/>
        <v>-30</v>
      </c>
      <c r="CW88" s="237">
        <v>-51</v>
      </c>
      <c r="CX88" s="238">
        <v>1</v>
      </c>
      <c r="CY88" s="239">
        <v>31</v>
      </c>
      <c r="CZ88" s="240" t="s">
        <v>155</v>
      </c>
      <c r="DA88" s="239" t="s">
        <v>155</v>
      </c>
      <c r="DB88" s="240" t="s">
        <v>155</v>
      </c>
      <c r="DC88" s="241" t="s">
        <v>155</v>
      </c>
      <c r="DD88" s="237">
        <f t="shared" si="7"/>
        <v>-10</v>
      </c>
      <c r="DE88" s="238" t="str">
        <f>IF(IF($BO$41&gt;0,COUNTIF($AO$10,1),0)+IF($BO$41&gt;1,COUNTIF($AO$17,1),0)+IF($BO$41&gt;2,COUNTIF($AO$22,1),0)+IF($BO$41&gt;3,COUNTIF($AO$26,1),0)&gt;0,IF($BO$41&gt;0,COUNTIF($AO$10,1),0)+IF($BO$41&gt;1,COUNTIF($AO$17,1),0)+IF($BO$41&gt;2,COUNTIF($AO$22,1),0)+IF($BO$41&gt;3,COUNTIF($AO$26,1),0),"")</f>
        <v/>
      </c>
      <c r="DF88" s="239" t="str">
        <f>IF(DE88="","",IF(AND($BO$41&gt;0,$AO$10=1),$BO$5/$BO$10,0)+IF(AND($BO$41&gt;1,$AO$17=1),$BO$5/$BO$17,0)+IF(AND($BO$41&gt;2,$AO$22=1),$BO$5/$BO$22,0)+IF(AND($BO$41&gt;3,$AO$26=1),$BO$5/$BO$26,0))</f>
        <v/>
      </c>
      <c r="DG88" s="240" t="str">
        <f>IF($AO$28=1,"✓","")</f>
        <v/>
      </c>
      <c r="DH88" s="239" t="str">
        <f t="shared" si="8"/>
        <v/>
      </c>
      <c r="DI88" s="240" t="str">
        <f>IF($AO$28=2,"✓","")</f>
        <v/>
      </c>
      <c r="DJ88" s="242" t="str">
        <f t="shared" si="9"/>
        <v/>
      </c>
      <c r="DL88" s="161"/>
      <c r="DM88" s="121"/>
      <c r="DN88" s="121"/>
    </row>
    <row r="89" spans="99:118" ht="15" customHeight="1" x14ac:dyDescent="0.2">
      <c r="CU89" s="235" t="str">
        <f>IF(OR($AR$2="",$AR$2=0),"",$AR$2)</f>
        <v>KC</v>
      </c>
      <c r="CV89" s="236">
        <f t="shared" si="6"/>
        <v>-36</v>
      </c>
      <c r="CW89" s="237">
        <v>-51</v>
      </c>
      <c r="CX89" s="238" t="s">
        <v>155</v>
      </c>
      <c r="CY89" s="239" t="s">
        <v>155</v>
      </c>
      <c r="CZ89" s="240" t="s">
        <v>155</v>
      </c>
      <c r="DA89" s="239" t="s">
        <v>155</v>
      </c>
      <c r="DB89" s="240" t="s">
        <v>155</v>
      </c>
      <c r="DC89" s="241" t="s">
        <v>155</v>
      </c>
      <c r="DD89" s="237">
        <f t="shared" si="7"/>
        <v>-10</v>
      </c>
      <c r="DE89" s="238">
        <f>IF(IF($BO$41&gt;0,COUNTIF($AS$10,1),0)+IF($BO$41&gt;1,COUNTIF($AS$17,1),0)+IF($BO$41&gt;2,COUNTIF($AS$22,1),0)+IF($BO$41&gt;3,COUNTIF($AS$26,1),0)&gt;0,IF($BO$41&gt;0,COUNTIF($AS$10,1),0)+IF($BO$41&gt;1,COUNTIF($AS$17,1),0)+IF($BO$41&gt;2,COUNTIF($AS$22,1),0)+IF($BO$41&gt;3,COUNTIF($AS$26,1),0),"")</f>
        <v>1</v>
      </c>
      <c r="DF89" s="239">
        <f>IF(DE89="","",IF(AND($BO$41&gt;0,$AS$10=1),$BO$5/$BO$10,0)+IF(AND($BO$41&gt;1,$AS$17=1),$BO$5/$BO$17,0)+IF(AND($BO$41&gt;2,$AS$22=1),$BO$5/$BO$22,0)+IF(AND($BO$41&gt;3,$AS$26=1),$BO$5/$BO$26,0))</f>
        <v>5</v>
      </c>
      <c r="DG89" s="240" t="str">
        <f>IF($AS$28=1,"✓","")</f>
        <v/>
      </c>
      <c r="DH89" s="239" t="str">
        <f t="shared" si="8"/>
        <v/>
      </c>
      <c r="DI89" s="240" t="str">
        <f>IF($AS$28=2,"✓","")</f>
        <v>✓</v>
      </c>
      <c r="DJ89" s="242">
        <f t="shared" si="9"/>
        <v>20</v>
      </c>
      <c r="DL89" s="161" t="s">
        <v>34</v>
      </c>
      <c r="DM89" s="121"/>
      <c r="DN89" s="121"/>
    </row>
    <row r="90" spans="99:118" ht="15" customHeight="1" x14ac:dyDescent="0.2">
      <c r="CU90" s="235" t="str">
        <f>IF(OR($T$2="",$T$2=0),"",$T$2)</f>
        <v>DC</v>
      </c>
      <c r="CV90" s="236">
        <f t="shared" si="6"/>
        <v>-61</v>
      </c>
      <c r="CW90" s="237">
        <v>-51</v>
      </c>
      <c r="CX90" s="238" t="s">
        <v>155</v>
      </c>
      <c r="CY90" s="239" t="s">
        <v>155</v>
      </c>
      <c r="CZ90" s="240" t="s">
        <v>155</v>
      </c>
      <c r="DA90" s="239" t="s">
        <v>155</v>
      </c>
      <c r="DB90" s="240" t="s">
        <v>155</v>
      </c>
      <c r="DC90" s="241" t="s">
        <v>155</v>
      </c>
      <c r="DD90" s="237">
        <f t="shared" si="7"/>
        <v>-10</v>
      </c>
      <c r="DE90" s="238" t="str">
        <f>IF(IF($BO$41&gt;0,COUNTIF($U$10,1),0)+IF($BO$41&gt;1,COUNTIF($U$17,1),0)+IF($BO$41&gt;2,COUNTIF($U$22,1),0)+IF($BO$41&gt;3,COUNTIF($U$26,1),0)&gt;0,IF($BO$41&gt;0,COUNTIF($U$10,1),0)+IF($BO$41&gt;1,COUNTIF($U$17,1),0)+IF($BO$41&gt;2,COUNTIF($U$22,1),0)+IF($BO$41&gt;3,COUNTIF($U$26,1),0),"")</f>
        <v/>
      </c>
      <c r="DF90" s="239" t="str">
        <f>IF(DE90="","",IF(AND($BO$41&gt;0,$U$10=1),$BO$5/$BO$10,0)+IF(AND($BO$41&gt;1,$U$17=1),$BO$5/$BO$17,0)+IF(AND($BO$41&gt;2,$U$22=1),$BO$5/$BO$22,0)+IF(AND($BO$41&gt;3,$U$26=1),$BO$5/$BO$26,0))</f>
        <v/>
      </c>
      <c r="DG90" s="240" t="str">
        <f>IF($U$28=1,"✓","")</f>
        <v/>
      </c>
      <c r="DH90" s="239" t="str">
        <f t="shared" si="8"/>
        <v/>
      </c>
      <c r="DI90" s="240" t="str">
        <f>IF($U$28=2,"✓","")</f>
        <v/>
      </c>
      <c r="DJ90" s="242" t="str">
        <f t="shared" si="9"/>
        <v/>
      </c>
      <c r="DL90" s="161" t="str">
        <f>CONCATENATE($DM$2,$M$5,$DN$2)</f>
        <v xml:space="preserve">   "14",</v>
      </c>
      <c r="DM90" s="121"/>
      <c r="DN90" s="121"/>
    </row>
    <row r="91" spans="99:118" ht="15" customHeight="1" x14ac:dyDescent="0.2">
      <c r="CU91" s="235" t="str">
        <f>IF(OR($AB$2="",$AB$2=0),"",$AB$2)</f>
        <v>GP</v>
      </c>
      <c r="CV91" s="236">
        <f t="shared" si="6"/>
        <v>-61</v>
      </c>
      <c r="CW91" s="237">
        <v>-51</v>
      </c>
      <c r="CX91" s="238" t="s">
        <v>155</v>
      </c>
      <c r="CY91" s="239" t="s">
        <v>155</v>
      </c>
      <c r="CZ91" s="240" t="s">
        <v>155</v>
      </c>
      <c r="DA91" s="239" t="s">
        <v>155</v>
      </c>
      <c r="DB91" s="240" t="s">
        <v>155</v>
      </c>
      <c r="DC91" s="241" t="s">
        <v>155</v>
      </c>
      <c r="DD91" s="237">
        <f t="shared" si="7"/>
        <v>-10</v>
      </c>
      <c r="DE91" s="238" t="str">
        <f>IF(IF($BO$41&gt;0,COUNTIF($AC$10,1),0)+IF($BO$41&gt;1,COUNTIF($AC$17,1),0)+IF($BO$41&gt;2,COUNTIF($AC$22,1),0)+IF($BO$41&gt;3,COUNTIF($AC$26,1),0)&gt;0,IF($BO$41&gt;0,COUNTIF($AC$10,1),0)+IF($BO$41&gt;1,COUNTIF($AC$17,1),0)+IF($BO$41&gt;2,COUNTIF($AC$22,1),0)+IF($BO$41&gt;3,COUNTIF($AC$26,1),0),"")</f>
        <v/>
      </c>
      <c r="DF91" s="239" t="str">
        <f>IF(DE91="","",IF(AND($BO$41&gt;0,$AC$10=1),$BO$5/$BO$10,0)+IF(AND($BO$41&gt;1,$AC$17=1),$BO$5/$BO$17,0)+IF(AND($BO$41&gt;2,$AC$22=1),$BO$5/$BO$22,0)+IF(AND($BO$41&gt;3,$AC$26=1),$BO$5/$BO$26,0))</f>
        <v/>
      </c>
      <c r="DG91" s="240" t="str">
        <f>IF($AC$28=1,"✓","")</f>
        <v/>
      </c>
      <c r="DH91" s="239" t="str">
        <f t="shared" si="8"/>
        <v/>
      </c>
      <c r="DI91" s="240" t="str">
        <f>IF($AC$28=2,"✓","")</f>
        <v/>
      </c>
      <c r="DJ91" s="242" t="str">
        <f t="shared" si="9"/>
        <v/>
      </c>
      <c r="DL91" s="161" t="str">
        <f>CONCATENATE($DM$2,$M$6,$DN$2)</f>
        <v xml:space="preserve">   "7",</v>
      </c>
      <c r="DM91" s="121"/>
      <c r="DN91" s="121"/>
    </row>
    <row r="92" spans="99:118" ht="15" customHeight="1" thickBot="1" x14ac:dyDescent="0.25">
      <c r="CU92" s="243" t="str">
        <f>IF(OR($AZ$2="",$AZ$2=0),"",$AZ$2)</f>
        <v>RR</v>
      </c>
      <c r="CV92" s="244">
        <f t="shared" si="6"/>
        <v>-61</v>
      </c>
      <c r="CW92" s="245">
        <v>-51</v>
      </c>
      <c r="CX92" s="246" t="s">
        <v>155</v>
      </c>
      <c r="CY92" s="247" t="s">
        <v>155</v>
      </c>
      <c r="CZ92" s="248" t="s">
        <v>155</v>
      </c>
      <c r="DA92" s="247" t="s">
        <v>155</v>
      </c>
      <c r="DB92" s="248" t="s">
        <v>155</v>
      </c>
      <c r="DC92" s="249" t="s">
        <v>155</v>
      </c>
      <c r="DD92" s="245">
        <f t="shared" si="7"/>
        <v>-10</v>
      </c>
      <c r="DE92" s="246" t="str">
        <f>IF(IF($BO$41&gt;0,COUNTIF($BA$10,1),0)+IF($BO$41&gt;1,COUNTIF($BA$17,1),0)+IF($BO$41&gt;2,COUNTIF($BA$22,1),0)+IF($BO$41&gt;3,COUNTIF($BA$26,1),0)&gt;0,IF($BO$41&gt;0,COUNTIF($BA$10,1),0)+IF($BO$41&gt;1,COUNTIF($BA$17,1),0)+IF($BO$41&gt;2,COUNTIF($BA$22,1),0)+IF($BO$41&gt;3,COUNTIF($BA$26,1),0),"")</f>
        <v/>
      </c>
      <c r="DF92" s="247" t="str">
        <f>IF(DE92="","",IF(AND($BO$41&gt;0,$BA$10=1),$BO$5/$BO$10,0)+IF(AND($BO$41&gt;1,$BA$17=1),$BO$5/$BO$17,0)+IF(AND($BO$41&gt;2,$BA$22=1),$BO$5/$BO$22,0)+IF(AND($BO$41&gt;3,$BA$26=1),$BO$5/$BO$26,0))</f>
        <v/>
      </c>
      <c r="DG92" s="248" t="str">
        <f>IF($BA$28=1,"✓","")</f>
        <v/>
      </c>
      <c r="DH92" s="247" t="str">
        <f t="shared" si="8"/>
        <v/>
      </c>
      <c r="DI92" s="248" t="str">
        <f>IF($BA$28=2,"✓","")</f>
        <v/>
      </c>
      <c r="DJ92" s="250" t="str">
        <f t="shared" si="9"/>
        <v/>
      </c>
      <c r="DL92" s="161" t="str">
        <f>CONCATENATE($DM$2,$M$7,$DN$2)</f>
        <v xml:space="preserve">   "11",</v>
      </c>
      <c r="DM92" s="121"/>
      <c r="DN92" s="121"/>
    </row>
    <row r="93" spans="99:118" ht="12.75" customHeight="1" x14ac:dyDescent="0.2">
      <c r="DL93" s="161" t="str">
        <f>CONCATENATE($DM$2,$M$8,$DN$2)</f>
        <v xml:space="preserve">   "10",</v>
      </c>
      <c r="DM93" s="121"/>
      <c r="DN93" s="121"/>
    </row>
    <row r="94" spans="99:118" ht="12.75" customHeight="1" x14ac:dyDescent="0.2">
      <c r="DL94" s="161" t="str">
        <f>CONCATENATE($DM$2,$M$12,$DN$2)</f>
        <v xml:space="preserve">   "14",</v>
      </c>
      <c r="DM94" s="121"/>
      <c r="DN94" s="121"/>
    </row>
    <row r="95" spans="99:118" ht="12.75" customHeight="1" x14ac:dyDescent="0.2">
      <c r="DL95" s="161" t="str">
        <f>CONCATENATE($DM$2,$M$13,$DN$2)</f>
        <v xml:space="preserve">   "14",</v>
      </c>
      <c r="DM95" s="121"/>
      <c r="DN95" s="121"/>
    </row>
    <row r="96" spans="99:118" ht="12.75" customHeight="1" x14ac:dyDescent="0.2">
      <c r="DL96" s="161" t="str">
        <f>CONCATENATE($DM$2,$M$14,$DN$2)</f>
        <v xml:space="preserve">   "14",</v>
      </c>
      <c r="DM96" s="121"/>
      <c r="DN96" s="121"/>
    </row>
    <row r="97" spans="116:118" ht="12.75" customHeight="1" x14ac:dyDescent="0.2">
      <c r="DL97" s="161" t="str">
        <f>CONCATENATE($DM$2,$M$15,$DN$2)</f>
        <v xml:space="preserve">   "14",</v>
      </c>
      <c r="DM97" s="121"/>
      <c r="DN97" s="121"/>
    </row>
    <row r="98" spans="116:118" ht="12.75" customHeight="1" x14ac:dyDescent="0.2">
      <c r="DL98" s="161" t="str">
        <f>CONCATENATE($DM$2,$M$19,$DN$2)</f>
        <v xml:space="preserve">   "10",</v>
      </c>
      <c r="DM98" s="121"/>
      <c r="DN98" s="121"/>
    </row>
    <row r="99" spans="116:118" ht="12.75" customHeight="1" x14ac:dyDescent="0.2">
      <c r="DL99" s="161" t="str">
        <f>CONCATENATE($DM$2,$M$20,$DN$2)</f>
        <v xml:space="preserve">   "14",</v>
      </c>
      <c r="DM99" s="121"/>
      <c r="DN99" s="121"/>
    </row>
    <row r="100" spans="116:118" ht="12.75" customHeight="1" x14ac:dyDescent="0.2">
      <c r="DL100" s="161" t="str">
        <f>CONCATENATE($DM$2,$M$24,$DN$3)</f>
        <v xml:space="preserve">   "7"</v>
      </c>
      <c r="DM100" s="121"/>
      <c r="DN100" s="121"/>
    </row>
    <row r="101" spans="116:118" ht="12.75" customHeight="1" x14ac:dyDescent="0.2">
      <c r="DL101" s="161" t="s">
        <v>31</v>
      </c>
      <c r="DM101" s="121"/>
      <c r="DN101" s="121"/>
    </row>
    <row r="102" spans="116:118" ht="12.75" customHeight="1" x14ac:dyDescent="0.2">
      <c r="DL102" s="161"/>
      <c r="DM102" s="121"/>
      <c r="DN102" s="121"/>
    </row>
    <row r="103" spans="116:118" ht="12.75" customHeight="1" x14ac:dyDescent="0.2">
      <c r="DL103" s="161" t="s">
        <v>73</v>
      </c>
      <c r="DM103" s="121"/>
      <c r="DN103" s="121"/>
    </row>
    <row r="104" spans="116:118" ht="12.75" customHeight="1" x14ac:dyDescent="0.2">
      <c r="DL104" s="162" t="str">
        <f>CONCATENATE($DM$2,$DN$2)</f>
        <v xml:space="preserve">   "",</v>
      </c>
      <c r="DM104" s="121"/>
      <c r="DN104" s="121"/>
    </row>
    <row r="105" spans="116:118" ht="12.75" customHeight="1" x14ac:dyDescent="0.2">
      <c r="DL105" s="162" t="str">
        <f>CONCATENATE($DM$2,$DN$2)</f>
        <v xml:space="preserve">   "",</v>
      </c>
      <c r="DM105" s="121"/>
      <c r="DN105" s="121"/>
    </row>
    <row r="106" spans="116:118" ht="12.75" customHeight="1" x14ac:dyDescent="0.2">
      <c r="DL106" s="162" t="str">
        <f>CONCATENATE($DM$2,$DN$2)</f>
        <v xml:space="preserve">   "",</v>
      </c>
      <c r="DM106" s="121"/>
      <c r="DN106" s="121"/>
    </row>
    <row r="107" spans="116:118" ht="12.75" customHeight="1" x14ac:dyDescent="0.2">
      <c r="DL107" s="161" t="str">
        <f>CONCATENATE($DM$2,$M$9,$DN$2)</f>
        <v xml:space="preserve">   "48",</v>
      </c>
      <c r="DM107" s="121"/>
      <c r="DN107" s="121"/>
    </row>
    <row r="108" spans="116:118" ht="12.75" customHeight="1" x14ac:dyDescent="0.2">
      <c r="DL108" s="162" t="str">
        <f>CONCATENATE($DM$2,$DN$2)</f>
        <v xml:space="preserve">   "",</v>
      </c>
      <c r="DM108" s="121"/>
      <c r="DN108" s="121"/>
    </row>
    <row r="109" spans="116:118" ht="12.75" customHeight="1" x14ac:dyDescent="0.2">
      <c r="DL109" s="162" t="str">
        <f>CONCATENATE($DM$2,$DN$2)</f>
        <v xml:space="preserve">   "",</v>
      </c>
      <c r="DM109" s="121"/>
      <c r="DN109" s="121"/>
    </row>
    <row r="110" spans="116:118" ht="12.75" customHeight="1" x14ac:dyDescent="0.2">
      <c r="DL110" s="162" t="str">
        <f>CONCATENATE($DM$2,$DN$2)</f>
        <v xml:space="preserve">   "",</v>
      </c>
      <c r="DM110" s="121"/>
      <c r="DN110" s="121"/>
    </row>
    <row r="111" spans="116:118" ht="12.75" customHeight="1" x14ac:dyDescent="0.2">
      <c r="DL111" s="161" t="str">
        <f>CONCATENATE($DM$2,$M$16,$DN$2)</f>
        <v xml:space="preserve">   "55",</v>
      </c>
      <c r="DM111" s="121"/>
      <c r="DN111" s="121"/>
    </row>
    <row r="112" spans="116:118" ht="12.75" customHeight="1" x14ac:dyDescent="0.2">
      <c r="DL112" s="162" t="str">
        <f>CONCATENATE($DM$2,$DN$2)</f>
        <v xml:space="preserve">   "",</v>
      </c>
      <c r="DM112" s="121"/>
      <c r="DN112" s="121"/>
    </row>
    <row r="113" spans="116:118" ht="12.75" customHeight="1" x14ac:dyDescent="0.2">
      <c r="DL113" s="161" t="str">
        <f>CONCATENATE($DM$2,$M$21,$DN$2)</f>
        <v xml:space="preserve">   "50",</v>
      </c>
      <c r="DM113" s="121"/>
      <c r="DN113" s="121"/>
    </row>
    <row r="114" spans="116:118" ht="12.75" customHeight="1" x14ac:dyDescent="0.2">
      <c r="DL114" s="161" t="str">
        <f>CONCATENATE($DM$2,$M$25,$DN$3)</f>
        <v xml:space="preserve">   "48"</v>
      </c>
      <c r="DM114" s="121"/>
      <c r="DN114" s="121"/>
    </row>
    <row r="115" spans="116:118" ht="12.75" customHeight="1" x14ac:dyDescent="0.2">
      <c r="DL115" s="161" t="s">
        <v>31</v>
      </c>
      <c r="DM115" s="121"/>
      <c r="DN115" s="121"/>
    </row>
    <row r="116" spans="116:118" ht="12.75" customHeight="1" x14ac:dyDescent="0.2">
      <c r="DL116" s="163"/>
      <c r="DM116" s="121"/>
      <c r="DN116" s="121"/>
    </row>
    <row r="117" spans="116:118" ht="12.75" customHeight="1" x14ac:dyDescent="0.2">
      <c r="DL117" s="161" t="s">
        <v>35</v>
      </c>
      <c r="DM117" s="121"/>
      <c r="DN117" s="121"/>
    </row>
    <row r="118" spans="116:118" ht="12.75" customHeight="1" x14ac:dyDescent="0.2">
      <c r="DL118" s="161" t="str">
        <f>CONCATENATE($DM$2,$O$5,$DN$2)</f>
        <v xml:space="preserve">   "V",</v>
      </c>
      <c r="DM118" s="121"/>
      <c r="DN118" s="121"/>
    </row>
    <row r="119" spans="116:118" ht="12.75" customHeight="1" x14ac:dyDescent="0.2">
      <c r="DL119" s="161" t="str">
        <f>CONCATENATE($DM$2,$O$6,$DN$2)</f>
        <v xml:space="preserve">   "V",</v>
      </c>
      <c r="DM119" s="121"/>
      <c r="DN119" s="121"/>
    </row>
    <row r="120" spans="116:118" ht="12.75" customHeight="1" x14ac:dyDescent="0.2">
      <c r="DL120" s="161" t="str">
        <f>CONCATENATE($DM$2,$O$7,$DN$2)</f>
        <v xml:space="preserve">   "V",</v>
      </c>
      <c r="DM120" s="121"/>
      <c r="DN120" s="121"/>
    </row>
    <row r="121" spans="116:118" ht="12.75" customHeight="1" x14ac:dyDescent="0.2">
      <c r="DL121" s="161" t="str">
        <f>CONCATENATE($DM$2,$O$8,$DN$2)</f>
        <v xml:space="preserve">   "V",</v>
      </c>
      <c r="DM121" s="121"/>
      <c r="DN121" s="121"/>
    </row>
    <row r="122" spans="116:118" ht="12.75" customHeight="1" x14ac:dyDescent="0.2">
      <c r="DL122" s="161" t="str">
        <f>CONCATENATE($DM$2,$O$12,$DN$2)</f>
        <v xml:space="preserve">   "H",</v>
      </c>
      <c r="DM122" s="121"/>
      <c r="DN122" s="121"/>
    </row>
    <row r="123" spans="116:118" ht="12.75" customHeight="1" x14ac:dyDescent="0.2">
      <c r="DL123" s="161" t="str">
        <f>CONCATENATE($DM$2,$O$13,$DN$2)</f>
        <v xml:space="preserve">   "H",</v>
      </c>
      <c r="DM123" s="121"/>
      <c r="DN123" s="121"/>
    </row>
    <row r="124" spans="116:118" ht="12.75" customHeight="1" x14ac:dyDescent="0.2">
      <c r="DL124" s="161" t="str">
        <f>CONCATENATE($DM$2,$O$14,$DN$2)</f>
        <v xml:space="preserve">   "H",</v>
      </c>
      <c r="DM124" s="121"/>
      <c r="DN124" s="121"/>
    </row>
    <row r="125" spans="116:118" ht="12.75" customHeight="1" x14ac:dyDescent="0.2">
      <c r="DL125" s="161" t="str">
        <f>CONCATENATE($DM$2,$O$15,$DN$2)</f>
        <v xml:space="preserve">   "H",</v>
      </c>
      <c r="DM125" s="121"/>
      <c r="DN125" s="121"/>
    </row>
    <row r="126" spans="116:118" ht="12.75" customHeight="1" x14ac:dyDescent="0.2">
      <c r="DL126" s="161" t="str">
        <f>CONCATENATE($DM$2,$O$19,$DN$2)</f>
        <v xml:space="preserve">   "V",</v>
      </c>
      <c r="DM126" s="121"/>
      <c r="DN126" s="121"/>
    </row>
    <row r="127" spans="116:118" ht="12.75" customHeight="1" x14ac:dyDescent="0.2">
      <c r="DL127" s="161" t="str">
        <f>CONCATENATE($DM$2,$O$20,$DN$2)</f>
        <v xml:space="preserve">   "H",</v>
      </c>
      <c r="DM127" s="121"/>
      <c r="DN127" s="121"/>
    </row>
    <row r="128" spans="116:118" ht="12.75" customHeight="1" x14ac:dyDescent="0.2">
      <c r="DL128" s="161" t="str">
        <f>CONCATENATE($DM$2,$O$24,$DN$3)</f>
        <v xml:space="preserve">   "V"</v>
      </c>
      <c r="DM128" s="121"/>
      <c r="DN128" s="121"/>
    </row>
    <row r="129" spans="116:118" ht="12.75" customHeight="1" x14ac:dyDescent="0.2">
      <c r="DL129" s="161" t="s">
        <v>31</v>
      </c>
      <c r="DM129" s="121"/>
      <c r="DN129" s="121"/>
    </row>
    <row r="130" spans="116:118" ht="12.75" customHeight="1" x14ac:dyDescent="0.2">
      <c r="DL130" s="161"/>
      <c r="DM130" s="121"/>
      <c r="DN130" s="121"/>
    </row>
    <row r="131" spans="116:118" ht="12.75" customHeight="1" x14ac:dyDescent="0.2">
      <c r="DL131" s="161" t="s">
        <v>36</v>
      </c>
      <c r="DM131" s="121"/>
      <c r="DN131" s="121"/>
    </row>
    <row r="132" spans="116:118" ht="12.75" customHeight="1" x14ac:dyDescent="0.2">
      <c r="DL132" s="161" t="str">
        <f>CONCATENATE($DM$2,$Q$5,$DN$2)</f>
        <v xml:space="preserve">   "3",</v>
      </c>
      <c r="DM132" s="121"/>
      <c r="DN132" s="121"/>
    </row>
    <row r="133" spans="116:118" ht="12.75" customHeight="1" x14ac:dyDescent="0.2">
      <c r="DL133" s="161" t="str">
        <f>CONCATENATE($DM$2,$Q$6,$DN$2)</f>
        <v xml:space="preserve">   "2",</v>
      </c>
      <c r="DM133" s="121"/>
      <c r="DN133" s="121"/>
    </row>
    <row r="134" spans="116:118" ht="12.75" customHeight="1" x14ac:dyDescent="0.2">
      <c r="DL134" s="161" t="str">
        <f>CONCATENATE($DM$2,$Q$7,$DN$2)</f>
        <v xml:space="preserve">   "5",</v>
      </c>
      <c r="DM134" s="121"/>
      <c r="DN134" s="121"/>
    </row>
    <row r="135" spans="116:118" ht="12.75" customHeight="1" x14ac:dyDescent="0.2">
      <c r="DL135" s="161" t="str">
        <f>CONCATENATE($DM$2,$Q$8,$DN$2)</f>
        <v xml:space="preserve">   "5",</v>
      </c>
      <c r="DM135" s="121"/>
      <c r="DN135" s="121"/>
    </row>
    <row r="136" spans="116:118" ht="12.75" customHeight="1" x14ac:dyDescent="0.2">
      <c r="DL136" s="161" t="str">
        <f>CONCATENATE($DM$2,$Q$12,$DN$2)</f>
        <v xml:space="preserve">   "4",</v>
      </c>
      <c r="DM136" s="121"/>
      <c r="DN136" s="121"/>
    </row>
    <row r="137" spans="116:118" ht="12.75" customHeight="1" x14ac:dyDescent="0.2">
      <c r="DL137" s="161" t="str">
        <f>CONCATENATE($DM$2,$Q$13,$DN$2)</f>
        <v xml:space="preserve">   "7",</v>
      </c>
      <c r="DM137" s="121"/>
      <c r="DN137" s="121"/>
    </row>
    <row r="138" spans="116:118" ht="12.75" customHeight="1" x14ac:dyDescent="0.2">
      <c r="DL138" s="161" t="str">
        <f>CONCATENATE($DM$2,$Q$14,$DN$2)</f>
        <v xml:space="preserve">   "2",</v>
      </c>
      <c r="DM138" s="121"/>
      <c r="DN138" s="121"/>
    </row>
    <row r="139" spans="116:118" ht="12.75" customHeight="1" x14ac:dyDescent="0.2">
      <c r="DL139" s="161" t="str">
        <f>CONCATENATE($DM$2,$Q$15,$DN$2)</f>
        <v xml:space="preserve">   "7",</v>
      </c>
      <c r="DM139" s="121"/>
      <c r="DN139" s="121"/>
    </row>
    <row r="140" spans="116:118" ht="12.75" customHeight="1" x14ac:dyDescent="0.2">
      <c r="DL140" s="161" t="str">
        <f>CONCATENATE($DM$2,$Q$19,$DN$2)</f>
        <v xml:space="preserve">   "3",</v>
      </c>
      <c r="DM140" s="121"/>
      <c r="DN140" s="121"/>
    </row>
    <row r="141" spans="116:118" ht="12.75" customHeight="1" x14ac:dyDescent="0.2">
      <c r="DL141" s="161" t="str">
        <f>CONCATENATE($DM$2,$Q$20,$DN$2)</f>
        <v xml:space="preserve">   "5",</v>
      </c>
      <c r="DM141" s="121"/>
      <c r="DN141" s="121"/>
    </row>
    <row r="142" spans="116:118" ht="12.75" customHeight="1" x14ac:dyDescent="0.2">
      <c r="DL142" s="161" t="str">
        <f>CONCATENATE($DM$2,$Q$24,$DN$3)</f>
        <v xml:space="preserve">   "5"</v>
      </c>
      <c r="DM142" s="121"/>
      <c r="DN142" s="121"/>
    </row>
    <row r="143" spans="116:118" ht="12.75" customHeight="1" x14ac:dyDescent="0.2">
      <c r="DL143" s="161" t="s">
        <v>31</v>
      </c>
      <c r="DM143" s="121"/>
      <c r="DN143" s="121"/>
    </row>
    <row r="144" spans="116:118" ht="12.75" customHeight="1" x14ac:dyDescent="0.2">
      <c r="DL144" s="161"/>
      <c r="DM144" s="121"/>
      <c r="DN144" s="121"/>
    </row>
    <row r="145" spans="116:118" ht="12.75" customHeight="1" x14ac:dyDescent="0.2">
      <c r="DL145" s="161" t="s">
        <v>74</v>
      </c>
      <c r="DM145" s="121"/>
      <c r="DN145" s="121"/>
    </row>
    <row r="146" spans="116:118" ht="12.75" customHeight="1" x14ac:dyDescent="0.2">
      <c r="DL146" s="162" t="str">
        <f>CONCATENATE($DM$2,$DN$2)</f>
        <v xml:space="preserve">   "",</v>
      </c>
      <c r="DM146" s="121"/>
      <c r="DN146" s="121"/>
    </row>
    <row r="147" spans="116:118" ht="12.75" customHeight="1" x14ac:dyDescent="0.2">
      <c r="DL147" s="162" t="str">
        <f>CONCATENATE($DM$2,$DN$2)</f>
        <v xml:space="preserve">   "",</v>
      </c>
      <c r="DM147" s="121"/>
      <c r="DN147" s="121"/>
    </row>
    <row r="148" spans="116:118" ht="12.75" customHeight="1" x14ac:dyDescent="0.2">
      <c r="DL148" s="162" t="str">
        <f>CONCATENATE($DM$2,$DN$2)</f>
        <v xml:space="preserve">   "",</v>
      </c>
      <c r="DM148" s="121"/>
      <c r="DN148" s="121"/>
    </row>
    <row r="149" spans="116:118" ht="12.75" customHeight="1" x14ac:dyDescent="0.2">
      <c r="DL149" s="161" t="str">
        <f>CONCATENATE($DM$2,$Q$9,$DN$2)</f>
        <v xml:space="preserve">   "45",</v>
      </c>
      <c r="DM149" s="121"/>
      <c r="DN149" s="121"/>
    </row>
    <row r="150" spans="116:118" ht="12.75" customHeight="1" x14ac:dyDescent="0.2">
      <c r="DL150" s="162" t="str">
        <f>CONCATENATE($DM$2,$DN$2)</f>
        <v xml:space="preserve">   "",</v>
      </c>
      <c r="DM150" s="121"/>
      <c r="DN150" s="121"/>
    </row>
    <row r="151" spans="116:118" ht="12.75" customHeight="1" x14ac:dyDescent="0.2">
      <c r="DL151" s="162" t="str">
        <f>CONCATENATE($DM$2,$DN$2)</f>
        <v xml:space="preserve">   "",</v>
      </c>
      <c r="DM151" s="121"/>
      <c r="DN151" s="121"/>
    </row>
    <row r="152" spans="116:118" ht="12.75" customHeight="1" x14ac:dyDescent="0.2">
      <c r="DL152" s="162" t="str">
        <f>CONCATENATE($DM$2,$DN$2)</f>
        <v xml:space="preserve">   "",</v>
      </c>
      <c r="DM152" s="121"/>
      <c r="DN152" s="121"/>
    </row>
    <row r="153" spans="116:118" ht="12.75" customHeight="1" x14ac:dyDescent="0.2">
      <c r="DL153" s="161" t="str">
        <f>CONCATENATE($DM$2,$Q$16,$DN$2)</f>
        <v xml:space="preserve">   "40",</v>
      </c>
      <c r="DM153" s="121"/>
      <c r="DN153" s="121"/>
    </row>
    <row r="154" spans="116:118" ht="12.75" customHeight="1" x14ac:dyDescent="0.2">
      <c r="DL154" s="162" t="str">
        <f>CONCATENATE($DM$2,$DN$2)</f>
        <v xml:space="preserve">   "",</v>
      </c>
      <c r="DM154" s="121"/>
      <c r="DN154" s="121"/>
    </row>
    <row r="155" spans="116:118" ht="12.75" customHeight="1" x14ac:dyDescent="0.2">
      <c r="DL155" s="161" t="str">
        <f>CONCATENATE($DM$2,$Q$21,$DN$2)</f>
        <v xml:space="preserve">   "48",</v>
      </c>
      <c r="DM155" s="121"/>
      <c r="DN155" s="121"/>
    </row>
    <row r="156" spans="116:118" ht="12.75" customHeight="1" x14ac:dyDescent="0.2">
      <c r="DL156" s="161" t="str">
        <f>CONCATENATE($DM$2,$Q$25,$DN$3)</f>
        <v xml:space="preserve">   "44"</v>
      </c>
      <c r="DM156" s="121"/>
      <c r="DN156" s="121"/>
    </row>
    <row r="157" spans="116:118" ht="12.75" customHeight="1" x14ac:dyDescent="0.2">
      <c r="DL157" s="161" t="s">
        <v>31</v>
      </c>
      <c r="DM157" s="121"/>
      <c r="DN157" s="121"/>
    </row>
    <row r="158" spans="116:118" ht="12.75" customHeight="1" x14ac:dyDescent="0.2">
      <c r="DL158" s="163"/>
      <c r="DM158" s="121"/>
      <c r="DN158" s="121"/>
    </row>
    <row r="159" spans="116:118" ht="12.75" customHeight="1" x14ac:dyDescent="0.2">
      <c r="DL159" s="161" t="s">
        <v>37</v>
      </c>
      <c r="DM159" s="121"/>
      <c r="DN159" s="121"/>
    </row>
    <row r="160" spans="116:118" ht="12.75" customHeight="1" x14ac:dyDescent="0.2">
      <c r="DL160" s="161" t="str">
        <f>CONCATENATE($DM$2,$S$5,$DN$2)</f>
        <v xml:space="preserve">   "V",</v>
      </c>
      <c r="DM160" s="121"/>
      <c r="DN160" s="121"/>
    </row>
    <row r="161" spans="116:118" ht="12.75" customHeight="1" x14ac:dyDescent="0.2">
      <c r="DL161" s="161" t="str">
        <f>CONCATENATE($DM$2,$S$6,$DN$2)</f>
        <v xml:space="preserve">   "V",</v>
      </c>
      <c r="DM161" s="121"/>
      <c r="DN161" s="121"/>
    </row>
    <row r="162" spans="116:118" ht="12.75" customHeight="1" x14ac:dyDescent="0.2">
      <c r="DL162" s="161" t="str">
        <f>CONCATENATE($DM$2,$S$7,$DN$2)</f>
        <v xml:space="preserve">   "V",</v>
      </c>
      <c r="DM162" s="121"/>
      <c r="DN162" s="121"/>
    </row>
    <row r="163" spans="116:118" ht="12.75" customHeight="1" x14ac:dyDescent="0.2">
      <c r="DL163" s="161" t="str">
        <f>CONCATENATE($DM$2,$S$8,$DN$2)</f>
        <v xml:space="preserve">   "V",</v>
      </c>
      <c r="DM163" s="121"/>
      <c r="DN163" s="121"/>
    </row>
    <row r="164" spans="116:118" ht="12.75" customHeight="1" x14ac:dyDescent="0.2">
      <c r="DL164" s="161" t="str">
        <f>CONCATENATE($DM$2,$S$12,$DN$2)</f>
        <v xml:space="preserve">   "H",</v>
      </c>
      <c r="DM164" s="121"/>
      <c r="DN164" s="121"/>
    </row>
    <row r="165" spans="116:118" ht="12.75" customHeight="1" x14ac:dyDescent="0.2">
      <c r="DL165" s="161" t="str">
        <f>CONCATENATE($DM$2,$S$13,$DN$2)</f>
        <v xml:space="preserve">   "V",</v>
      </c>
      <c r="DM165" s="121"/>
      <c r="DN165" s="121"/>
    </row>
    <row r="166" spans="116:118" ht="12.75" customHeight="1" x14ac:dyDescent="0.2">
      <c r="DL166" s="161" t="str">
        <f>CONCATENATE($DM$2,$S$14,$DN$2)</f>
        <v xml:space="preserve">   "V",</v>
      </c>
      <c r="DM166" s="121"/>
      <c r="DN166" s="121"/>
    </row>
    <row r="167" spans="116:118" ht="12.75" customHeight="1" x14ac:dyDescent="0.2">
      <c r="DL167" s="161" t="str">
        <f>CONCATENATE($DM$2,$S$15,$DN$2)</f>
        <v xml:space="preserve">   "H",</v>
      </c>
      <c r="DM167" s="121"/>
      <c r="DN167" s="121"/>
    </row>
    <row r="168" spans="116:118" ht="12.75" customHeight="1" x14ac:dyDescent="0.2">
      <c r="DL168" s="161" t="str">
        <f>CONCATENATE($DM$2,$S$19,$DN$2)</f>
        <v xml:space="preserve">   "H",</v>
      </c>
      <c r="DM168" s="121"/>
      <c r="DN168" s="121"/>
    </row>
    <row r="169" spans="116:118" ht="12.75" customHeight="1" x14ac:dyDescent="0.2">
      <c r="DL169" s="161" t="str">
        <f>CONCATENATE($DM$2,$S$20,$DN$2)</f>
        <v xml:space="preserve">   "V",</v>
      </c>
      <c r="DM169" s="121"/>
      <c r="DN169" s="121"/>
    </row>
    <row r="170" spans="116:118" ht="12.75" customHeight="1" x14ac:dyDescent="0.2">
      <c r="DL170" s="161" t="str">
        <f>CONCATENATE($DM$2,$S$24,$DN$3)</f>
        <v xml:space="preserve">   "H"</v>
      </c>
      <c r="DM170" s="121"/>
      <c r="DN170" s="121"/>
    </row>
    <row r="171" spans="116:118" ht="12.75" customHeight="1" x14ac:dyDescent="0.2">
      <c r="DL171" s="161" t="s">
        <v>31</v>
      </c>
      <c r="DM171" s="121"/>
      <c r="DN171" s="121"/>
    </row>
    <row r="172" spans="116:118" ht="12.75" customHeight="1" x14ac:dyDescent="0.2">
      <c r="DL172" s="161"/>
      <c r="DM172" s="121"/>
      <c r="DN172" s="121"/>
    </row>
    <row r="173" spans="116:118" ht="12.75" customHeight="1" x14ac:dyDescent="0.2">
      <c r="DL173" s="161" t="s">
        <v>38</v>
      </c>
      <c r="DM173" s="121"/>
      <c r="DN173" s="121"/>
    </row>
    <row r="174" spans="116:118" ht="12.75" customHeight="1" x14ac:dyDescent="0.2">
      <c r="DL174" s="161" t="str">
        <f>CONCATENATE($DM$2,$U$5,$DN$2)</f>
        <v xml:space="preserve">   "4",</v>
      </c>
      <c r="DM174" s="121"/>
      <c r="DN174" s="121"/>
    </row>
    <row r="175" spans="116:118" ht="12.75" customHeight="1" x14ac:dyDescent="0.2">
      <c r="DL175" s="161" t="str">
        <f>CONCATENATE($DM$2,$U$6,$DN$2)</f>
        <v xml:space="preserve">   "11",</v>
      </c>
      <c r="DM175" s="121"/>
      <c r="DN175" s="121"/>
    </row>
    <row r="176" spans="116:118" ht="12.75" customHeight="1" x14ac:dyDescent="0.2">
      <c r="DL176" s="161" t="str">
        <f>CONCATENATE($DM$2,$U$7,$DN$2)</f>
        <v xml:space="preserve">   "13",</v>
      </c>
      <c r="DM176" s="121"/>
      <c r="DN176" s="121"/>
    </row>
    <row r="177" spans="116:118" ht="12.75" customHeight="1" x14ac:dyDescent="0.2">
      <c r="DL177" s="161" t="str">
        <f>CONCATENATE($DM$2,$U$8,$DN$2)</f>
        <v xml:space="preserve">   "3",</v>
      </c>
      <c r="DM177" s="121"/>
      <c r="DN177" s="121"/>
    </row>
    <row r="178" spans="116:118" ht="12.75" customHeight="1" x14ac:dyDescent="0.2">
      <c r="DL178" s="161" t="str">
        <f>CONCATENATE($DM$2,$U$12,$DN$2)</f>
        <v xml:space="preserve">   "7",</v>
      </c>
      <c r="DM178" s="121"/>
      <c r="DN178" s="121"/>
    </row>
    <row r="179" spans="116:118" ht="12.75" customHeight="1" x14ac:dyDescent="0.2">
      <c r="DL179" s="161" t="str">
        <f>CONCATENATE($DM$2,$U$13,$DN$2)</f>
        <v xml:space="preserve">   "1",</v>
      </c>
      <c r="DM179" s="121"/>
      <c r="DN179" s="121"/>
    </row>
    <row r="180" spans="116:118" ht="12.75" customHeight="1" x14ac:dyDescent="0.2">
      <c r="DL180" s="161" t="str">
        <f>CONCATENATE($DM$2,$U$14,$DN$2)</f>
        <v xml:space="preserve">   "1",</v>
      </c>
      <c r="DM180" s="121"/>
      <c r="DN180" s="121"/>
    </row>
    <row r="181" spans="116:118" ht="12.75" customHeight="1" x14ac:dyDescent="0.2">
      <c r="DL181" s="161" t="str">
        <f>CONCATENATE($DM$2,$U$15,$DN$2)</f>
        <v xml:space="preserve">   "7",</v>
      </c>
      <c r="DM181" s="121"/>
      <c r="DN181" s="121"/>
    </row>
    <row r="182" spans="116:118" ht="12.75" customHeight="1" x14ac:dyDescent="0.2">
      <c r="DL182" s="161" t="str">
        <f>CONCATENATE($DM$2,$U$19,$DN$2)</f>
        <v xml:space="preserve">   "7",</v>
      </c>
      <c r="DM182" s="121"/>
      <c r="DN182" s="121"/>
    </row>
    <row r="183" spans="116:118" ht="12.75" customHeight="1" x14ac:dyDescent="0.2">
      <c r="DL183" s="161" t="str">
        <f>CONCATENATE($DM$2,$U$20,$DN$2)</f>
        <v xml:space="preserve">   "3",</v>
      </c>
      <c r="DM183" s="121"/>
      <c r="DN183" s="121"/>
    </row>
    <row r="184" spans="116:118" ht="12.75" customHeight="1" x14ac:dyDescent="0.2">
      <c r="DL184" s="161" t="str">
        <f>CONCATENATE($DM$2,$U$24,$DN$3)</f>
        <v xml:space="preserve">   "12"</v>
      </c>
      <c r="DM184" s="121"/>
      <c r="DN184" s="121"/>
    </row>
    <row r="185" spans="116:118" ht="12.75" customHeight="1" x14ac:dyDescent="0.2">
      <c r="DL185" s="161" t="s">
        <v>31</v>
      </c>
      <c r="DM185" s="121"/>
      <c r="DN185" s="121"/>
    </row>
    <row r="186" spans="116:118" ht="12.75" customHeight="1" x14ac:dyDescent="0.2">
      <c r="DL186" s="161"/>
      <c r="DM186" s="121"/>
      <c r="DN186" s="121"/>
    </row>
    <row r="187" spans="116:118" ht="12.75" customHeight="1" x14ac:dyDescent="0.2">
      <c r="DL187" s="161" t="s">
        <v>75</v>
      </c>
      <c r="DM187" s="121"/>
      <c r="DN187" s="121"/>
    </row>
    <row r="188" spans="116:118" ht="12.75" customHeight="1" x14ac:dyDescent="0.2">
      <c r="DL188" s="162" t="str">
        <f>CONCATENATE($DM$2,$DN$2)</f>
        <v xml:space="preserve">   "",</v>
      </c>
      <c r="DM188" s="121"/>
      <c r="DN188" s="121"/>
    </row>
    <row r="189" spans="116:118" ht="12.75" customHeight="1" x14ac:dyDescent="0.2">
      <c r="DL189" s="162" t="str">
        <f>CONCATENATE($DM$2,$DN$2)</f>
        <v xml:space="preserve">   "",</v>
      </c>
      <c r="DM189" s="121"/>
      <c r="DN189" s="121"/>
    </row>
    <row r="190" spans="116:118" ht="12.75" customHeight="1" x14ac:dyDescent="0.2">
      <c r="DL190" s="162" t="str">
        <f>CONCATENATE($DM$2,$DN$2)</f>
        <v xml:space="preserve">   "",</v>
      </c>
      <c r="DM190" s="121"/>
      <c r="DN190" s="121"/>
    </row>
    <row r="191" spans="116:118" ht="12.75" customHeight="1" x14ac:dyDescent="0.2">
      <c r="DL191" s="161" t="str">
        <f>CONCATENATE($DM$2,$U$9,$DN$2)</f>
        <v xml:space="preserve">   "37",</v>
      </c>
      <c r="DM191" s="121"/>
      <c r="DN191" s="121"/>
    </row>
    <row r="192" spans="116:118" ht="12.75" customHeight="1" x14ac:dyDescent="0.2">
      <c r="DL192" s="162" t="str">
        <f>CONCATENATE($DM$2,$DN$2)</f>
        <v xml:space="preserve">   "",</v>
      </c>
      <c r="DM192" s="121"/>
      <c r="DN192" s="121"/>
    </row>
    <row r="193" spans="116:118" ht="12.75" customHeight="1" x14ac:dyDescent="0.2">
      <c r="DL193" s="162" t="str">
        <f>CONCATENATE($DM$2,$DN$2)</f>
        <v xml:space="preserve">   "",</v>
      </c>
      <c r="DM193" s="121"/>
      <c r="DN193" s="121"/>
    </row>
    <row r="194" spans="116:118" ht="12.75" customHeight="1" x14ac:dyDescent="0.2">
      <c r="DL194" s="162" t="str">
        <f>CONCATENATE($DM$2,$DN$2)</f>
        <v xml:space="preserve">   "",</v>
      </c>
      <c r="DM194" s="121"/>
      <c r="DN194" s="121"/>
    </row>
    <row r="195" spans="116:118" ht="12.75" customHeight="1" x14ac:dyDescent="0.2">
      <c r="DL195" s="161" t="str">
        <f>CONCATENATE($DM$2,$U$16,$DN$2)</f>
        <v xml:space="preserve">   "42",</v>
      </c>
      <c r="DM195" s="121"/>
      <c r="DN195" s="121"/>
    </row>
    <row r="196" spans="116:118" ht="12.75" customHeight="1" x14ac:dyDescent="0.2">
      <c r="DL196" s="162" t="str">
        <f>CONCATENATE($DM$2,$DN$2)</f>
        <v xml:space="preserve">   "",</v>
      </c>
      <c r="DM196" s="121"/>
      <c r="DN196" s="121"/>
    </row>
    <row r="197" spans="116:118" ht="12.75" customHeight="1" x14ac:dyDescent="0.2">
      <c r="DL197" s="161" t="str">
        <f>CONCATENATE($DM$2,$U$21,$DN$2)</f>
        <v xml:space="preserve">   "42",</v>
      </c>
      <c r="DM197" s="121"/>
      <c r="DN197" s="121"/>
    </row>
    <row r="198" spans="116:118" ht="12.75" customHeight="1" x14ac:dyDescent="0.2">
      <c r="DL198" s="161" t="str">
        <f>CONCATENATE($DM$2,$U$25,$DN$3)</f>
        <v xml:space="preserve">   "42"</v>
      </c>
      <c r="DM198" s="121"/>
      <c r="DN198" s="121"/>
    </row>
    <row r="199" spans="116:118" ht="12.75" customHeight="1" x14ac:dyDescent="0.2">
      <c r="DL199" s="161" t="s">
        <v>31</v>
      </c>
      <c r="DM199" s="121"/>
      <c r="DN199" s="121"/>
    </row>
    <row r="200" spans="116:118" ht="12.75" customHeight="1" x14ac:dyDescent="0.2">
      <c r="DL200" s="163"/>
      <c r="DM200" s="121"/>
      <c r="DN200" s="121"/>
    </row>
    <row r="201" spans="116:118" ht="12.75" customHeight="1" x14ac:dyDescent="0.2">
      <c r="DL201" s="161" t="s">
        <v>39</v>
      </c>
      <c r="DM201" s="121"/>
      <c r="DN201" s="121"/>
    </row>
    <row r="202" spans="116:118" ht="12.75" customHeight="1" x14ac:dyDescent="0.2">
      <c r="DL202" s="161" t="str">
        <f>CONCATENATE($DM$2,$W$5,$DN$2)</f>
        <v xml:space="preserve">   "V",</v>
      </c>
      <c r="DM202" s="121"/>
      <c r="DN202" s="121"/>
    </row>
    <row r="203" spans="116:118" ht="12.75" customHeight="1" x14ac:dyDescent="0.2">
      <c r="DL203" s="161" t="str">
        <f>CONCATENATE($DM$2,$W$6,$DN$2)</f>
        <v xml:space="preserve">   "V",</v>
      </c>
      <c r="DM203" s="121"/>
      <c r="DN203" s="121"/>
    </row>
    <row r="204" spans="116:118" ht="12.75" customHeight="1" x14ac:dyDescent="0.2">
      <c r="DL204" s="161" t="str">
        <f>CONCATENATE($DM$2,$W$7,$DN$2)</f>
        <v xml:space="preserve">   "V",</v>
      </c>
      <c r="DM204" s="121"/>
      <c r="DN204" s="121"/>
    </row>
    <row r="205" spans="116:118" ht="12.75" customHeight="1" x14ac:dyDescent="0.2">
      <c r="DL205" s="161" t="str">
        <f>CONCATENATE($DM$2,$W$8,$DN$2)</f>
        <v xml:space="preserve">   "H",</v>
      </c>
      <c r="DM205" s="121"/>
      <c r="DN205" s="121"/>
    </row>
    <row r="206" spans="116:118" ht="12.75" customHeight="1" x14ac:dyDescent="0.2">
      <c r="DL206" s="161" t="str">
        <f>CONCATENATE($DM$2,$W$12,$DN$2)</f>
        <v xml:space="preserve">   "H",</v>
      </c>
      <c r="DM206" s="121"/>
      <c r="DN206" s="121"/>
    </row>
    <row r="207" spans="116:118" ht="12.75" customHeight="1" x14ac:dyDescent="0.2">
      <c r="DL207" s="161" t="str">
        <f>CONCATENATE($DM$2,$W$13,$DN$2)</f>
        <v xml:space="preserve">   "H",</v>
      </c>
      <c r="DM207" s="121"/>
      <c r="DN207" s="121"/>
    </row>
    <row r="208" spans="116:118" ht="12.75" customHeight="1" x14ac:dyDescent="0.2">
      <c r="DL208" s="161" t="str">
        <f>CONCATENATE($DM$2,$W$14,$DN$2)</f>
        <v xml:space="preserve">   "H",</v>
      </c>
      <c r="DM208" s="121"/>
      <c r="DN208" s="121"/>
    </row>
    <row r="209" spans="116:118" ht="12.75" customHeight="1" x14ac:dyDescent="0.2">
      <c r="DL209" s="161" t="str">
        <f>CONCATENATE($DM$2,$W$15,$DN$2)</f>
        <v xml:space="preserve">   "H",</v>
      </c>
      <c r="DM209" s="121"/>
      <c r="DN209" s="121"/>
    </row>
    <row r="210" spans="116:118" ht="12.75" customHeight="1" x14ac:dyDescent="0.2">
      <c r="DL210" s="161" t="str">
        <f>CONCATENATE($DM$2,$W$19,$DN$2)</f>
        <v xml:space="preserve">   "V",</v>
      </c>
      <c r="DM210" s="121"/>
      <c r="DN210" s="121"/>
    </row>
    <row r="211" spans="116:118" ht="12.75" customHeight="1" x14ac:dyDescent="0.2">
      <c r="DL211" s="161" t="str">
        <f>CONCATENATE($DM$2,$W$20,$DN$2)</f>
        <v xml:space="preserve">   "H",</v>
      </c>
      <c r="DM211" s="121"/>
      <c r="DN211" s="121"/>
    </row>
    <row r="212" spans="116:118" ht="12.75" customHeight="1" x14ac:dyDescent="0.2">
      <c r="DL212" s="161" t="str">
        <f>CONCATENATE($DM$2,$W$24,$DN$3)</f>
        <v xml:space="preserve">   "V"</v>
      </c>
      <c r="DM212" s="121"/>
      <c r="DN212" s="121"/>
    </row>
    <row r="213" spans="116:118" ht="12.75" customHeight="1" x14ac:dyDescent="0.2">
      <c r="DL213" s="161" t="s">
        <v>31</v>
      </c>
      <c r="DM213" s="121"/>
      <c r="DN213" s="121"/>
    </row>
    <row r="214" spans="116:118" ht="12.75" customHeight="1" x14ac:dyDescent="0.2">
      <c r="DL214" s="161"/>
      <c r="DM214" s="121"/>
      <c r="DN214" s="121"/>
    </row>
    <row r="215" spans="116:118" ht="12.75" customHeight="1" x14ac:dyDescent="0.2">
      <c r="DL215" s="161" t="s">
        <v>40</v>
      </c>
      <c r="DM215" s="121"/>
      <c r="DN215" s="121"/>
    </row>
    <row r="216" spans="116:118" ht="12.75" customHeight="1" x14ac:dyDescent="0.2">
      <c r="DL216" s="161" t="str">
        <f>CONCATENATE($DM$2,$Y$5,$DN$2)</f>
        <v xml:space="preserve">   "3",</v>
      </c>
      <c r="DM216" s="121"/>
      <c r="DN216" s="121"/>
    </row>
    <row r="217" spans="116:118" ht="12.75" customHeight="1" x14ac:dyDescent="0.2">
      <c r="DL217" s="161" t="str">
        <f>CONCATENATE($DM$2,$Y$6,$DN$2)</f>
        <v xml:space="preserve">   "10",</v>
      </c>
      <c r="DM217" s="121"/>
      <c r="DN217" s="121"/>
    </row>
    <row r="218" spans="116:118" ht="12.75" customHeight="1" x14ac:dyDescent="0.2">
      <c r="DL218" s="161" t="str">
        <f>CONCATENATE($DM$2,$Y$7,$DN$2)</f>
        <v xml:space="preserve">   "7",</v>
      </c>
      <c r="DM218" s="121"/>
      <c r="DN218" s="121"/>
    </row>
    <row r="219" spans="116:118" ht="12.75" customHeight="1" x14ac:dyDescent="0.2">
      <c r="DL219" s="161" t="str">
        <f>CONCATENATE($DM$2,$Y$8,$DN$2)</f>
        <v xml:space="preserve">   "3",</v>
      </c>
      <c r="DM219" s="121"/>
      <c r="DN219" s="121"/>
    </row>
    <row r="220" spans="116:118" ht="12.75" customHeight="1" x14ac:dyDescent="0.2">
      <c r="DL220" s="161" t="str">
        <f>CONCATENATE($DM$2,$Y$12,$DN$2)</f>
        <v xml:space="preserve">   "7",</v>
      </c>
      <c r="DM220" s="121"/>
      <c r="DN220" s="121"/>
    </row>
    <row r="221" spans="116:118" ht="12.75" customHeight="1" x14ac:dyDescent="0.2">
      <c r="DL221" s="161" t="str">
        <f>CONCATENATE($DM$2,$Y$13,$DN$2)</f>
        <v xml:space="preserve">   "10",</v>
      </c>
      <c r="DM221" s="121"/>
      <c r="DN221" s="121"/>
    </row>
    <row r="222" spans="116:118" ht="12.75" customHeight="1" x14ac:dyDescent="0.2">
      <c r="DL222" s="161" t="str">
        <f>CONCATENATE($DM$2,$Y$14,$DN$2)</f>
        <v xml:space="preserve">   "3",</v>
      </c>
      <c r="DM222" s="121"/>
      <c r="DN222" s="121"/>
    </row>
    <row r="223" spans="116:118" ht="12.75" customHeight="1" x14ac:dyDescent="0.2">
      <c r="DL223" s="161" t="str">
        <f>CONCATENATE($DM$2,$Y$15,$DN$2)</f>
        <v xml:space="preserve">   "3",</v>
      </c>
      <c r="DM223" s="121"/>
      <c r="DN223" s="121"/>
    </row>
    <row r="224" spans="116:118" ht="12.75" customHeight="1" x14ac:dyDescent="0.2">
      <c r="DL224" s="161" t="str">
        <f>CONCATENATE($DM$2,$Y$19,$DN$2)</f>
        <v xml:space="preserve">   "3",</v>
      </c>
      <c r="DM224" s="121"/>
      <c r="DN224" s="121"/>
    </row>
    <row r="225" spans="116:118" ht="12.75" customHeight="1" x14ac:dyDescent="0.2">
      <c r="DL225" s="161" t="str">
        <f>CONCATENATE($DM$2,$Y$20,$DN$2)</f>
        <v xml:space="preserve">   "3",</v>
      </c>
      <c r="DM225" s="121"/>
      <c r="DN225" s="121"/>
    </row>
    <row r="226" spans="116:118" ht="12.75" customHeight="1" x14ac:dyDescent="0.2">
      <c r="DL226" s="161" t="str">
        <f>CONCATENATE($DM$2,$Y$24,$DN$3)</f>
        <v xml:space="preserve">   "14"</v>
      </c>
      <c r="DM226" s="121"/>
      <c r="DN226" s="121"/>
    </row>
    <row r="227" spans="116:118" ht="12.75" customHeight="1" x14ac:dyDescent="0.2">
      <c r="DL227" s="161" t="s">
        <v>31</v>
      </c>
      <c r="DM227" s="121"/>
      <c r="DN227" s="121"/>
    </row>
    <row r="228" spans="116:118" ht="12.75" customHeight="1" x14ac:dyDescent="0.2">
      <c r="DL228" s="161"/>
      <c r="DM228" s="121"/>
      <c r="DN228" s="121"/>
    </row>
    <row r="229" spans="116:118" ht="12.75" customHeight="1" x14ac:dyDescent="0.2">
      <c r="DL229" s="161" t="s">
        <v>76</v>
      </c>
      <c r="DM229" s="121"/>
      <c r="DN229" s="121"/>
    </row>
    <row r="230" spans="116:118" ht="12.75" customHeight="1" x14ac:dyDescent="0.2">
      <c r="DL230" s="162" t="str">
        <f>CONCATENATE($DM$2,$DN$2)</f>
        <v xml:space="preserve">   "",</v>
      </c>
      <c r="DM230" s="121"/>
      <c r="DN230" s="121"/>
    </row>
    <row r="231" spans="116:118" ht="12.75" customHeight="1" x14ac:dyDescent="0.2">
      <c r="DL231" s="162" t="str">
        <f>CONCATENATE($DM$2,$DN$2)</f>
        <v xml:space="preserve">   "",</v>
      </c>
      <c r="DM231" s="121"/>
      <c r="DN231" s="121"/>
    </row>
    <row r="232" spans="116:118" ht="12.75" customHeight="1" x14ac:dyDescent="0.2">
      <c r="DL232" s="162" t="str">
        <f>CONCATENATE($DM$2,$DN$2)</f>
        <v xml:space="preserve">   "",</v>
      </c>
      <c r="DM232" s="121"/>
      <c r="DN232" s="121"/>
    </row>
    <row r="233" spans="116:118" ht="12.75" customHeight="1" x14ac:dyDescent="0.2">
      <c r="DL233" s="161" t="str">
        <f>CONCATENATE($DM$2,$Y$9,$DN$2)</f>
        <v xml:space="preserve">   "45",</v>
      </c>
      <c r="DM233" s="121"/>
      <c r="DN233" s="121"/>
    </row>
    <row r="234" spans="116:118" ht="12.75" customHeight="1" x14ac:dyDescent="0.2">
      <c r="DL234" s="162" t="str">
        <f>CONCATENATE($DM$2,$DN$2)</f>
        <v xml:space="preserve">   "",</v>
      </c>
      <c r="DM234" s="121"/>
      <c r="DN234" s="121"/>
    </row>
    <row r="235" spans="116:118" ht="12.75" customHeight="1" x14ac:dyDescent="0.2">
      <c r="DL235" s="162" t="str">
        <f>CONCATENATE($DM$2,$DN$2)</f>
        <v xml:space="preserve">   "",</v>
      </c>
      <c r="DM235" s="121"/>
      <c r="DN235" s="121"/>
    </row>
    <row r="236" spans="116:118" ht="12.75" customHeight="1" x14ac:dyDescent="0.2">
      <c r="DL236" s="162" t="str">
        <f>CONCATENATE($DM$2,$DN$2)</f>
        <v xml:space="preserve">   "",</v>
      </c>
      <c r="DM236" s="121"/>
      <c r="DN236" s="121"/>
    </row>
    <row r="237" spans="116:118" ht="12.75" customHeight="1" x14ac:dyDescent="0.2">
      <c r="DL237" s="161" t="str">
        <f>CONCATENATE($DM$2,$Y$16,$DN$2)</f>
        <v xml:space="preserve">   "41",</v>
      </c>
      <c r="DM237" s="121"/>
      <c r="DN237" s="121"/>
    </row>
    <row r="238" spans="116:118" ht="12.75" customHeight="1" x14ac:dyDescent="0.2">
      <c r="DL238" s="162" t="str">
        <f>CONCATENATE($DM$2,$DN$2)</f>
        <v xml:space="preserve">   "",</v>
      </c>
      <c r="DM238" s="121"/>
      <c r="DN238" s="121"/>
    </row>
    <row r="239" spans="116:118" ht="12.75" customHeight="1" x14ac:dyDescent="0.2">
      <c r="DL239" s="161" t="str">
        <f>CONCATENATE($DM$2,$Y$21,$DN$2)</f>
        <v xml:space="preserve">   "44",</v>
      </c>
      <c r="DM239" s="121"/>
      <c r="DN239" s="121"/>
    </row>
    <row r="240" spans="116:118" ht="12.75" customHeight="1" x14ac:dyDescent="0.2">
      <c r="DL240" s="161" t="str">
        <f>CONCATENATE($DM$2,$Y$25,$DN$3)</f>
        <v xml:space="preserve">   "41"</v>
      </c>
      <c r="DM240" s="121"/>
      <c r="DN240" s="121"/>
    </row>
    <row r="241" spans="116:118" ht="12.75" customHeight="1" x14ac:dyDescent="0.2">
      <c r="DL241" s="161" t="s">
        <v>31</v>
      </c>
      <c r="DM241" s="121"/>
      <c r="DN241" s="121"/>
    </row>
    <row r="242" spans="116:118" ht="12.75" customHeight="1" x14ac:dyDescent="0.2">
      <c r="DL242" s="163"/>
      <c r="DM242" s="121"/>
      <c r="DN242" s="121"/>
    </row>
    <row r="243" spans="116:118" ht="12.75" customHeight="1" x14ac:dyDescent="0.2">
      <c r="DL243" s="161" t="s">
        <v>41</v>
      </c>
      <c r="DM243" s="121"/>
      <c r="DN243" s="121"/>
    </row>
    <row r="244" spans="116:118" ht="12.75" customHeight="1" x14ac:dyDescent="0.2">
      <c r="DL244" s="161" t="str">
        <f>CONCATENATE($DM$2,$AA$5,$DN$2)</f>
        <v xml:space="preserve">   "V",</v>
      </c>
      <c r="DM244" s="121"/>
      <c r="DN244" s="121"/>
    </row>
    <row r="245" spans="116:118" ht="12.75" customHeight="1" x14ac:dyDescent="0.2">
      <c r="DL245" s="161" t="str">
        <f>CONCATENATE($DM$2,$AA$6,$DN$2)</f>
        <v xml:space="preserve">   "H",</v>
      </c>
      <c r="DM245" s="121"/>
      <c r="DN245" s="121"/>
    </row>
    <row r="246" spans="116:118" ht="12.75" customHeight="1" x14ac:dyDescent="0.2">
      <c r="DL246" s="161" t="str">
        <f>CONCATENATE($DM$2,$AA$7,$DN$2)</f>
        <v xml:space="preserve">   "V",</v>
      </c>
      <c r="DM246" s="121"/>
      <c r="DN246" s="121"/>
    </row>
    <row r="247" spans="116:118" ht="12.75" customHeight="1" x14ac:dyDescent="0.2">
      <c r="DL247" s="161" t="str">
        <f>CONCATENATE($DM$2,$AA$8,$DN$2)</f>
        <v xml:space="preserve">   "H",</v>
      </c>
      <c r="DM247" s="121"/>
      <c r="DN247" s="121"/>
    </row>
    <row r="248" spans="116:118" ht="12.75" customHeight="1" x14ac:dyDescent="0.2">
      <c r="DL248" s="161" t="str">
        <f>CONCATENATE($DM$2,$AA$12,$DN$2)</f>
        <v xml:space="preserve">   "V",</v>
      </c>
      <c r="DM248" s="121"/>
      <c r="DN248" s="121"/>
    </row>
    <row r="249" spans="116:118" ht="12.75" customHeight="1" x14ac:dyDescent="0.2">
      <c r="DL249" s="161" t="str">
        <f>CONCATENATE($DM$2,$AA$13,$DN$2)</f>
        <v xml:space="preserve">   "H",</v>
      </c>
      <c r="DM249" s="121"/>
      <c r="DN249" s="121"/>
    </row>
    <row r="250" spans="116:118" ht="12.75" customHeight="1" x14ac:dyDescent="0.2">
      <c r="DL250" s="161" t="str">
        <f>CONCATENATE($DM$2,$AA$14,$DN$2)</f>
        <v xml:space="preserve">   "H",</v>
      </c>
      <c r="DM250" s="121"/>
      <c r="DN250" s="121"/>
    </row>
    <row r="251" spans="116:118" ht="12.75" customHeight="1" x14ac:dyDescent="0.2">
      <c r="DL251" s="161" t="str">
        <f>CONCATENATE($DM$2,$AA$15,$DN$2)</f>
        <v xml:space="preserve">   "H",</v>
      </c>
      <c r="DM251" s="121"/>
      <c r="DN251" s="121"/>
    </row>
    <row r="252" spans="116:118" ht="12.75" customHeight="1" x14ac:dyDescent="0.2">
      <c r="DL252" s="161" t="str">
        <f>CONCATENATE($DM$2,$AA$19,$DN$2)</f>
        <v xml:space="preserve">   "V",</v>
      </c>
      <c r="DM252" s="121"/>
      <c r="DN252" s="121"/>
    </row>
    <row r="253" spans="116:118" ht="12.75" customHeight="1" x14ac:dyDescent="0.2">
      <c r="DL253" s="161" t="str">
        <f>CONCATENATE($DM$2,$AA$20,$DN$2)</f>
        <v xml:space="preserve">   "V",</v>
      </c>
      <c r="DM253" s="121"/>
      <c r="DN253" s="121"/>
    </row>
    <row r="254" spans="116:118" ht="12.75" customHeight="1" x14ac:dyDescent="0.2">
      <c r="DL254" s="161" t="str">
        <f>CONCATENATE($DM$2,$AA$24,$DN$3)</f>
        <v xml:space="preserve">   "H"</v>
      </c>
      <c r="DM254" s="121"/>
      <c r="DN254" s="121"/>
    </row>
    <row r="255" spans="116:118" ht="12.75" customHeight="1" x14ac:dyDescent="0.2">
      <c r="DL255" s="161" t="s">
        <v>31</v>
      </c>
      <c r="DM255" s="121"/>
      <c r="DN255" s="121"/>
    </row>
    <row r="256" spans="116:118" ht="12.75" customHeight="1" x14ac:dyDescent="0.2">
      <c r="DL256" s="161"/>
      <c r="DM256" s="121"/>
      <c r="DN256" s="121"/>
    </row>
    <row r="257" spans="116:118" ht="12.75" customHeight="1" x14ac:dyDescent="0.2">
      <c r="DL257" s="161" t="s">
        <v>42</v>
      </c>
      <c r="DM257" s="121"/>
      <c r="DN257" s="121"/>
    </row>
    <row r="258" spans="116:118" ht="12.75" customHeight="1" x14ac:dyDescent="0.2">
      <c r="DL258" s="161" t="str">
        <f>CONCATENATE($DM$2,$AC$5,$DN$2)</f>
        <v xml:space="preserve">   "7",</v>
      </c>
      <c r="DM258" s="121"/>
      <c r="DN258" s="121"/>
    </row>
    <row r="259" spans="116:118" ht="12.75" customHeight="1" x14ac:dyDescent="0.2">
      <c r="DL259" s="161" t="str">
        <f>CONCATENATE($DM$2,$AC$6,$DN$2)</f>
        <v xml:space="preserve">   "3",</v>
      </c>
      <c r="DM259" s="121"/>
      <c r="DN259" s="121"/>
    </row>
    <row r="260" spans="116:118" ht="12.75" customHeight="1" x14ac:dyDescent="0.2">
      <c r="DL260" s="161" t="str">
        <f>CONCATENATE($DM$2,$AC$7,$DN$2)</f>
        <v xml:space="preserve">   "10",</v>
      </c>
      <c r="DM260" s="121"/>
      <c r="DN260" s="121"/>
    </row>
    <row r="261" spans="116:118" ht="12.75" customHeight="1" x14ac:dyDescent="0.2">
      <c r="DL261" s="161" t="str">
        <f>CONCATENATE($DM$2,$AC$8,$DN$2)</f>
        <v xml:space="preserve">   "10",</v>
      </c>
      <c r="DM261" s="121"/>
      <c r="DN261" s="121"/>
    </row>
    <row r="262" spans="116:118" ht="12.75" customHeight="1" x14ac:dyDescent="0.2">
      <c r="DL262" s="161" t="str">
        <f>CONCATENATE($DM$2,$AC$12,$DN$2)</f>
        <v xml:space="preserve">   "13",</v>
      </c>
      <c r="DM262" s="121"/>
      <c r="DN262" s="121"/>
    </row>
    <row r="263" spans="116:118" ht="12.75" customHeight="1" x14ac:dyDescent="0.2">
      <c r="DL263" s="161" t="str">
        <f>CONCATENATE($DM$2,$AC$13,$DN$2)</f>
        <v xml:space="preserve">   "14",</v>
      </c>
      <c r="DM263" s="121"/>
      <c r="DN263" s="121"/>
    </row>
    <row r="264" spans="116:118" ht="12.75" customHeight="1" x14ac:dyDescent="0.2">
      <c r="DL264" s="161" t="str">
        <f>CONCATENATE($DM$2,$AC$14,$DN$2)</f>
        <v xml:space="preserve">   "3",</v>
      </c>
      <c r="DM264" s="121"/>
      <c r="DN264" s="121"/>
    </row>
    <row r="265" spans="116:118" ht="12.75" customHeight="1" x14ac:dyDescent="0.2">
      <c r="DL265" s="161" t="str">
        <f>CONCATENATE($DM$2,$AC$15,$DN$2)</f>
        <v xml:space="preserve">   "14",</v>
      </c>
      <c r="DM265" s="121"/>
      <c r="DN265" s="121"/>
    </row>
    <row r="266" spans="116:118" ht="12.75" customHeight="1" x14ac:dyDescent="0.2">
      <c r="DL266" s="161" t="str">
        <f>CONCATENATE($DM$2,$AC$19,$DN$2)</f>
        <v xml:space="preserve">   "10",</v>
      </c>
      <c r="DM266" s="121"/>
      <c r="DN266" s="121"/>
    </row>
    <row r="267" spans="116:118" ht="12.75" customHeight="1" x14ac:dyDescent="0.2">
      <c r="DL267" s="161" t="str">
        <f>CONCATENATE($DM$2,$AC$20,$DN$2)</f>
        <v xml:space="preserve">   "10",</v>
      </c>
      <c r="DM267" s="121"/>
      <c r="DN267" s="121"/>
    </row>
    <row r="268" spans="116:118" ht="12.75" customHeight="1" x14ac:dyDescent="0.2">
      <c r="DL268" s="161" t="str">
        <f>CONCATENATE($DM$2,$AC$24,$DN$3)</f>
        <v xml:space="preserve">   "3"</v>
      </c>
      <c r="DM268" s="121"/>
      <c r="DN268" s="121"/>
    </row>
    <row r="269" spans="116:118" ht="12.75" customHeight="1" x14ac:dyDescent="0.2">
      <c r="DL269" s="161" t="s">
        <v>31</v>
      </c>
      <c r="DM269" s="121"/>
      <c r="DN269" s="121"/>
    </row>
    <row r="270" spans="116:118" ht="12.75" customHeight="1" x14ac:dyDescent="0.2">
      <c r="DL270" s="161"/>
      <c r="DM270" s="121"/>
      <c r="DN270" s="121"/>
    </row>
    <row r="271" spans="116:118" ht="12.75" customHeight="1" x14ac:dyDescent="0.2">
      <c r="DL271" s="161" t="s">
        <v>77</v>
      </c>
      <c r="DM271" s="121"/>
      <c r="DN271" s="121"/>
    </row>
    <row r="272" spans="116:118" ht="12.75" customHeight="1" x14ac:dyDescent="0.2">
      <c r="DL272" s="162" t="str">
        <f>CONCATENATE($DM$2,$DN$2)</f>
        <v xml:space="preserve">   "",</v>
      </c>
      <c r="DM272" s="121"/>
      <c r="DN272" s="121"/>
    </row>
    <row r="273" spans="116:118" ht="12.75" customHeight="1" x14ac:dyDescent="0.2">
      <c r="DL273" s="162" t="str">
        <f>CONCATENATE($DM$2,$DN$2)</f>
        <v xml:space="preserve">   "",</v>
      </c>
      <c r="DM273" s="121"/>
      <c r="DN273" s="121"/>
    </row>
    <row r="274" spans="116:118" ht="12.75" customHeight="1" x14ac:dyDescent="0.2">
      <c r="DL274" s="162" t="str">
        <f>CONCATENATE($DM$2,$DN$2)</f>
        <v xml:space="preserve">   "",</v>
      </c>
      <c r="DM274" s="121"/>
      <c r="DN274" s="121"/>
    </row>
    <row r="275" spans="116:118" ht="12.75" customHeight="1" x14ac:dyDescent="0.2">
      <c r="DL275" s="161" t="str">
        <f>CONCATENATE($DM$2,$AC$9,$DN$2)</f>
        <v xml:space="preserve">   "52",</v>
      </c>
      <c r="DM275" s="121"/>
      <c r="DN275" s="121"/>
    </row>
    <row r="276" spans="116:118" ht="12.75" customHeight="1" x14ac:dyDescent="0.2">
      <c r="DL276" s="162" t="str">
        <f>CONCATENATE($DM$2,$DN$2)</f>
        <v xml:space="preserve">   "",</v>
      </c>
      <c r="DM276" s="121"/>
      <c r="DN276" s="121"/>
    </row>
    <row r="277" spans="116:118" ht="12.75" customHeight="1" x14ac:dyDescent="0.2">
      <c r="DL277" s="162" t="str">
        <f>CONCATENATE($DM$2,$DN$2)</f>
        <v xml:space="preserve">   "",</v>
      </c>
      <c r="DM277" s="121"/>
      <c r="DN277" s="121"/>
    </row>
    <row r="278" spans="116:118" ht="12.75" customHeight="1" x14ac:dyDescent="0.2">
      <c r="DL278" s="162" t="str">
        <f>CONCATENATE($DM$2,$DN$2)</f>
        <v xml:space="preserve">   "",</v>
      </c>
      <c r="DM278" s="121"/>
      <c r="DN278" s="121"/>
    </row>
    <row r="279" spans="116:118" ht="12.75" customHeight="1" x14ac:dyDescent="0.2">
      <c r="DL279" s="161" t="str">
        <f>CONCATENATE($DM$2,$AC$16,$DN$2)</f>
        <v xml:space="preserve">   "42",</v>
      </c>
      <c r="DM279" s="121"/>
      <c r="DN279" s="121"/>
    </row>
    <row r="280" spans="116:118" ht="12.75" customHeight="1" x14ac:dyDescent="0.2">
      <c r="DL280" s="162" t="str">
        <f>CONCATENATE($DM$2,$DN$2)</f>
        <v xml:space="preserve">   "",</v>
      </c>
      <c r="DM280" s="121"/>
      <c r="DN280" s="121"/>
    </row>
    <row r="281" spans="116:118" ht="12.75" customHeight="1" x14ac:dyDescent="0.2">
      <c r="DL281" s="161" t="str">
        <f>CONCATENATE($DM$2,$AC$21,$DN$2)</f>
        <v xml:space="preserve">   "52",</v>
      </c>
      <c r="DM281" s="121"/>
      <c r="DN281" s="121"/>
    </row>
    <row r="282" spans="116:118" ht="12.75" customHeight="1" x14ac:dyDescent="0.2">
      <c r="DL282" s="161" t="str">
        <f>CONCATENATE($DM$2,$AC$25,$DN$3)</f>
        <v xml:space="preserve">   "44"</v>
      </c>
      <c r="DM282" s="121"/>
      <c r="DN282" s="121"/>
    </row>
    <row r="283" spans="116:118" ht="12.75" customHeight="1" x14ac:dyDescent="0.2">
      <c r="DL283" s="161" t="s">
        <v>31</v>
      </c>
      <c r="DM283" s="121"/>
      <c r="DN283" s="121"/>
    </row>
    <row r="284" spans="116:118" ht="12.75" customHeight="1" x14ac:dyDescent="0.2">
      <c r="DL284" s="163"/>
      <c r="DM284" s="121"/>
      <c r="DN284" s="121"/>
    </row>
    <row r="285" spans="116:118" ht="12.75" customHeight="1" x14ac:dyDescent="0.2">
      <c r="DL285" s="161" t="s">
        <v>43</v>
      </c>
      <c r="DM285" s="121"/>
      <c r="DN285" s="121"/>
    </row>
    <row r="286" spans="116:118" ht="12.75" customHeight="1" x14ac:dyDescent="0.2">
      <c r="DL286" s="161" t="str">
        <f>CONCATENATE($DM$2,$AE$5,$DN$2)</f>
        <v xml:space="preserve">   "V",</v>
      </c>
      <c r="DM286" s="121"/>
      <c r="DN286" s="121"/>
    </row>
    <row r="287" spans="116:118" ht="12.75" customHeight="1" x14ac:dyDescent="0.2">
      <c r="DL287" s="161" t="str">
        <f>CONCATENATE($DM$2,$AE$6,$DN$2)</f>
        <v xml:space="preserve">   "V",</v>
      </c>
      <c r="DM287" s="121"/>
      <c r="DN287" s="121"/>
    </row>
    <row r="288" spans="116:118" ht="12.75" customHeight="1" x14ac:dyDescent="0.2">
      <c r="DL288" s="161" t="str">
        <f>CONCATENATE($DM$2,$AE$7,$DN$2)</f>
        <v xml:space="preserve">   "V",</v>
      </c>
      <c r="DM288" s="121"/>
      <c r="DN288" s="121"/>
    </row>
    <row r="289" spans="116:118" ht="12.75" customHeight="1" x14ac:dyDescent="0.2">
      <c r="DL289" s="161" t="str">
        <f>CONCATENATE($DM$2,$AE$8,$DN$2)</f>
        <v xml:space="preserve">   "H",</v>
      </c>
      <c r="DM289" s="121"/>
      <c r="DN289" s="121"/>
    </row>
    <row r="290" spans="116:118" ht="12.75" customHeight="1" x14ac:dyDescent="0.2">
      <c r="DL290" s="161" t="str">
        <f>CONCATENATE($DM$2,$AE$12,$DN$2)</f>
        <v xml:space="preserve">   "",</v>
      </c>
      <c r="DM290" s="121"/>
      <c r="DN290" s="121"/>
    </row>
    <row r="291" spans="116:118" ht="12.75" customHeight="1" x14ac:dyDescent="0.2">
      <c r="DL291" s="161" t="str">
        <f>CONCATENATE($DM$2,$AE$13,$DN$2)</f>
        <v xml:space="preserve">   "",</v>
      </c>
      <c r="DM291" s="121"/>
      <c r="DN291" s="121"/>
    </row>
    <row r="292" spans="116:118" ht="12.75" customHeight="1" x14ac:dyDescent="0.2">
      <c r="DL292" s="161" t="str">
        <f>CONCATENATE($DM$2,$AE$14,$DN$2)</f>
        <v xml:space="preserve">   "",</v>
      </c>
      <c r="DM292" s="121"/>
      <c r="DN292" s="121"/>
    </row>
    <row r="293" spans="116:118" ht="12.75" customHeight="1" x14ac:dyDescent="0.2">
      <c r="DL293" s="161" t="str">
        <f>CONCATENATE($DM$2,$AE$15,$DN$2)</f>
        <v xml:space="preserve">   "",</v>
      </c>
      <c r="DM293" s="121"/>
      <c r="DN293" s="121"/>
    </row>
    <row r="294" spans="116:118" ht="12.75" customHeight="1" x14ac:dyDescent="0.2">
      <c r="DL294" s="161" t="str">
        <f>CONCATENATE($DM$2,$AE$19,$DN$2)</f>
        <v xml:space="preserve">   "V",</v>
      </c>
      <c r="DM294" s="121"/>
      <c r="DN294" s="121"/>
    </row>
    <row r="295" spans="116:118" ht="12.75" customHeight="1" x14ac:dyDescent="0.2">
      <c r="DL295" s="161" t="str">
        <f>CONCATENATE($DM$2,$AE$20,$DN$2)</f>
        <v xml:space="preserve">   "V",</v>
      </c>
      <c r="DM295" s="121"/>
      <c r="DN295" s="121"/>
    </row>
    <row r="296" spans="116:118" ht="12.75" customHeight="1" x14ac:dyDescent="0.2">
      <c r="DL296" s="161" t="str">
        <f>CONCATENATE($DM$2,$AE$24,$DN$3)</f>
        <v xml:space="preserve">   "V"</v>
      </c>
      <c r="DM296" s="121"/>
      <c r="DN296" s="121"/>
    </row>
    <row r="297" spans="116:118" ht="12.75" customHeight="1" x14ac:dyDescent="0.2">
      <c r="DL297" s="161" t="s">
        <v>31</v>
      </c>
      <c r="DM297" s="121"/>
      <c r="DN297" s="121"/>
    </row>
    <row r="298" spans="116:118" ht="12.75" customHeight="1" x14ac:dyDescent="0.2">
      <c r="DL298" s="161"/>
      <c r="DM298" s="121"/>
      <c r="DN298" s="121"/>
    </row>
    <row r="299" spans="116:118" ht="12.75" customHeight="1" x14ac:dyDescent="0.2">
      <c r="DL299" s="161" t="s">
        <v>44</v>
      </c>
      <c r="DM299" s="121"/>
      <c r="DN299" s="121"/>
    </row>
    <row r="300" spans="116:118" ht="12.75" customHeight="1" x14ac:dyDescent="0.2">
      <c r="DL300" s="161" t="str">
        <f>CONCATENATE($DM$2,$AG$5,$DN$2)</f>
        <v xml:space="preserve">   "3",</v>
      </c>
      <c r="DM300" s="121"/>
      <c r="DN300" s="121"/>
    </row>
    <row r="301" spans="116:118" ht="12.75" customHeight="1" x14ac:dyDescent="0.2">
      <c r="DL301" s="161" t="str">
        <f>CONCATENATE($DM$2,$AG$6,$DN$2)</f>
        <v xml:space="preserve">   "7",</v>
      </c>
      <c r="DM301" s="121"/>
      <c r="DN301" s="121"/>
    </row>
    <row r="302" spans="116:118" ht="12.75" customHeight="1" x14ac:dyDescent="0.2">
      <c r="DL302" s="161" t="str">
        <f>CONCATENATE($DM$2,$AG$7,$DN$2)</f>
        <v xml:space="preserve">   "7",</v>
      </c>
      <c r="DM302" s="121"/>
      <c r="DN302" s="121"/>
    </row>
    <row r="303" spans="116:118" ht="12.75" customHeight="1" x14ac:dyDescent="0.2">
      <c r="DL303" s="161" t="str">
        <f>CONCATENATE($DM$2,$AG$8,$DN$2)</f>
        <v xml:space="preserve">   "3",</v>
      </c>
      <c r="DM303" s="121"/>
      <c r="DN303" s="121"/>
    </row>
    <row r="304" spans="116:118" ht="12.75" customHeight="1" x14ac:dyDescent="0.2">
      <c r="DL304" s="161" t="str">
        <f>CONCATENATE($DM$2,$AG$12,$DN$2)</f>
        <v xml:space="preserve">   "",</v>
      </c>
      <c r="DM304" s="121"/>
      <c r="DN304" s="121"/>
    </row>
    <row r="305" spans="116:118" ht="12.75" customHeight="1" x14ac:dyDescent="0.2">
      <c r="DL305" s="161" t="str">
        <f>CONCATENATE($DM$2,$AG$13,$DN$2)</f>
        <v xml:space="preserve">   "",</v>
      </c>
      <c r="DM305" s="121"/>
      <c r="DN305" s="121"/>
    </row>
    <row r="306" spans="116:118" ht="12.75" customHeight="1" x14ac:dyDescent="0.2">
      <c r="DL306" s="161" t="str">
        <f>CONCATENATE($DM$2,$AG$14,$DN$2)</f>
        <v xml:space="preserve">   "",</v>
      </c>
      <c r="DM306" s="121"/>
      <c r="DN306" s="121"/>
    </row>
    <row r="307" spans="116:118" ht="12.75" customHeight="1" x14ac:dyDescent="0.2">
      <c r="DL307" s="161" t="str">
        <f>CONCATENATE($DM$2,$AG$15,$DN$2)</f>
        <v xml:space="preserve">   "",</v>
      </c>
      <c r="DM307" s="121"/>
      <c r="DN307" s="121"/>
    </row>
    <row r="308" spans="116:118" ht="12.75" customHeight="1" x14ac:dyDescent="0.2">
      <c r="DL308" s="161" t="str">
        <f>CONCATENATE($DM$2,$AG$19,$DN$2)</f>
        <v xml:space="preserve">   "14",</v>
      </c>
      <c r="DM308" s="121"/>
      <c r="DN308" s="121"/>
    </row>
    <row r="309" spans="116:118" ht="12.75" customHeight="1" x14ac:dyDescent="0.2">
      <c r="DL309" s="161" t="str">
        <f>CONCATENATE($DM$2,$AG$20,$DN$2)</f>
        <v xml:space="preserve">   "3",</v>
      </c>
      <c r="DM309" s="121"/>
      <c r="DN309" s="121"/>
    </row>
    <row r="310" spans="116:118" ht="12.75" customHeight="1" x14ac:dyDescent="0.2">
      <c r="DL310" s="161" t="str">
        <f>CONCATENATE($DM$2,$AG$24,$DN$3)</f>
        <v xml:space="preserve">   "21"</v>
      </c>
      <c r="DM310" s="121"/>
      <c r="DN310" s="121"/>
    </row>
    <row r="311" spans="116:118" ht="12.75" customHeight="1" x14ac:dyDescent="0.2">
      <c r="DL311" s="161" t="s">
        <v>31</v>
      </c>
      <c r="DM311" s="121"/>
      <c r="DN311" s="121"/>
    </row>
    <row r="312" spans="116:118" ht="12.75" customHeight="1" x14ac:dyDescent="0.2">
      <c r="DL312" s="161"/>
      <c r="DM312" s="121"/>
      <c r="DN312" s="121"/>
    </row>
    <row r="313" spans="116:118" ht="12.75" customHeight="1" x14ac:dyDescent="0.2">
      <c r="DL313" s="161" t="s">
        <v>78</v>
      </c>
      <c r="DM313" s="121"/>
      <c r="DN313" s="121"/>
    </row>
    <row r="314" spans="116:118" ht="12.75" customHeight="1" x14ac:dyDescent="0.2">
      <c r="DL314" s="162" t="str">
        <f>CONCATENATE($DM$2,$DN$2)</f>
        <v xml:space="preserve">   "",</v>
      </c>
      <c r="DM314" s="121"/>
      <c r="DN314" s="121"/>
    </row>
    <row r="315" spans="116:118" ht="12.75" customHeight="1" x14ac:dyDescent="0.2">
      <c r="DL315" s="162" t="str">
        <f>CONCATENATE($DM$2,$DN$2)</f>
        <v xml:space="preserve">   "",</v>
      </c>
      <c r="DM315" s="121"/>
      <c r="DN315" s="121"/>
    </row>
    <row r="316" spans="116:118" ht="12.75" customHeight="1" x14ac:dyDescent="0.2">
      <c r="DL316" s="162" t="str">
        <f>CONCATENATE($DM$2,$DN$2)</f>
        <v xml:space="preserve">   "",</v>
      </c>
      <c r="DM316" s="121"/>
      <c r="DN316" s="121"/>
    </row>
    <row r="317" spans="116:118" x14ac:dyDescent="0.2">
      <c r="DL317" s="161" t="str">
        <f>CONCATENATE($DM$2,$AG$9,$DN$2)</f>
        <v xml:space="preserve">   "38",</v>
      </c>
      <c r="DM317" s="121"/>
      <c r="DN317" s="121"/>
    </row>
    <row r="318" spans="116:118" x14ac:dyDescent="0.2">
      <c r="DL318" s="162" t="str">
        <f>CONCATENATE($DM$2,$DN$2)</f>
        <v xml:space="preserve">   "",</v>
      </c>
      <c r="DM318" s="121"/>
      <c r="DN318" s="121"/>
    </row>
    <row r="319" spans="116:118" x14ac:dyDescent="0.2">
      <c r="DL319" s="162" t="str">
        <f>CONCATENATE($DM$2,$DN$2)</f>
        <v xml:space="preserve">   "",</v>
      </c>
      <c r="DM319" s="121"/>
      <c r="DN319" s="121"/>
    </row>
    <row r="320" spans="116:118" x14ac:dyDescent="0.2">
      <c r="DL320" s="162" t="str">
        <f>CONCATENATE($DM$2,$DN$2)</f>
        <v xml:space="preserve">   "",</v>
      </c>
      <c r="DM320" s="121"/>
      <c r="DN320" s="121"/>
    </row>
    <row r="321" spans="116:118" x14ac:dyDescent="0.2">
      <c r="DL321" s="161" t="str">
        <f>CONCATENATE($DM$2,$AG$16,$DN$2)</f>
        <v xml:space="preserve">   "",</v>
      </c>
      <c r="DM321" s="121"/>
      <c r="DN321" s="121"/>
    </row>
    <row r="322" spans="116:118" x14ac:dyDescent="0.2">
      <c r="DL322" s="162" t="str">
        <f>CONCATENATE($DM$2,$DN$2)</f>
        <v xml:space="preserve">   "",</v>
      </c>
      <c r="DM322" s="121"/>
      <c r="DN322" s="121"/>
    </row>
    <row r="323" spans="116:118" x14ac:dyDescent="0.2">
      <c r="DL323" s="161" t="str">
        <f>CONCATENATE($DM$2,$AG$21,$DN$2)</f>
        <v xml:space="preserve">   "38",</v>
      </c>
      <c r="DM323" s="121"/>
      <c r="DN323" s="121"/>
    </row>
    <row r="324" spans="116:118" x14ac:dyDescent="0.2">
      <c r="DL324" s="161" t="str">
        <f>CONCATENATE($DM$2,$AG$25,$DN$3)</f>
        <v xml:space="preserve">   "62"</v>
      </c>
      <c r="DM324" s="121"/>
      <c r="DN324" s="121"/>
    </row>
    <row r="325" spans="116:118" x14ac:dyDescent="0.2">
      <c r="DL325" s="161" t="s">
        <v>31</v>
      </c>
      <c r="DM325" s="121"/>
      <c r="DN325" s="121"/>
    </row>
    <row r="326" spans="116:118" x14ac:dyDescent="0.2">
      <c r="DL326" s="163"/>
      <c r="DM326" s="121"/>
      <c r="DN326" s="121"/>
    </row>
    <row r="327" spans="116:118" x14ac:dyDescent="0.2">
      <c r="DL327" s="161" t="s">
        <v>45</v>
      </c>
      <c r="DM327" s="121"/>
      <c r="DN327" s="121"/>
    </row>
    <row r="328" spans="116:118" x14ac:dyDescent="0.2">
      <c r="DL328" s="161" t="str">
        <f>CONCATENATE($DM$2,$AI$5,$DN$2)</f>
        <v xml:space="preserve">   "V",</v>
      </c>
      <c r="DM328" s="121"/>
      <c r="DN328" s="121"/>
    </row>
    <row r="329" spans="116:118" x14ac:dyDescent="0.2">
      <c r="DL329" s="161" t="str">
        <f>CONCATENATE($DM$2,$AI$6,$DN$2)</f>
        <v xml:space="preserve">   "H",</v>
      </c>
      <c r="DM329" s="121"/>
      <c r="DN329" s="121"/>
    </row>
    <row r="330" spans="116:118" x14ac:dyDescent="0.2">
      <c r="DL330" s="161" t="str">
        <f>CONCATENATE($DM$2,$AI$7,$DN$2)</f>
        <v xml:space="preserve">   "H",</v>
      </c>
      <c r="DM330" s="121"/>
      <c r="DN330" s="121"/>
    </row>
    <row r="331" spans="116:118" x14ac:dyDescent="0.2">
      <c r="DL331" s="161" t="str">
        <f>CONCATENATE($DM$2,$AI$8,$DN$2)</f>
        <v xml:space="preserve">   "V",</v>
      </c>
      <c r="DM331" s="121"/>
      <c r="DN331" s="121"/>
    </row>
    <row r="332" spans="116:118" x14ac:dyDescent="0.2">
      <c r="DL332" s="161" t="str">
        <f>CONCATENATE($DM$2,$AI$12,$DN$2)</f>
        <v xml:space="preserve">   "H",</v>
      </c>
      <c r="DM332" s="121"/>
      <c r="DN332" s="121"/>
    </row>
    <row r="333" spans="116:118" x14ac:dyDescent="0.2">
      <c r="DL333" s="161" t="str">
        <f>CONCATENATE($DM$2,$AI$13,$DN$2)</f>
        <v xml:space="preserve">   "H",</v>
      </c>
      <c r="DM333" s="121"/>
      <c r="DN333" s="121"/>
    </row>
    <row r="334" spans="116:118" x14ac:dyDescent="0.2">
      <c r="DL334" s="161" t="str">
        <f>CONCATENATE($DM$2,$AI$14,$DN$2)</f>
        <v xml:space="preserve">   "H",</v>
      </c>
      <c r="DM334" s="121"/>
      <c r="DN334" s="121"/>
    </row>
    <row r="335" spans="116:118" x14ac:dyDescent="0.2">
      <c r="DL335" s="161" t="str">
        <f>CONCATENATE($DM$2,$AI$15,$DN$2)</f>
        <v xml:space="preserve">   "V",</v>
      </c>
      <c r="DM335" s="121"/>
      <c r="DN335" s="121"/>
    </row>
    <row r="336" spans="116:118" x14ac:dyDescent="0.2">
      <c r="DL336" s="161" t="str">
        <f>CONCATENATE($DM$2,$AI$19,$DN$2)</f>
        <v xml:space="preserve">   "V",</v>
      </c>
      <c r="DM336" s="121"/>
      <c r="DN336" s="121"/>
    </row>
    <row r="337" spans="116:118" x14ac:dyDescent="0.2">
      <c r="DL337" s="161" t="str">
        <f>CONCATENATE($DM$2,$AI$20,$DN$2)</f>
        <v xml:space="preserve">   "H",</v>
      </c>
      <c r="DM337" s="121"/>
      <c r="DN337" s="121"/>
    </row>
    <row r="338" spans="116:118" x14ac:dyDescent="0.2">
      <c r="DL338" s="161" t="str">
        <f>CONCATENATE($DM$2,$AI$24,$DN$3)</f>
        <v xml:space="preserve">   "V"</v>
      </c>
      <c r="DM338" s="121"/>
      <c r="DN338" s="121"/>
    </row>
    <row r="339" spans="116:118" x14ac:dyDescent="0.2">
      <c r="DL339" s="161" t="s">
        <v>31</v>
      </c>
      <c r="DM339" s="121"/>
      <c r="DN339" s="121"/>
    </row>
    <row r="340" spans="116:118" x14ac:dyDescent="0.2">
      <c r="DL340" s="161"/>
      <c r="DM340" s="121"/>
      <c r="DN340" s="121"/>
    </row>
    <row r="341" spans="116:118" x14ac:dyDescent="0.2">
      <c r="DL341" s="161" t="s">
        <v>46</v>
      </c>
      <c r="DM341" s="121"/>
      <c r="DN341" s="121"/>
    </row>
    <row r="342" spans="116:118" x14ac:dyDescent="0.2">
      <c r="DL342" s="161" t="str">
        <f>CONCATENATE($DM$2,$AK$5,$DN$2)</f>
        <v xml:space="preserve">   "5",</v>
      </c>
      <c r="DM342" s="121"/>
      <c r="DN342" s="121"/>
    </row>
    <row r="343" spans="116:118" x14ac:dyDescent="0.2">
      <c r="DL343" s="161" t="str">
        <f>CONCATENATE($DM$2,$AK$6,$DN$2)</f>
        <v xml:space="preserve">   "3",</v>
      </c>
      <c r="DM343" s="121"/>
      <c r="DN343" s="121"/>
    </row>
    <row r="344" spans="116:118" x14ac:dyDescent="0.2">
      <c r="DL344" s="161" t="str">
        <f>CONCATENATE($DM$2,$AK$7,$DN$2)</f>
        <v xml:space="preserve">   "6",</v>
      </c>
      <c r="DM344" s="121"/>
      <c r="DN344" s="121"/>
    </row>
    <row r="345" spans="116:118" x14ac:dyDescent="0.2">
      <c r="DL345" s="161" t="str">
        <f>CONCATENATE($DM$2,$AK$8,$DN$2)</f>
        <v xml:space="preserve">   "9",</v>
      </c>
      <c r="DM345" s="121"/>
      <c r="DN345" s="121"/>
    </row>
    <row r="346" spans="116:118" x14ac:dyDescent="0.2">
      <c r="DL346" s="161" t="str">
        <f>CONCATENATE($DM$2,$AK$12,$DN$2)</f>
        <v xml:space="preserve">   "10",</v>
      </c>
      <c r="DM346" s="121"/>
      <c r="DN346" s="121"/>
    </row>
    <row r="347" spans="116:118" x14ac:dyDescent="0.2">
      <c r="DL347" s="161" t="str">
        <f>CONCATENATE($DM$2,$AK$13,$DN$2)</f>
        <v xml:space="preserve">   "7",</v>
      </c>
      <c r="DM347" s="121"/>
      <c r="DN347" s="121"/>
    </row>
    <row r="348" spans="116:118" x14ac:dyDescent="0.2">
      <c r="DL348" s="161" t="str">
        <f>CONCATENATE($DM$2,$AK$14,$DN$2)</f>
        <v xml:space="preserve">   "9",</v>
      </c>
      <c r="DM348" s="121"/>
      <c r="DN348" s="121"/>
    </row>
    <row r="349" spans="116:118" x14ac:dyDescent="0.2">
      <c r="DL349" s="161" t="str">
        <f>CONCATENATE($DM$2,$AK$15,$DN$2)</f>
        <v xml:space="preserve">   "2",</v>
      </c>
      <c r="DM349" s="121"/>
      <c r="DN349" s="121"/>
    </row>
    <row r="350" spans="116:118" x14ac:dyDescent="0.2">
      <c r="DL350" s="161" t="str">
        <f>CONCATENATE($DM$2,$AK$19,$DN$2)</f>
        <v xml:space="preserve">   "11",</v>
      </c>
      <c r="DM350" s="121"/>
      <c r="DN350" s="121"/>
    </row>
    <row r="351" spans="116:118" x14ac:dyDescent="0.2">
      <c r="DL351" s="161" t="str">
        <f>CONCATENATE($DM$2,$AK$20,$DN$2)</f>
        <v xml:space="preserve">   "6",</v>
      </c>
      <c r="DM351" s="121"/>
      <c r="DN351" s="121"/>
    </row>
    <row r="352" spans="116:118" x14ac:dyDescent="0.2">
      <c r="DL352" s="161" t="str">
        <f>CONCATENATE($DM$2,$AK$24,$DN$3)</f>
        <v xml:space="preserve">   "13"</v>
      </c>
      <c r="DM352" s="121"/>
      <c r="DN352" s="121"/>
    </row>
    <row r="353" spans="116:118" x14ac:dyDescent="0.2">
      <c r="DL353" s="161" t="s">
        <v>31</v>
      </c>
      <c r="DM353" s="121"/>
      <c r="DN353" s="121"/>
    </row>
    <row r="354" spans="116:118" x14ac:dyDescent="0.2">
      <c r="DL354" s="161"/>
      <c r="DM354" s="121"/>
      <c r="DN354" s="121"/>
    </row>
    <row r="355" spans="116:118" x14ac:dyDescent="0.2">
      <c r="DL355" s="161" t="s">
        <v>79</v>
      </c>
      <c r="DM355" s="121"/>
      <c r="DN355" s="121"/>
    </row>
    <row r="356" spans="116:118" x14ac:dyDescent="0.2">
      <c r="DL356" s="162" t="str">
        <f>CONCATENATE($DM$2,$DN$2)</f>
        <v xml:space="preserve">   "",</v>
      </c>
      <c r="DM356" s="121"/>
      <c r="DN356" s="121"/>
    </row>
    <row r="357" spans="116:118" x14ac:dyDescent="0.2">
      <c r="DL357" s="162" t="str">
        <f>CONCATENATE($DM$2,$DN$2)</f>
        <v xml:space="preserve">   "",</v>
      </c>
      <c r="DM357" s="121"/>
      <c r="DN357" s="121"/>
    </row>
    <row r="358" spans="116:118" x14ac:dyDescent="0.2">
      <c r="DL358" s="162" t="str">
        <f>CONCATENATE($DM$2,$DN$2)</f>
        <v xml:space="preserve">   "",</v>
      </c>
      <c r="DM358" s="121"/>
      <c r="DN358" s="121"/>
    </row>
    <row r="359" spans="116:118" x14ac:dyDescent="0.2">
      <c r="DL359" s="161" t="str">
        <f>CONCATENATE($DM$2,$AK$9,$DN$2)</f>
        <v xml:space="preserve">   "49",</v>
      </c>
      <c r="DM359" s="121"/>
      <c r="DN359" s="121"/>
    </row>
    <row r="360" spans="116:118" x14ac:dyDescent="0.2">
      <c r="DL360" s="162" t="str">
        <f>CONCATENATE($DM$2,$DN$2)</f>
        <v xml:space="preserve">   "",</v>
      </c>
      <c r="DM360" s="121"/>
      <c r="DN360" s="121"/>
    </row>
    <row r="361" spans="116:118" x14ac:dyDescent="0.2">
      <c r="DL361" s="162" t="str">
        <f>CONCATENATE($DM$2,$DN$2)</f>
        <v xml:space="preserve">   "",</v>
      </c>
      <c r="DM361" s="121"/>
      <c r="DN361" s="121"/>
    </row>
    <row r="362" spans="116:118" x14ac:dyDescent="0.2">
      <c r="DL362" s="162" t="str">
        <f>CONCATENATE($DM$2,$DN$2)</f>
        <v xml:space="preserve">   "",</v>
      </c>
      <c r="DM362" s="121"/>
      <c r="DN362" s="121"/>
    </row>
    <row r="363" spans="116:118" x14ac:dyDescent="0.2">
      <c r="DL363" s="161" t="str">
        <f>CONCATENATE($DM$2,$AK$16,$DN$2)</f>
        <v xml:space="preserve">   "41",</v>
      </c>
      <c r="DM363" s="121"/>
      <c r="DN363" s="121"/>
    </row>
    <row r="364" spans="116:118" x14ac:dyDescent="0.2">
      <c r="DL364" s="162" t="str">
        <f>CONCATENATE($DM$2,$DN$2)</f>
        <v xml:space="preserve">   "",</v>
      </c>
      <c r="DM364" s="121"/>
      <c r="DN364" s="121"/>
    </row>
    <row r="365" spans="116:118" x14ac:dyDescent="0.2">
      <c r="DL365" s="161" t="str">
        <f>CONCATENATE($DM$2,$AK$21,$DN$2)</f>
        <v xml:space="preserve">   "48",</v>
      </c>
      <c r="DM365" s="121"/>
      <c r="DN365" s="121"/>
    </row>
    <row r="366" spans="116:118" x14ac:dyDescent="0.2">
      <c r="DL366" s="161" t="str">
        <f>CONCATENATE($DM$2,$AK$25,$DN$3)</f>
        <v xml:space="preserve">   "41"</v>
      </c>
      <c r="DM366" s="121"/>
      <c r="DN366" s="121"/>
    </row>
    <row r="367" spans="116:118" x14ac:dyDescent="0.2">
      <c r="DL367" s="161" t="s">
        <v>31</v>
      </c>
      <c r="DM367" s="121"/>
      <c r="DN367" s="121"/>
    </row>
    <row r="368" spans="116:118" x14ac:dyDescent="0.2">
      <c r="DL368" s="163"/>
      <c r="DM368" s="121"/>
      <c r="DN368" s="121"/>
    </row>
    <row r="369" spans="116:118" x14ac:dyDescent="0.2">
      <c r="DL369" s="161" t="s">
        <v>47</v>
      </c>
      <c r="DM369" s="121"/>
      <c r="DN369" s="121"/>
    </row>
    <row r="370" spans="116:118" x14ac:dyDescent="0.2">
      <c r="DL370" s="161" t="str">
        <f>CONCATENATE($DM$2,$AM$5,$DN$2)</f>
        <v xml:space="preserve">   "V",</v>
      </c>
      <c r="DM370" s="121"/>
      <c r="DN370" s="121"/>
    </row>
    <row r="371" spans="116:118" x14ac:dyDescent="0.2">
      <c r="DL371" s="161" t="str">
        <f>CONCATENATE($DM$2,$AM$6,$DN$2)</f>
        <v xml:space="preserve">   "H",</v>
      </c>
      <c r="DM371" s="121"/>
      <c r="DN371" s="121"/>
    </row>
    <row r="372" spans="116:118" x14ac:dyDescent="0.2">
      <c r="DL372" s="161" t="str">
        <f>CONCATENATE($DM$2,$AM$7,$DN$2)</f>
        <v xml:space="preserve">   "H",</v>
      </c>
      <c r="DM372" s="121"/>
      <c r="DN372" s="121"/>
    </row>
    <row r="373" spans="116:118" x14ac:dyDescent="0.2">
      <c r="DL373" s="161" t="str">
        <f>CONCATENATE($DM$2,$AM$8,$DN$2)</f>
        <v xml:space="preserve">   "H",</v>
      </c>
      <c r="DM373" s="121"/>
      <c r="DN373" s="121"/>
    </row>
    <row r="374" spans="116:118" x14ac:dyDescent="0.2">
      <c r="DL374" s="161" t="str">
        <f>CONCATENATE($DM$2,$AM$12,$DN$2)</f>
        <v xml:space="preserve">   "V",</v>
      </c>
      <c r="DM374" s="121"/>
      <c r="DN374" s="121"/>
    </row>
    <row r="375" spans="116:118" x14ac:dyDescent="0.2">
      <c r="DL375" s="161" t="str">
        <f>CONCATENATE($DM$2,$AM$13,$DN$2)</f>
        <v xml:space="preserve">   "H",</v>
      </c>
      <c r="DM375" s="121"/>
      <c r="DN375" s="121"/>
    </row>
    <row r="376" spans="116:118" x14ac:dyDescent="0.2">
      <c r="DL376" s="161" t="str">
        <f>CONCATENATE($DM$2,$AM$14,$DN$2)</f>
        <v xml:space="preserve">   "H",</v>
      </c>
      <c r="DM376" s="121"/>
      <c r="DN376" s="121"/>
    </row>
    <row r="377" spans="116:118" x14ac:dyDescent="0.2">
      <c r="DL377" s="161" t="str">
        <f>CONCATENATE($DM$2,$AM$15,$DN$2)</f>
        <v xml:space="preserve">   "H",</v>
      </c>
      <c r="DM377" s="121"/>
      <c r="DN377" s="121"/>
    </row>
    <row r="378" spans="116:118" x14ac:dyDescent="0.2">
      <c r="DL378" s="161" t="str">
        <f>CONCATENATE($DM$2,$AM$19,$DN$2)</f>
        <v xml:space="preserve">   "H",</v>
      </c>
      <c r="DM378" s="121"/>
      <c r="DN378" s="121"/>
    </row>
    <row r="379" spans="116:118" x14ac:dyDescent="0.2">
      <c r="DL379" s="161" t="str">
        <f>CONCATENATE($DM$2,$AM$20,$DN$2)</f>
        <v xml:space="preserve">   "V",</v>
      </c>
      <c r="DM379" s="121"/>
      <c r="DN379" s="121"/>
    </row>
    <row r="380" spans="116:118" x14ac:dyDescent="0.2">
      <c r="DL380" s="161" t="str">
        <f>CONCATENATE($DM$2,$AM$24,$DN$3)</f>
        <v xml:space="preserve">   "H"</v>
      </c>
      <c r="DM380" s="121"/>
      <c r="DN380" s="121"/>
    </row>
    <row r="381" spans="116:118" x14ac:dyDescent="0.2">
      <c r="DL381" s="161" t="s">
        <v>31</v>
      </c>
      <c r="DM381" s="121"/>
      <c r="DN381" s="121"/>
    </row>
    <row r="382" spans="116:118" x14ac:dyDescent="0.2">
      <c r="DL382" s="161"/>
      <c r="DM382" s="121"/>
      <c r="DN382" s="121"/>
    </row>
    <row r="383" spans="116:118" x14ac:dyDescent="0.2">
      <c r="DL383" s="161" t="s">
        <v>48</v>
      </c>
      <c r="DM383" s="121"/>
      <c r="DN383" s="121"/>
    </row>
    <row r="384" spans="116:118" x14ac:dyDescent="0.2">
      <c r="DL384" s="161" t="str">
        <f>CONCATENATE($DM$2,$AO$5,$DN$2)</f>
        <v xml:space="preserve">   "7",</v>
      </c>
      <c r="DM384" s="121"/>
      <c r="DN384" s="121"/>
    </row>
    <row r="385" spans="116:118" x14ac:dyDescent="0.2">
      <c r="DL385" s="161" t="str">
        <f>CONCATENATE($DM$2,$AO$6,$DN$2)</f>
        <v xml:space="preserve">   "1",</v>
      </c>
      <c r="DM385" s="121"/>
      <c r="DN385" s="121"/>
    </row>
    <row r="386" spans="116:118" x14ac:dyDescent="0.2">
      <c r="DL386" s="161" t="str">
        <f>CONCATENATE($DM$2,$AO$7,$DN$2)</f>
        <v xml:space="preserve">   "1",</v>
      </c>
      <c r="DM386" s="121"/>
      <c r="DN386" s="121"/>
    </row>
    <row r="387" spans="116:118" x14ac:dyDescent="0.2">
      <c r="DL387" s="161" t="str">
        <f>CONCATENATE($DM$2,$AO$8,$DN$2)</f>
        <v xml:space="preserve">   "3",</v>
      </c>
      <c r="DM387" s="121"/>
      <c r="DN387" s="121"/>
    </row>
    <row r="388" spans="116:118" x14ac:dyDescent="0.2">
      <c r="DL388" s="161" t="str">
        <f>CONCATENATE($DM$2,$AO$12,$DN$2)</f>
        <v xml:space="preserve">   "2",</v>
      </c>
      <c r="DM388" s="121"/>
      <c r="DN388" s="121"/>
    </row>
    <row r="389" spans="116:118" x14ac:dyDescent="0.2">
      <c r="DL389" s="161" t="str">
        <f>CONCATENATE($DM$2,$AO$13,$DN$2)</f>
        <v xml:space="preserve">   "6",</v>
      </c>
      <c r="DM389" s="121"/>
      <c r="DN389" s="121"/>
    </row>
    <row r="390" spans="116:118" x14ac:dyDescent="0.2">
      <c r="DL390" s="161" t="str">
        <f>CONCATENATE($DM$2,$AO$14,$DN$2)</f>
        <v xml:space="preserve">   "6",</v>
      </c>
      <c r="DM390" s="121"/>
      <c r="DN390" s="121"/>
    </row>
    <row r="391" spans="116:118" x14ac:dyDescent="0.2">
      <c r="DL391" s="161" t="str">
        <f>CONCATENATE($DM$2,$AO$15,$DN$2)</f>
        <v xml:space="preserve">   "8",</v>
      </c>
      <c r="DM391" s="121"/>
      <c r="DN391" s="121"/>
    </row>
    <row r="392" spans="116:118" x14ac:dyDescent="0.2">
      <c r="DL392" s="161" t="str">
        <f>CONCATENATE($DM$2,$AO$19,$DN$2)</f>
        <v xml:space="preserve">   "3",</v>
      </c>
      <c r="DM392" s="121"/>
      <c r="DN392" s="121"/>
    </row>
    <row r="393" spans="116:118" x14ac:dyDescent="0.2">
      <c r="DL393" s="161" t="str">
        <f>CONCATENATE($DM$2,$AO$20,$DN$2)</f>
        <v xml:space="preserve">   "3",</v>
      </c>
      <c r="DM393" s="121"/>
      <c r="DN393" s="121"/>
    </row>
    <row r="394" spans="116:118" x14ac:dyDescent="0.2">
      <c r="DL394" s="161" t="str">
        <f>CONCATENATE($DM$2,$AO$24,$DN$3)</f>
        <v xml:space="preserve">   "6"</v>
      </c>
      <c r="DM394" s="121"/>
      <c r="DN394" s="121"/>
    </row>
    <row r="395" spans="116:118" x14ac:dyDescent="0.2">
      <c r="DL395" s="161" t="s">
        <v>31</v>
      </c>
      <c r="DM395" s="121"/>
      <c r="DN395" s="121"/>
    </row>
    <row r="396" spans="116:118" x14ac:dyDescent="0.2">
      <c r="DL396" s="161"/>
      <c r="DM396" s="121"/>
      <c r="DN396" s="121"/>
    </row>
    <row r="397" spans="116:118" x14ac:dyDescent="0.2">
      <c r="DL397" s="161" t="s">
        <v>80</v>
      </c>
      <c r="DM397" s="121"/>
      <c r="DN397" s="121"/>
    </row>
    <row r="398" spans="116:118" x14ac:dyDescent="0.2">
      <c r="DL398" s="162" t="str">
        <f>CONCATENATE($DM$2,$DN$2)</f>
        <v xml:space="preserve">   "",</v>
      </c>
      <c r="DM398" s="121"/>
      <c r="DN398" s="121"/>
    </row>
    <row r="399" spans="116:118" x14ac:dyDescent="0.2">
      <c r="DL399" s="162" t="str">
        <f>CONCATENATE($DM$2,$DN$2)</f>
        <v xml:space="preserve">   "",</v>
      </c>
      <c r="DM399" s="121"/>
      <c r="DN399" s="121"/>
    </row>
    <row r="400" spans="116:118" x14ac:dyDescent="0.2">
      <c r="DL400" s="162" t="str">
        <f>CONCATENATE($DM$2,$DN$2)</f>
        <v xml:space="preserve">   "",</v>
      </c>
      <c r="DM400" s="121"/>
      <c r="DN400" s="121"/>
    </row>
    <row r="401" spans="116:118" x14ac:dyDescent="0.2">
      <c r="DL401" s="161" t="str">
        <f>CONCATENATE($DM$2,$AO$9,$DN$2)</f>
        <v xml:space="preserve">   "46",</v>
      </c>
      <c r="DM401" s="121"/>
      <c r="DN401" s="121"/>
    </row>
    <row r="402" spans="116:118" x14ac:dyDescent="0.2">
      <c r="DL402" s="162" t="str">
        <f>CONCATENATE($DM$2,$DN$2)</f>
        <v xml:space="preserve">   "",</v>
      </c>
      <c r="DM402" s="121"/>
      <c r="DN402" s="121"/>
    </row>
    <row r="403" spans="116:118" x14ac:dyDescent="0.2">
      <c r="DL403" s="162" t="str">
        <f>CONCATENATE($DM$2,$DN$2)</f>
        <v xml:space="preserve">   "",</v>
      </c>
      <c r="DM403" s="121"/>
      <c r="DN403" s="121"/>
    </row>
    <row r="404" spans="116:118" x14ac:dyDescent="0.2">
      <c r="DL404" s="162" t="str">
        <f>CONCATENATE($DM$2,$DN$2)</f>
        <v xml:space="preserve">   "",</v>
      </c>
      <c r="DM404" s="121"/>
      <c r="DN404" s="121"/>
    </row>
    <row r="405" spans="116:118" x14ac:dyDescent="0.2">
      <c r="DL405" s="161" t="str">
        <f>CONCATENATE($DM$2,$AO$16,$DN$2)</f>
        <v xml:space="preserve">   "45",</v>
      </c>
      <c r="DM405" s="121"/>
      <c r="DN405" s="121"/>
    </row>
    <row r="406" spans="116:118" x14ac:dyDescent="0.2">
      <c r="DL406" s="162" t="str">
        <f>CONCATENATE($DM$2,$DN$2)</f>
        <v xml:space="preserve">   "",</v>
      </c>
      <c r="DM406" s="121"/>
      <c r="DN406" s="121"/>
    </row>
    <row r="407" spans="116:118" x14ac:dyDescent="0.2">
      <c r="DL407" s="161" t="str">
        <f>CONCATENATE($DM$2,$AO$21,$DN$2)</f>
        <v xml:space="preserve">   "49",</v>
      </c>
      <c r="DM407" s="121"/>
      <c r="DN407" s="121"/>
    </row>
    <row r="408" spans="116:118" x14ac:dyDescent="0.2">
      <c r="DL408" s="161" t="str">
        <f>CONCATENATE($DM$2,$AO$25,$DN$3)</f>
        <v xml:space="preserve">   "50"</v>
      </c>
      <c r="DM408" s="121"/>
      <c r="DN408" s="121"/>
    </row>
    <row r="409" spans="116:118" x14ac:dyDescent="0.2">
      <c r="DL409" s="161" t="s">
        <v>31</v>
      </c>
      <c r="DM409" s="121"/>
      <c r="DN409" s="121"/>
    </row>
    <row r="410" spans="116:118" x14ac:dyDescent="0.2">
      <c r="DL410" s="163"/>
      <c r="DM410" s="121"/>
      <c r="DN410" s="121"/>
    </row>
    <row r="411" spans="116:118" x14ac:dyDescent="0.2">
      <c r="DL411" s="161" t="s">
        <v>49</v>
      </c>
      <c r="DM411" s="121"/>
      <c r="DN411" s="121"/>
    </row>
    <row r="412" spans="116:118" x14ac:dyDescent="0.2">
      <c r="DL412" s="161" t="str">
        <f>CONCATENATE($DM$2,$AQ$5,$DN$2)</f>
        <v xml:space="preserve">   "V",</v>
      </c>
      <c r="DM412" s="121"/>
      <c r="DN412" s="121"/>
    </row>
    <row r="413" spans="116:118" x14ac:dyDescent="0.2">
      <c r="DL413" s="161" t="str">
        <f>CONCATENATE($DM$2,$AQ$6,$DN$2)</f>
        <v xml:space="preserve">   "V",</v>
      </c>
      <c r="DM413" s="121"/>
      <c r="DN413" s="121"/>
    </row>
    <row r="414" spans="116:118" x14ac:dyDescent="0.2">
      <c r="DL414" s="161" t="str">
        <f>CONCATENATE($DM$2,$AQ$7,$DN$2)</f>
        <v xml:space="preserve">   "V",</v>
      </c>
      <c r="DM414" s="121"/>
      <c r="DN414" s="121"/>
    </row>
    <row r="415" spans="116:118" x14ac:dyDescent="0.2">
      <c r="DL415" s="161" t="str">
        <f>CONCATENATE($DM$2,$AQ$8,$DN$2)</f>
        <v xml:space="preserve">   "H",</v>
      </c>
      <c r="DM415" s="121"/>
      <c r="DN415" s="121"/>
    </row>
    <row r="416" spans="116:118" x14ac:dyDescent="0.2">
      <c r="DL416" s="161" t="str">
        <f>CONCATENATE($DM$2,$AQ$12,$DN$2)</f>
        <v xml:space="preserve">   "H",</v>
      </c>
      <c r="DM416" s="121"/>
      <c r="DN416" s="121"/>
    </row>
    <row r="417" spans="99:118" x14ac:dyDescent="0.2">
      <c r="CU417" s="138"/>
      <c r="CV417" s="138"/>
      <c r="CW417" s="138"/>
      <c r="DL417" s="161" t="str">
        <f>CONCATENATE($DM$2,$AQ$13,$DN$2)</f>
        <v xml:space="preserve">   "H",</v>
      </c>
      <c r="DM417" s="121"/>
      <c r="DN417" s="121"/>
    </row>
    <row r="418" spans="99:118" x14ac:dyDescent="0.2">
      <c r="CU418" s="138"/>
      <c r="CV418" s="138"/>
      <c r="CW418" s="138"/>
      <c r="DL418" s="161" t="str">
        <f>CONCATENATE($DM$2,$AQ$14,$DN$2)</f>
        <v xml:space="preserve">   "H",</v>
      </c>
      <c r="DM418" s="121"/>
      <c r="DN418" s="121"/>
    </row>
    <row r="419" spans="99:118" x14ac:dyDescent="0.2">
      <c r="CU419" s="138"/>
      <c r="CV419" s="138"/>
      <c r="CW419" s="138"/>
      <c r="DL419" s="161" t="str">
        <f>CONCATENATE($DM$2,$AQ$15,$DN$2)</f>
        <v xml:space="preserve">   "H",</v>
      </c>
      <c r="DM419" s="121"/>
      <c r="DN419" s="121"/>
    </row>
    <row r="420" spans="99:118" x14ac:dyDescent="0.2">
      <c r="CU420" s="138"/>
      <c r="CV420" s="138"/>
      <c r="CW420" s="138"/>
      <c r="DL420" s="161" t="str">
        <f>CONCATENATE($DM$2,$AQ$19,$DN$2)</f>
        <v xml:space="preserve">   "V",</v>
      </c>
      <c r="DM420" s="121"/>
      <c r="DN420" s="121"/>
    </row>
    <row r="421" spans="99:118" x14ac:dyDescent="0.2">
      <c r="CU421" s="138"/>
      <c r="CV421" s="138"/>
      <c r="CW421" s="138"/>
      <c r="DL421" s="161" t="str">
        <f>CONCATENATE($DM$2,$AQ$20,$DN$2)</f>
        <v xml:space="preserve">   "H",</v>
      </c>
      <c r="DM421" s="121"/>
      <c r="DN421" s="121"/>
    </row>
    <row r="422" spans="99:118" x14ac:dyDescent="0.2">
      <c r="CU422" s="138"/>
      <c r="CV422" s="138"/>
      <c r="CW422" s="138"/>
      <c r="DL422" s="161" t="str">
        <f>CONCATENATE($DM$2,$AQ$24,$DN$3)</f>
        <v xml:space="preserve">   "V"</v>
      </c>
      <c r="DM422" s="121"/>
      <c r="DN422" s="121"/>
    </row>
    <row r="423" spans="99:118" x14ac:dyDescent="0.2">
      <c r="CU423" s="138"/>
      <c r="CV423" s="138"/>
      <c r="CW423" s="138"/>
      <c r="DL423" s="161" t="s">
        <v>31</v>
      </c>
      <c r="DM423" s="121"/>
      <c r="DN423" s="121"/>
    </row>
    <row r="424" spans="99:118" x14ac:dyDescent="0.2">
      <c r="CU424" s="138"/>
      <c r="CV424" s="138"/>
      <c r="CW424" s="138"/>
      <c r="DL424" s="161"/>
      <c r="DM424" s="121"/>
      <c r="DN424" s="121"/>
    </row>
    <row r="425" spans="99:118" x14ac:dyDescent="0.2">
      <c r="CU425" s="138"/>
      <c r="CV425" s="138"/>
      <c r="CW425" s="138"/>
      <c r="DL425" s="161" t="s">
        <v>50</v>
      </c>
      <c r="DM425" s="121"/>
      <c r="DN425" s="121"/>
    </row>
    <row r="426" spans="99:118" x14ac:dyDescent="0.2">
      <c r="CU426" s="138"/>
      <c r="CV426" s="138"/>
      <c r="CW426" s="138"/>
      <c r="DL426" s="161" t="str">
        <f>CONCATENATE($DM$2,$AS$5,$DN$2)</f>
        <v xml:space="preserve">   "3",</v>
      </c>
      <c r="DM426" s="121"/>
      <c r="DN426" s="121"/>
    </row>
    <row r="427" spans="99:118" x14ac:dyDescent="0.2">
      <c r="CU427" s="138"/>
      <c r="CV427" s="138"/>
      <c r="CW427" s="138"/>
      <c r="DL427" s="161" t="str">
        <f>CONCATENATE($DM$2,$AS$6,$DN$2)</f>
        <v xml:space="preserve">   "3",</v>
      </c>
      <c r="DM427" s="121"/>
      <c r="DN427" s="121"/>
    </row>
    <row r="428" spans="99:118" x14ac:dyDescent="0.2">
      <c r="CU428" s="138"/>
      <c r="CV428" s="138"/>
      <c r="CW428" s="138"/>
      <c r="DL428" s="161" t="str">
        <f>CONCATENATE($DM$2,$AS$7,$DN$2)</f>
        <v xml:space="preserve">   "5",</v>
      </c>
      <c r="DM428" s="121"/>
      <c r="DN428" s="121"/>
    </row>
    <row r="429" spans="99:118" x14ac:dyDescent="0.2">
      <c r="CU429" s="138"/>
      <c r="CV429" s="138"/>
      <c r="CW429" s="138"/>
      <c r="DL429" s="161" t="str">
        <f>CONCATENATE($DM$2,$AS$8,$DN$2)</f>
        <v xml:space="preserve">   "1",</v>
      </c>
      <c r="DM429" s="121"/>
      <c r="DN429" s="121"/>
    </row>
    <row r="430" spans="99:118" x14ac:dyDescent="0.2">
      <c r="CU430" s="138"/>
      <c r="CV430" s="138"/>
      <c r="CW430" s="138"/>
      <c r="DL430" s="161" t="str">
        <f>CONCATENATE($DM$2,$AS$12,$DN$2)</f>
        <v xml:space="preserve">   "4",</v>
      </c>
      <c r="DM430" s="121"/>
      <c r="DN430" s="121"/>
    </row>
    <row r="431" spans="99:118" x14ac:dyDescent="0.2">
      <c r="CU431" s="138"/>
      <c r="CV431" s="138"/>
      <c r="CW431" s="138"/>
      <c r="DL431" s="161" t="str">
        <f>CONCATENATE($DM$2,$AS$13,$DN$2)</f>
        <v xml:space="preserve">   "7",</v>
      </c>
      <c r="DM431" s="121"/>
      <c r="DN431" s="121"/>
    </row>
    <row r="432" spans="99:118" x14ac:dyDescent="0.2">
      <c r="CU432" s="138"/>
      <c r="CV432" s="138"/>
      <c r="CW432" s="138"/>
      <c r="DL432" s="161" t="str">
        <f>CONCATENATE($DM$2,$AS$14,$DN$2)</f>
        <v xml:space="preserve">   "2",</v>
      </c>
      <c r="DM432" s="121"/>
      <c r="DN432" s="121"/>
    </row>
    <row r="433" spans="99:118" x14ac:dyDescent="0.2">
      <c r="CU433" s="138"/>
      <c r="CV433" s="138"/>
      <c r="CW433" s="138"/>
      <c r="DL433" s="161" t="str">
        <f>CONCATENATE($DM$2,$AS$15,$DN$2)</f>
        <v xml:space="preserve">   "7",</v>
      </c>
      <c r="DM433" s="121"/>
      <c r="DN433" s="121"/>
    </row>
    <row r="434" spans="99:118" x14ac:dyDescent="0.2">
      <c r="CU434" s="138"/>
      <c r="CV434" s="138"/>
      <c r="CW434" s="138"/>
      <c r="DL434" s="161" t="str">
        <f>CONCATENATE($DM$2,$AS$19,$DN$2)</f>
        <v xml:space="preserve">   "4",</v>
      </c>
      <c r="DM434" s="121"/>
      <c r="DN434" s="121"/>
    </row>
    <row r="435" spans="99:118" x14ac:dyDescent="0.2">
      <c r="CU435" s="138"/>
      <c r="CV435" s="138"/>
      <c r="CW435" s="138"/>
      <c r="DL435" s="161" t="str">
        <f>CONCATENATE($DM$2,$AS$20,$DN$2)</f>
        <v xml:space="preserve">   "4",</v>
      </c>
      <c r="DM435" s="121"/>
      <c r="DN435" s="121"/>
    </row>
    <row r="436" spans="99:118" x14ac:dyDescent="0.2">
      <c r="CU436" s="138"/>
      <c r="CV436" s="138"/>
      <c r="CW436" s="138"/>
      <c r="DL436" s="161" t="str">
        <f>CONCATENATE($DM$2,$AS$24,$DN$3)</f>
        <v xml:space="preserve">   "4"</v>
      </c>
      <c r="DM436" s="121"/>
      <c r="DN436" s="121"/>
    </row>
    <row r="437" spans="99:118" x14ac:dyDescent="0.2">
      <c r="CU437" s="138"/>
      <c r="CV437" s="138"/>
      <c r="CW437" s="138"/>
      <c r="DL437" s="161" t="s">
        <v>31</v>
      </c>
      <c r="DM437" s="121"/>
      <c r="DN437" s="121"/>
    </row>
    <row r="438" spans="99:118" x14ac:dyDescent="0.2">
      <c r="CU438" s="138"/>
      <c r="CV438" s="138"/>
      <c r="CW438" s="138"/>
      <c r="DL438" s="161"/>
      <c r="DM438" s="121"/>
      <c r="DN438" s="121"/>
    </row>
    <row r="439" spans="99:118" x14ac:dyDescent="0.2">
      <c r="CU439" s="138"/>
      <c r="CV439" s="138"/>
      <c r="CW439" s="138"/>
      <c r="DL439" s="161" t="s">
        <v>81</v>
      </c>
      <c r="DM439" s="121"/>
      <c r="DN439" s="121"/>
    </row>
    <row r="440" spans="99:118" x14ac:dyDescent="0.2">
      <c r="CU440" s="138"/>
      <c r="CV440" s="138"/>
      <c r="CW440" s="138"/>
      <c r="DL440" s="162" t="str">
        <f>CONCATENATE($DM$2,$DN$2)</f>
        <v xml:space="preserve">   "",</v>
      </c>
      <c r="DM440" s="121"/>
      <c r="DN440" s="121"/>
    </row>
    <row r="441" spans="99:118" x14ac:dyDescent="0.2">
      <c r="CU441" s="138"/>
      <c r="CV441" s="138"/>
      <c r="CW441" s="138"/>
      <c r="DL441" s="162" t="str">
        <f>CONCATENATE($DM$2,$DN$2)</f>
        <v xml:space="preserve">   "",</v>
      </c>
      <c r="DM441" s="121"/>
      <c r="DN441" s="121"/>
    </row>
    <row r="442" spans="99:118" x14ac:dyDescent="0.2">
      <c r="CU442" s="138"/>
      <c r="CV442" s="138"/>
      <c r="CW442" s="138"/>
      <c r="DL442" s="162" t="str">
        <f>CONCATENATE($DM$2,$DN$2)</f>
        <v xml:space="preserve">   "",</v>
      </c>
      <c r="DM442" s="121"/>
      <c r="DN442" s="121"/>
    </row>
    <row r="443" spans="99:118" x14ac:dyDescent="0.2">
      <c r="CU443" s="138"/>
      <c r="CV443" s="138"/>
      <c r="CW443" s="138"/>
      <c r="DL443" s="161" t="str">
        <f>CONCATENATE($DM$2,$AS$9,$DN$2)</f>
        <v xml:space="preserve">   "45",</v>
      </c>
      <c r="DM443" s="121"/>
      <c r="DN443" s="121"/>
    </row>
    <row r="444" spans="99:118" x14ac:dyDescent="0.2">
      <c r="CU444" s="138"/>
      <c r="CV444" s="138"/>
      <c r="CW444" s="138"/>
      <c r="DL444" s="162" t="str">
        <f>CONCATENATE($DM$2,$DN$2)</f>
        <v xml:space="preserve">   "",</v>
      </c>
      <c r="DM444" s="121"/>
      <c r="DN444" s="121"/>
    </row>
    <row r="445" spans="99:118" x14ac:dyDescent="0.2">
      <c r="CU445" s="138"/>
      <c r="CV445" s="138"/>
      <c r="CW445" s="138"/>
      <c r="DL445" s="162" t="str">
        <f>CONCATENATE($DM$2,$DN$2)</f>
        <v xml:space="preserve">   "",</v>
      </c>
      <c r="DM445" s="121"/>
      <c r="DN445" s="121"/>
    </row>
    <row r="446" spans="99:118" x14ac:dyDescent="0.2">
      <c r="CU446" s="138"/>
      <c r="CV446" s="138"/>
      <c r="CW446" s="138"/>
      <c r="DL446" s="162" t="str">
        <f>CONCATENATE($DM$2,$DN$2)</f>
        <v xml:space="preserve">   "",</v>
      </c>
      <c r="DM446" s="121"/>
      <c r="DN446" s="121"/>
    </row>
    <row r="447" spans="99:118" x14ac:dyDescent="0.2">
      <c r="CU447" s="138"/>
      <c r="CV447" s="138"/>
      <c r="CW447" s="138"/>
      <c r="DL447" s="161" t="str">
        <f>CONCATENATE($DM$2,$AS$16,$DN$2)</f>
        <v xml:space="preserve">   "40",</v>
      </c>
      <c r="DM447" s="121"/>
      <c r="DN447" s="121"/>
    </row>
    <row r="448" spans="99:118" x14ac:dyDescent="0.2">
      <c r="CU448" s="138"/>
      <c r="CV448" s="138"/>
      <c r="CW448" s="138"/>
      <c r="DL448" s="162" t="str">
        <f>CONCATENATE($DM$2,$DN$2)</f>
        <v xml:space="preserve">   "",</v>
      </c>
      <c r="DM448" s="121"/>
      <c r="DN448" s="121"/>
    </row>
    <row r="449" spans="99:118" x14ac:dyDescent="0.2">
      <c r="CU449" s="138"/>
      <c r="CV449" s="138"/>
      <c r="CW449" s="138"/>
      <c r="DL449" s="161" t="str">
        <f>CONCATENATE($DM$2,$AS$21,$DN$2)</f>
        <v xml:space="preserve">   "47",</v>
      </c>
      <c r="DM449" s="121"/>
      <c r="DN449" s="121"/>
    </row>
    <row r="450" spans="99:118" x14ac:dyDescent="0.2">
      <c r="CU450" s="138"/>
      <c r="CV450" s="138"/>
      <c r="CW450" s="138"/>
      <c r="DL450" s="161" t="str">
        <f>CONCATENATE($DM$2,$AS$25,$DN$3)</f>
        <v xml:space="preserve">   "28"</v>
      </c>
      <c r="DM450" s="121"/>
      <c r="DN450" s="121"/>
    </row>
    <row r="451" spans="99:118" x14ac:dyDescent="0.2">
      <c r="CU451" s="138"/>
      <c r="CV451" s="138"/>
      <c r="CW451" s="138"/>
      <c r="DL451" s="161" t="s">
        <v>31</v>
      </c>
      <c r="DM451" s="121"/>
      <c r="DN451" s="121"/>
    </row>
    <row r="452" spans="99:118" x14ac:dyDescent="0.2">
      <c r="CU452" s="138"/>
      <c r="CV452" s="138"/>
      <c r="CW452" s="138"/>
      <c r="DL452" s="163"/>
      <c r="DM452" s="121"/>
      <c r="DN452" s="121"/>
    </row>
    <row r="453" spans="99:118" x14ac:dyDescent="0.2">
      <c r="CU453" s="138"/>
      <c r="CV453" s="138"/>
      <c r="CW453" s="138"/>
      <c r="DL453" s="161" t="s">
        <v>51</v>
      </c>
      <c r="DM453" s="121"/>
      <c r="DN453" s="121"/>
    </row>
    <row r="454" spans="99:118" x14ac:dyDescent="0.2">
      <c r="CU454" s="138"/>
      <c r="CV454" s="138"/>
      <c r="CW454" s="138"/>
      <c r="DL454" s="161" t="str">
        <f>CONCATENATE($DM$2,$AU$5,$DN$2)</f>
        <v xml:space="preserve">   "V",</v>
      </c>
      <c r="DM454" s="121"/>
      <c r="DN454" s="121"/>
    </row>
    <row r="455" spans="99:118" x14ac:dyDescent="0.2">
      <c r="CU455" s="138"/>
      <c r="CV455" s="138"/>
      <c r="CW455" s="138"/>
      <c r="DL455" s="161" t="str">
        <f>CONCATENATE($DM$2,$AU$6,$DN$2)</f>
        <v xml:space="preserve">   "V",</v>
      </c>
      <c r="DM455" s="121"/>
      <c r="DN455" s="121"/>
    </row>
    <row r="456" spans="99:118" x14ac:dyDescent="0.2">
      <c r="CU456" s="138"/>
      <c r="CV456" s="138"/>
      <c r="CW456" s="138"/>
      <c r="DL456" s="161" t="str">
        <f>CONCATENATE($DM$2,$AU$7,$DN$2)</f>
        <v xml:space="preserve">   "V",</v>
      </c>
      <c r="DM456" s="121"/>
      <c r="DN456" s="121"/>
    </row>
    <row r="457" spans="99:118" x14ac:dyDescent="0.2">
      <c r="CU457" s="138"/>
      <c r="CV457" s="138"/>
      <c r="CW457" s="138"/>
      <c r="DL457" s="161" t="str">
        <f>CONCATENATE($DM$2,$AU$8,$DN$2)</f>
        <v xml:space="preserve">   "H",</v>
      </c>
      <c r="DM457" s="121"/>
      <c r="DN457" s="121"/>
    </row>
    <row r="458" spans="99:118" x14ac:dyDescent="0.2">
      <c r="CU458" s="138"/>
      <c r="CV458" s="138"/>
      <c r="CW458" s="138"/>
      <c r="DL458" s="161" t="str">
        <f>CONCATENATE($DM$2,$AU$12,$DN$2)</f>
        <v xml:space="preserve">   "V",</v>
      </c>
      <c r="DM458" s="121"/>
      <c r="DN458" s="121"/>
    </row>
    <row r="459" spans="99:118" x14ac:dyDescent="0.2">
      <c r="CU459" s="138"/>
      <c r="CV459" s="138"/>
      <c r="CW459" s="138"/>
      <c r="DL459" s="161" t="str">
        <f>CONCATENATE($DM$2,$AU$13,$DN$2)</f>
        <v xml:space="preserve">   "H",</v>
      </c>
      <c r="DM459" s="121"/>
      <c r="DN459" s="121"/>
    </row>
    <row r="460" spans="99:118" x14ac:dyDescent="0.2">
      <c r="CU460" s="138"/>
      <c r="CV460" s="138"/>
      <c r="CW460" s="138"/>
      <c r="DL460" s="161" t="str">
        <f>CONCATENATE($DM$2,$AU$14,$DN$2)</f>
        <v xml:space="preserve">   "H",</v>
      </c>
      <c r="DM460" s="121"/>
      <c r="DN460" s="121"/>
    </row>
    <row r="461" spans="99:118" x14ac:dyDescent="0.2">
      <c r="CU461" s="138"/>
      <c r="CV461" s="138"/>
      <c r="CW461" s="138"/>
      <c r="DL461" s="161" t="str">
        <f>CONCATENATE($DM$2,$AU$15,$DN$2)</f>
        <v xml:space="preserve">   "H",</v>
      </c>
      <c r="DM461" s="121"/>
      <c r="DN461" s="121"/>
    </row>
    <row r="462" spans="99:118" x14ac:dyDescent="0.2">
      <c r="CU462" s="138"/>
      <c r="CV462" s="138"/>
      <c r="CW462" s="138"/>
      <c r="DL462" s="161" t="str">
        <f>CONCATENATE($DM$2,$AU$19,$DN$2)</f>
        <v xml:space="preserve">   "V",</v>
      </c>
      <c r="DM462" s="121"/>
      <c r="DN462" s="121"/>
    </row>
    <row r="463" spans="99:118" x14ac:dyDescent="0.2">
      <c r="CU463" s="138"/>
      <c r="CV463" s="138"/>
      <c r="CW463" s="138"/>
      <c r="DL463" s="161" t="str">
        <f>CONCATENATE($DM$2,$AU$20,$DN$2)</f>
        <v xml:space="preserve">   "H",</v>
      </c>
      <c r="DM463" s="121"/>
      <c r="DN463" s="121"/>
    </row>
    <row r="464" spans="99:118" x14ac:dyDescent="0.2">
      <c r="CU464" s="138"/>
      <c r="CV464" s="138"/>
      <c r="CW464" s="138"/>
      <c r="DL464" s="161" t="str">
        <f>CONCATENATE($DM$2,$AU$24,$DN$3)</f>
        <v xml:space="preserve">   "V"</v>
      </c>
      <c r="DM464" s="121"/>
      <c r="DN464" s="121"/>
    </row>
    <row r="465" spans="99:118" x14ac:dyDescent="0.2">
      <c r="CU465" s="138"/>
      <c r="CV465" s="138"/>
      <c r="CW465" s="138"/>
      <c r="DL465" s="161" t="s">
        <v>31</v>
      </c>
      <c r="DM465" s="121"/>
      <c r="DN465" s="121"/>
    </row>
    <row r="466" spans="99:118" x14ac:dyDescent="0.2">
      <c r="CU466" s="138"/>
      <c r="CV466" s="138"/>
      <c r="CW466" s="138"/>
      <c r="DL466" s="161"/>
      <c r="DM466" s="121"/>
      <c r="DN466" s="121"/>
    </row>
    <row r="467" spans="99:118" x14ac:dyDescent="0.2">
      <c r="CU467" s="138"/>
      <c r="CV467" s="138"/>
      <c r="CW467" s="138"/>
      <c r="DL467" s="161" t="s">
        <v>52</v>
      </c>
      <c r="DM467" s="121"/>
      <c r="DN467" s="121"/>
    </row>
    <row r="468" spans="99:118" x14ac:dyDescent="0.2">
      <c r="CU468" s="138"/>
      <c r="CV468" s="138"/>
      <c r="CW468" s="138"/>
      <c r="DL468" s="161" t="str">
        <f>CONCATENATE($DM$2,$AW$5,$DN$2)</f>
        <v xml:space="preserve">   "7",</v>
      </c>
      <c r="DM468" s="121"/>
      <c r="DN468" s="121"/>
    </row>
    <row r="469" spans="99:118" x14ac:dyDescent="0.2">
      <c r="CU469" s="138"/>
      <c r="CV469" s="138"/>
      <c r="CW469" s="138"/>
      <c r="DL469" s="161" t="str">
        <f>CONCATENATE($DM$2,$AW$6,$DN$2)</f>
        <v xml:space="preserve">   "7",</v>
      </c>
      <c r="DM469" s="121"/>
      <c r="DN469" s="121"/>
    </row>
    <row r="470" spans="99:118" x14ac:dyDescent="0.2">
      <c r="CU470" s="138"/>
      <c r="CV470" s="138"/>
      <c r="CW470" s="138"/>
      <c r="DL470" s="161" t="str">
        <f>CONCATENATE($DM$2,$AW$7,$DN$2)</f>
        <v xml:space="preserve">   "10",</v>
      </c>
      <c r="DM470" s="121"/>
      <c r="DN470" s="121"/>
    </row>
    <row r="471" spans="99:118" x14ac:dyDescent="0.2">
      <c r="CU471" s="138"/>
      <c r="CV471" s="138"/>
      <c r="CW471" s="138"/>
      <c r="DL471" s="161" t="str">
        <f>CONCATENATE($DM$2,$AW$8,$DN$2)</f>
        <v xml:space="preserve">   "7",</v>
      </c>
      <c r="DM471" s="121"/>
      <c r="DN471" s="121"/>
    </row>
    <row r="472" spans="99:118" x14ac:dyDescent="0.2">
      <c r="CU472" s="138"/>
      <c r="CV472" s="138"/>
      <c r="CW472" s="138"/>
      <c r="DL472" s="161" t="str">
        <f>CONCATENATE($DM$2,$AW$12,$DN$2)</f>
        <v xml:space="preserve">   "10",</v>
      </c>
      <c r="DM472" s="121"/>
      <c r="DN472" s="121"/>
    </row>
    <row r="473" spans="99:118" x14ac:dyDescent="0.2">
      <c r="CU473" s="138"/>
      <c r="CV473" s="138"/>
      <c r="CW473" s="138"/>
      <c r="DL473" s="161" t="str">
        <f>CONCATENATE($DM$2,$AW$13,$DN$2)</f>
        <v xml:space="preserve">   "10",</v>
      </c>
      <c r="DM473" s="121"/>
      <c r="DN473" s="121"/>
    </row>
    <row r="474" spans="99:118" x14ac:dyDescent="0.2">
      <c r="CU474" s="138"/>
      <c r="CV474" s="138"/>
      <c r="CW474" s="138"/>
      <c r="DL474" s="161" t="str">
        <f>CONCATENATE($DM$2,$AW$14,$DN$2)</f>
        <v xml:space="preserve">   "17",</v>
      </c>
      <c r="DM474" s="121"/>
      <c r="DN474" s="121"/>
    </row>
    <row r="475" spans="99:118" x14ac:dyDescent="0.2">
      <c r="CU475" s="138"/>
      <c r="CV475" s="138"/>
      <c r="CW475" s="138"/>
      <c r="DL475" s="161" t="str">
        <f>CONCATENATE($DM$2,$AW$15,$DN$2)</f>
        <v xml:space="preserve">   "14",</v>
      </c>
      <c r="DM475" s="121"/>
      <c r="DN475" s="121"/>
    </row>
    <row r="476" spans="99:118" x14ac:dyDescent="0.2">
      <c r="CU476" s="138"/>
      <c r="CV476" s="138"/>
      <c r="CW476" s="138"/>
      <c r="DL476" s="161" t="str">
        <f>CONCATENATE($DM$2,$AW$19,$DN$2)</f>
        <v xml:space="preserve">   "17",</v>
      </c>
      <c r="DM476" s="121"/>
      <c r="DN476" s="121"/>
    </row>
    <row r="477" spans="99:118" x14ac:dyDescent="0.2">
      <c r="CU477" s="138"/>
      <c r="CV477" s="138"/>
      <c r="CW477" s="138"/>
      <c r="DL477" s="161" t="str">
        <f>CONCATENATE($DM$2,$AW$20,$DN$2)</f>
        <v xml:space="preserve">   "10",</v>
      </c>
      <c r="DM477" s="121"/>
      <c r="DN477" s="121"/>
    </row>
    <row r="478" spans="99:118" x14ac:dyDescent="0.2">
      <c r="CU478" s="138"/>
      <c r="CV478" s="138"/>
      <c r="CW478" s="138"/>
      <c r="DL478" s="161" t="str">
        <f>CONCATENATE($DM$2,$AW$24,$DN$3)</f>
        <v xml:space="preserve">   "14"</v>
      </c>
      <c r="DM478" s="121"/>
      <c r="DN478" s="121"/>
    </row>
    <row r="479" spans="99:118" x14ac:dyDescent="0.2">
      <c r="CU479" s="138"/>
      <c r="CV479" s="138"/>
      <c r="CW479" s="138"/>
      <c r="DL479" s="161" t="s">
        <v>31</v>
      </c>
      <c r="DM479" s="121"/>
      <c r="DN479" s="121"/>
    </row>
    <row r="480" spans="99:118" x14ac:dyDescent="0.2">
      <c r="CU480" s="138"/>
      <c r="CV480" s="138"/>
      <c r="CW480" s="138"/>
      <c r="DL480" s="161"/>
      <c r="DM480" s="121"/>
      <c r="DN480" s="121"/>
    </row>
    <row r="481" spans="99:118" x14ac:dyDescent="0.2">
      <c r="CU481" s="138"/>
      <c r="CV481" s="138"/>
      <c r="CW481" s="138"/>
      <c r="DL481" s="161" t="s">
        <v>82</v>
      </c>
      <c r="DM481" s="121"/>
      <c r="DN481" s="121"/>
    </row>
    <row r="482" spans="99:118" x14ac:dyDescent="0.2">
      <c r="CU482" s="138"/>
      <c r="CV482" s="138"/>
      <c r="CW482" s="138"/>
      <c r="DL482" s="162" t="str">
        <f>CONCATENATE($DM$2,$DN$2)</f>
        <v xml:space="preserve">   "",</v>
      </c>
      <c r="DM482" s="121"/>
      <c r="DN482" s="121"/>
    </row>
    <row r="483" spans="99:118" x14ac:dyDescent="0.2">
      <c r="CU483" s="138"/>
      <c r="CV483" s="138"/>
      <c r="CW483" s="138"/>
      <c r="DL483" s="162" t="str">
        <f>CONCATENATE($DM$2,$DN$2)</f>
        <v xml:space="preserve">   "",</v>
      </c>
      <c r="DM483" s="121"/>
      <c r="DN483" s="121"/>
    </row>
    <row r="484" spans="99:118" x14ac:dyDescent="0.2">
      <c r="CU484" s="138"/>
      <c r="CV484" s="138"/>
      <c r="CW484" s="138"/>
      <c r="DL484" s="162" t="str">
        <f>CONCATENATE($DM$2,$DN$2)</f>
        <v xml:space="preserve">   "",</v>
      </c>
      <c r="DM484" s="121"/>
      <c r="DN484" s="121"/>
    </row>
    <row r="485" spans="99:118" x14ac:dyDescent="0.2">
      <c r="CU485" s="138"/>
      <c r="CV485" s="138"/>
      <c r="CW485" s="138"/>
      <c r="DL485" s="161" t="str">
        <f>CONCATENATE($DM$2,$AW$9,$DN$2)</f>
        <v xml:space="preserve">   "48",</v>
      </c>
      <c r="DM485" s="121"/>
      <c r="DN485" s="121"/>
    </row>
    <row r="486" spans="99:118" x14ac:dyDescent="0.2">
      <c r="CU486" s="138"/>
      <c r="CV486" s="138"/>
      <c r="CW486" s="138"/>
      <c r="DL486" s="162" t="str">
        <f>CONCATENATE($DM$2,$DN$2)</f>
        <v xml:space="preserve">   "",</v>
      </c>
      <c r="DM486" s="121"/>
      <c r="DN486" s="121"/>
    </row>
    <row r="487" spans="99:118" x14ac:dyDescent="0.2">
      <c r="CU487" s="138"/>
      <c r="CV487" s="138"/>
      <c r="CW487" s="138"/>
      <c r="DL487" s="162" t="str">
        <f>CONCATENATE($DM$2,$DN$2)</f>
        <v xml:space="preserve">   "",</v>
      </c>
      <c r="DM487" s="121"/>
      <c r="DN487" s="121"/>
    </row>
    <row r="488" spans="99:118" x14ac:dyDescent="0.2">
      <c r="CU488" s="138"/>
      <c r="CV488" s="138"/>
      <c r="CW488" s="138"/>
      <c r="DL488" s="162" t="str">
        <f>CONCATENATE($DM$2,$DN$2)</f>
        <v xml:space="preserve">   "",</v>
      </c>
      <c r="DM488" s="121"/>
      <c r="DN488" s="121"/>
    </row>
    <row r="489" spans="99:118" x14ac:dyDescent="0.2">
      <c r="CU489" s="138"/>
      <c r="CV489" s="138"/>
      <c r="CW489" s="138"/>
      <c r="DL489" s="161" t="str">
        <f>CONCATENATE($DM$2,$AW$16,$DN$2)</f>
        <v xml:space="preserve">   "41",</v>
      </c>
      <c r="DM489" s="121"/>
      <c r="DN489" s="121"/>
    </row>
    <row r="490" spans="99:118" x14ac:dyDescent="0.2">
      <c r="CU490" s="138"/>
      <c r="CV490" s="138"/>
      <c r="CW490" s="138"/>
      <c r="DL490" s="162" t="str">
        <f>CONCATENATE($DM$2,$DN$2)</f>
        <v xml:space="preserve">   "",</v>
      </c>
      <c r="DM490" s="121"/>
      <c r="DN490" s="121"/>
    </row>
    <row r="491" spans="99:118" x14ac:dyDescent="0.2">
      <c r="CU491" s="138"/>
      <c r="CV491" s="138"/>
      <c r="CW491" s="138"/>
      <c r="DL491" s="161" t="str">
        <f>CONCATENATE($DM$2,$AW$21,$DN$2)</f>
        <v xml:space="preserve">   "52",</v>
      </c>
      <c r="DM491" s="121"/>
      <c r="DN491" s="121"/>
    </row>
    <row r="492" spans="99:118" x14ac:dyDescent="0.2">
      <c r="CU492" s="138"/>
      <c r="CV492" s="138"/>
      <c r="CW492" s="138"/>
      <c r="DL492" s="161" t="str">
        <f>CONCATENATE($DM$2,$AW$25,$DN$3)</f>
        <v xml:space="preserve">   "51"</v>
      </c>
      <c r="DM492" s="121"/>
      <c r="DN492" s="121"/>
    </row>
    <row r="493" spans="99:118" x14ac:dyDescent="0.2">
      <c r="CU493" s="138"/>
      <c r="CV493" s="138"/>
      <c r="CW493" s="138"/>
      <c r="DL493" s="161" t="s">
        <v>31</v>
      </c>
      <c r="DM493" s="121"/>
      <c r="DN493" s="121"/>
    </row>
    <row r="494" spans="99:118" x14ac:dyDescent="0.2">
      <c r="CU494" s="138"/>
      <c r="CV494" s="138"/>
      <c r="CW494" s="138"/>
      <c r="DL494" s="163"/>
      <c r="DM494" s="121"/>
      <c r="DN494" s="121"/>
    </row>
    <row r="495" spans="99:118" x14ac:dyDescent="0.2">
      <c r="CU495" s="138"/>
      <c r="CV495" s="138"/>
      <c r="CW495" s="138"/>
      <c r="DL495" s="161" t="s">
        <v>53</v>
      </c>
      <c r="DM495" s="121"/>
      <c r="DN495" s="121"/>
    </row>
    <row r="496" spans="99:118" x14ac:dyDescent="0.2">
      <c r="CU496" s="138"/>
      <c r="CV496" s="138"/>
      <c r="CW496" s="138"/>
      <c r="DL496" s="161" t="str">
        <f>CONCATENATE($DM$2,$AY$5,$DN$2)</f>
        <v xml:space="preserve">   "V",</v>
      </c>
      <c r="DM496" s="121"/>
      <c r="DN496" s="121"/>
    </row>
    <row r="497" spans="99:118" x14ac:dyDescent="0.2">
      <c r="CU497" s="138"/>
      <c r="CV497" s="138"/>
      <c r="CW497" s="138"/>
      <c r="DL497" s="161" t="str">
        <f>CONCATENATE($DM$2,$AY$6,$DN$2)</f>
        <v xml:space="preserve">   "V",</v>
      </c>
      <c r="DM497" s="121"/>
      <c r="DN497" s="121"/>
    </row>
    <row r="498" spans="99:118" x14ac:dyDescent="0.2">
      <c r="DL498" s="161" t="str">
        <f>CONCATENATE($DM$2,$AY$7,$DN$2)</f>
        <v xml:space="preserve">   "H",</v>
      </c>
      <c r="DM498" s="121"/>
      <c r="DN498" s="121"/>
    </row>
    <row r="499" spans="99:118" x14ac:dyDescent="0.2">
      <c r="DL499" s="161" t="str">
        <f>CONCATENATE($DM$2,$AY$8,$DN$2)</f>
        <v xml:space="preserve">   "V",</v>
      </c>
      <c r="DM499" s="121"/>
      <c r="DN499" s="121"/>
    </row>
    <row r="500" spans="99:118" x14ac:dyDescent="0.2">
      <c r="DL500" s="161" t="str">
        <f>CONCATENATE($DM$2,$AY$12,$DN$2)</f>
        <v xml:space="preserve">   "H",</v>
      </c>
      <c r="DM500" s="121"/>
      <c r="DN500" s="121"/>
    </row>
    <row r="501" spans="99:118" x14ac:dyDescent="0.2">
      <c r="DL501" s="161" t="str">
        <f>CONCATENATE($DM$2,$AY$13,$DN$2)</f>
        <v xml:space="preserve">   "H",</v>
      </c>
      <c r="DM501" s="121"/>
      <c r="DN501" s="121"/>
    </row>
    <row r="502" spans="99:118" x14ac:dyDescent="0.2">
      <c r="DL502" s="161" t="str">
        <f>CONCATENATE($DM$2,$AY$14,$DN$2)</f>
        <v xml:space="preserve">   "V",</v>
      </c>
      <c r="DM502" s="121"/>
      <c r="DN502" s="121"/>
    </row>
    <row r="503" spans="99:118" x14ac:dyDescent="0.2">
      <c r="DL503" s="161" t="str">
        <f>CONCATENATE($DM$2,$AY$15,$DN$2)</f>
        <v xml:space="preserve">   "H",</v>
      </c>
      <c r="DM503" s="121"/>
      <c r="DN503" s="121"/>
    </row>
    <row r="504" spans="99:118" x14ac:dyDescent="0.2">
      <c r="DL504" s="161" t="str">
        <f>CONCATENATE($DM$2,$AY$19,$DN$2)</f>
        <v xml:space="preserve">   "V",</v>
      </c>
      <c r="DM504" s="121"/>
      <c r="DN504" s="121"/>
    </row>
    <row r="505" spans="99:118" x14ac:dyDescent="0.2">
      <c r="DL505" s="161" t="str">
        <f>CONCATENATE($DM$2,$AY$20,$DN$2)</f>
        <v xml:space="preserve">   "V",</v>
      </c>
      <c r="DM505" s="121"/>
      <c r="DN505" s="121"/>
    </row>
    <row r="506" spans="99:118" x14ac:dyDescent="0.2">
      <c r="DL506" s="161" t="str">
        <f>CONCATENATE($DM$2,$AY$24,$DN$3)</f>
        <v xml:space="preserve">   "V"</v>
      </c>
      <c r="DM506" s="121"/>
      <c r="DN506" s="121"/>
    </row>
    <row r="507" spans="99:118" x14ac:dyDescent="0.2">
      <c r="DL507" s="161" t="s">
        <v>31</v>
      </c>
      <c r="DM507" s="121"/>
      <c r="DN507" s="121"/>
    </row>
    <row r="508" spans="99:118" x14ac:dyDescent="0.2">
      <c r="DL508" s="161"/>
      <c r="DM508" s="121"/>
      <c r="DN508" s="121"/>
    </row>
    <row r="509" spans="99:118" x14ac:dyDescent="0.2">
      <c r="DL509" s="161" t="s">
        <v>54</v>
      </c>
      <c r="DM509" s="121"/>
      <c r="DN509" s="121"/>
    </row>
    <row r="510" spans="99:118" x14ac:dyDescent="0.2">
      <c r="DL510" s="161" t="str">
        <f>CONCATENATE($DM$2,$BA$5,$DN$2)</f>
        <v xml:space="preserve">   "3",</v>
      </c>
      <c r="DM510" s="121"/>
      <c r="DN510" s="121"/>
    </row>
    <row r="511" spans="99:118" x14ac:dyDescent="0.2">
      <c r="DL511" s="161" t="str">
        <f>CONCATENATE($DM$2,$BA$6,$DN$2)</f>
        <v xml:space="preserve">   "7",</v>
      </c>
      <c r="DM511" s="121"/>
      <c r="DN511" s="121"/>
    </row>
    <row r="512" spans="99:118" x14ac:dyDescent="0.2">
      <c r="DL512" s="161" t="str">
        <f>CONCATENATE($DM$2,$BA$7,$DN$2)</f>
        <v xml:space="preserve">   "1",</v>
      </c>
      <c r="DM512" s="121"/>
      <c r="DN512" s="121"/>
    </row>
    <row r="513" spans="116:118" x14ac:dyDescent="0.2">
      <c r="DL513" s="161" t="str">
        <f>CONCATENATE($DM$2,$BA$8,$DN$2)</f>
        <v xml:space="preserve">   "1",</v>
      </c>
      <c r="DM513" s="121"/>
      <c r="DN513" s="121"/>
    </row>
    <row r="514" spans="116:118" x14ac:dyDescent="0.2">
      <c r="DL514" s="161" t="str">
        <f>CONCATENATE($DM$2,$BA$12,$DN$2)</f>
        <v xml:space="preserve">   "3",</v>
      </c>
      <c r="DM514" s="121"/>
      <c r="DN514" s="121"/>
    </row>
    <row r="515" spans="116:118" x14ac:dyDescent="0.2">
      <c r="DL515" s="161" t="str">
        <f>CONCATENATE($DM$2,$BA$13,$DN$2)</f>
        <v xml:space="preserve">   "10",</v>
      </c>
      <c r="DM515" s="121"/>
      <c r="DN515" s="121"/>
    </row>
    <row r="516" spans="116:118" x14ac:dyDescent="0.2">
      <c r="DL516" s="161" t="str">
        <f>CONCATENATE($DM$2,$BA$14,$DN$2)</f>
        <v xml:space="preserve">   "1",</v>
      </c>
      <c r="DM516" s="121"/>
      <c r="DN516" s="121"/>
    </row>
    <row r="517" spans="116:118" x14ac:dyDescent="0.2">
      <c r="DL517" s="161" t="str">
        <f>CONCATENATE($DM$2,$BA$15,$DN$2)</f>
        <v xml:space="preserve">   "3",</v>
      </c>
      <c r="DM517" s="121"/>
    </row>
    <row r="518" spans="116:118" x14ac:dyDescent="0.2">
      <c r="DL518" s="161" t="str">
        <f>CONCATENATE($DM$2,$BA$19,$DN$2)</f>
        <v xml:space="preserve">   "7",</v>
      </c>
      <c r="DM518" s="137"/>
    </row>
    <row r="519" spans="116:118" x14ac:dyDescent="0.2">
      <c r="DL519" s="161" t="str">
        <f>CONCATENATE($DM$2,$BA$20,$DN$2)</f>
        <v xml:space="preserve">   "1",</v>
      </c>
      <c r="DM519" s="137"/>
    </row>
    <row r="520" spans="116:118" x14ac:dyDescent="0.2">
      <c r="DL520" s="161" t="str">
        <f>CONCATENATE($DM$2,$BA$24,$DN$3)</f>
        <v xml:space="preserve">   "17"</v>
      </c>
      <c r="DM520" s="137"/>
    </row>
    <row r="521" spans="116:118" x14ac:dyDescent="0.2">
      <c r="DL521" s="161" t="s">
        <v>31</v>
      </c>
      <c r="DM521" s="137"/>
    </row>
    <row r="522" spans="116:118" x14ac:dyDescent="0.2">
      <c r="DL522" s="161"/>
      <c r="DM522" s="137"/>
    </row>
    <row r="523" spans="116:118" x14ac:dyDescent="0.2">
      <c r="DL523" s="161" t="s">
        <v>83</v>
      </c>
      <c r="DM523" s="137"/>
    </row>
    <row r="524" spans="116:118" x14ac:dyDescent="0.2">
      <c r="DL524" s="162" t="str">
        <f>CONCATENATE($DM$2,$DN$2)</f>
        <v xml:space="preserve">   "",</v>
      </c>
      <c r="DM524" s="137"/>
    </row>
    <row r="525" spans="116:118" x14ac:dyDescent="0.2">
      <c r="DL525" s="162" t="str">
        <f>CONCATENATE($DM$2,$DN$2)</f>
        <v xml:space="preserve">   "",</v>
      </c>
      <c r="DM525" s="137"/>
    </row>
    <row r="526" spans="116:118" x14ac:dyDescent="0.2">
      <c r="DL526" s="162" t="str">
        <f>CONCATENATE($DM$2,$DN$2)</f>
        <v xml:space="preserve">   "",</v>
      </c>
      <c r="DM526" s="137"/>
    </row>
    <row r="527" spans="116:118" x14ac:dyDescent="0.2">
      <c r="DL527" s="161" t="str">
        <f>CONCATENATE($DM$2,$BA$9,$DN$2)</f>
        <v xml:space="preserve">   "38",</v>
      </c>
      <c r="DM527" s="137"/>
    </row>
    <row r="528" spans="116:118" x14ac:dyDescent="0.2">
      <c r="DL528" s="162" t="str">
        <f>CONCATENATE($DM$2,$DN$2)</f>
        <v xml:space="preserve">   "",</v>
      </c>
      <c r="DM528" s="137"/>
    </row>
    <row r="529" spans="116:118" x14ac:dyDescent="0.2">
      <c r="DL529" s="162" t="str">
        <f>CONCATENATE($DM$2,$DN$2)</f>
        <v xml:space="preserve">   "",</v>
      </c>
      <c r="DM529" s="137"/>
    </row>
    <row r="530" spans="116:118" x14ac:dyDescent="0.2">
      <c r="DL530" s="162" t="str">
        <f>CONCATENATE($DM$2,$DN$2)</f>
        <v xml:space="preserve">   "",</v>
      </c>
      <c r="DM530" s="137"/>
    </row>
    <row r="531" spans="116:118" x14ac:dyDescent="0.2">
      <c r="DL531" s="161" t="str">
        <f>CONCATENATE($DM$2,$BA$16,$DN$2)</f>
        <v xml:space="preserve">   "28",</v>
      </c>
      <c r="DM531" s="137"/>
    </row>
    <row r="532" spans="116:118" x14ac:dyDescent="0.2">
      <c r="DL532" s="162" t="str">
        <f>CONCATENATE($DM$2,$DN$2)</f>
        <v xml:space="preserve">   "",</v>
      </c>
      <c r="DM532" s="137"/>
    </row>
    <row r="533" spans="116:118" x14ac:dyDescent="0.2">
      <c r="DL533" s="161" t="str">
        <f>CONCATENATE($DM$2,$BA$21,$DN$2)</f>
        <v xml:space="preserve">   "52",</v>
      </c>
      <c r="DM533" s="137"/>
    </row>
    <row r="534" spans="116:118" x14ac:dyDescent="0.2">
      <c r="DL534" s="161" t="str">
        <f>CONCATENATE($DM$2,$BA$25,$DN$3)</f>
        <v xml:space="preserve">   "52"</v>
      </c>
      <c r="DM534" s="137"/>
    </row>
    <row r="535" spans="116:118" x14ac:dyDescent="0.2">
      <c r="DL535" s="161" t="s">
        <v>31</v>
      </c>
      <c r="DM535" s="137"/>
    </row>
    <row r="536" spans="116:118" x14ac:dyDescent="0.2">
      <c r="DL536" s="163"/>
      <c r="DM536" s="137"/>
    </row>
    <row r="537" spans="116:118" x14ac:dyDescent="0.2">
      <c r="DL537" s="161" t="s">
        <v>55</v>
      </c>
      <c r="DM537" s="137"/>
    </row>
    <row r="538" spans="116:118" x14ac:dyDescent="0.2">
      <c r="DL538" s="161" t="str">
        <f>CONCATENATE($DM$2,$C$5,$DN$2)</f>
        <v xml:space="preserve">   "Chiefs",</v>
      </c>
      <c r="DM538" s="137"/>
    </row>
    <row r="539" spans="116:118" x14ac:dyDescent="0.2">
      <c r="DL539" s="161" t="str">
        <f>CONCATENATE($DM$2,$C$6,$DN$2)</f>
        <v xml:space="preserve">   "Steelers",</v>
      </c>
      <c r="DM539" s="121"/>
      <c r="DN539" s="121"/>
    </row>
    <row r="540" spans="116:118" x14ac:dyDescent="0.2">
      <c r="DL540" s="161" t="str">
        <f>CONCATENATE($DM$2,$C$7,$DN$2)</f>
        <v xml:space="preserve">   "Seahawks",</v>
      </c>
      <c r="DM540" s="121"/>
      <c r="DN540" s="121"/>
    </row>
    <row r="541" spans="116:118" x14ac:dyDescent="0.2">
      <c r="DL541" s="161" t="str">
        <f>CONCATENATE($DM$2,$C$8,$DN$2)</f>
        <v xml:space="preserve">   "Packers",</v>
      </c>
      <c r="DM541" s="121"/>
      <c r="DN541" s="121"/>
    </row>
    <row r="542" spans="116:118" x14ac:dyDescent="0.2">
      <c r="DL542" s="161" t="str">
        <f>CONCATENATE($DM$2,$C$12,$DN$2)</f>
        <v xml:space="preserve">   "Chiefs",</v>
      </c>
      <c r="DM542" s="121"/>
      <c r="DN542" s="121"/>
    </row>
    <row r="543" spans="116:118" x14ac:dyDescent="0.2">
      <c r="DL543" s="161" t="str">
        <f>CONCATENATE($DM$2,$C$13,$DN$2)</f>
        <v xml:space="preserve">   "Packers",</v>
      </c>
      <c r="DM543" s="121"/>
      <c r="DN543" s="121"/>
    </row>
    <row r="544" spans="116:118" x14ac:dyDescent="0.2">
      <c r="DL544" s="161" t="str">
        <f>CONCATENATE($DM$2,$C$14,$DN$2)</f>
        <v xml:space="preserve">   "Seahawks",</v>
      </c>
      <c r="DM544" s="121"/>
      <c r="DN544" s="121"/>
    </row>
    <row r="545" spans="116:118" x14ac:dyDescent="0.2">
      <c r="DL545" s="161" t="str">
        <f>CONCATENATE($DM$2,$C$15,$DN$2)</f>
        <v xml:space="preserve">   "Steelers",</v>
      </c>
      <c r="DM545" s="121"/>
      <c r="DN545" s="121"/>
    </row>
    <row r="546" spans="116:118" x14ac:dyDescent="0.2">
      <c r="DL546" s="161" t="str">
        <f>CONCATENATE($DM$2,$C$19,$DN$2)</f>
        <v xml:space="preserve">   "Patriots",</v>
      </c>
      <c r="DM546" s="121"/>
      <c r="DN546" s="121"/>
    </row>
    <row r="547" spans="116:118" x14ac:dyDescent="0.2">
      <c r="DL547" s="161" t="str">
        <f>CONCATENATE($DM$2,$C$20,$DN$2)</f>
        <v xml:space="preserve">   "Cardinals",</v>
      </c>
      <c r="DM547" s="121"/>
      <c r="DN547" s="121"/>
    </row>
    <row r="548" spans="116:118" x14ac:dyDescent="0.2">
      <c r="DL548" s="161" t="str">
        <f>CONCATENATE($DM$2,$C$24,$DN$3)</f>
        <v xml:space="preserve">   "Panthers"</v>
      </c>
      <c r="DM548" s="121"/>
      <c r="DN548" s="121"/>
    </row>
    <row r="549" spans="116:118" x14ac:dyDescent="0.2">
      <c r="DL549" s="161" t="s">
        <v>31</v>
      </c>
      <c r="DM549" s="121"/>
      <c r="DN549" s="121"/>
    </row>
    <row r="550" spans="116:118" x14ac:dyDescent="0.2">
      <c r="DL550" s="161"/>
      <c r="DM550" s="121"/>
      <c r="DN550" s="121"/>
    </row>
    <row r="551" spans="116:118" x14ac:dyDescent="0.2">
      <c r="DL551" s="161" t="s">
        <v>56</v>
      </c>
      <c r="DM551" s="121"/>
      <c r="DN551" s="121"/>
    </row>
    <row r="552" spans="116:118" x14ac:dyDescent="0.2">
      <c r="DL552" s="161" t="str">
        <f>CONCATENATE($DM$2,$E$5,$DN$2)</f>
        <v xml:space="preserve">   "Texans",</v>
      </c>
      <c r="DM552" s="121"/>
      <c r="DN552" s="121"/>
    </row>
    <row r="553" spans="116:118" x14ac:dyDescent="0.2">
      <c r="DL553" s="161" t="str">
        <f>CONCATENATE($DM$2,$E$6,$DN$2)</f>
        <v xml:space="preserve">   "Bengals",</v>
      </c>
      <c r="DM553" s="121"/>
      <c r="DN553" s="121"/>
    </row>
    <row r="554" spans="116:118" x14ac:dyDescent="0.2">
      <c r="DL554" s="161" t="str">
        <f>CONCATENATE($DM$2,$E$7,$DN$2)</f>
        <v xml:space="preserve">   "Vikings",</v>
      </c>
      <c r="DM554" s="121"/>
      <c r="DN554" s="121"/>
    </row>
    <row r="555" spans="116:118" x14ac:dyDescent="0.2">
      <c r="DL555" s="161" t="str">
        <f>CONCATENATE($DM$2,$E$8,$DN$2)</f>
        <v xml:space="preserve">   "Redskins",</v>
      </c>
      <c r="DM555" s="121"/>
      <c r="DN555" s="121"/>
    </row>
    <row r="556" spans="116:118" x14ac:dyDescent="0.2">
      <c r="DL556" s="161" t="str">
        <f>CONCATENATE($DM$2,$E$12,$DN$2)</f>
        <v xml:space="preserve">   "Patriots",</v>
      </c>
      <c r="DM556" s="121"/>
      <c r="DN556" s="121"/>
    </row>
    <row r="557" spans="116:118" x14ac:dyDescent="0.2">
      <c r="DL557" s="161" t="str">
        <f>CONCATENATE($DM$2,$E$13,$DN$2)</f>
        <v xml:space="preserve">   "Cardinals",</v>
      </c>
      <c r="DM557" s="121"/>
      <c r="DN557" s="121"/>
    </row>
    <row r="558" spans="116:118" x14ac:dyDescent="0.2">
      <c r="DL558" s="161" t="str">
        <f>CONCATENATE($DM$2,$E$14,$DN$2)</f>
        <v xml:space="preserve">   "Panthers",</v>
      </c>
      <c r="DM558" s="121"/>
      <c r="DN558" s="121"/>
    </row>
    <row r="559" spans="116:118" x14ac:dyDescent="0.2">
      <c r="DL559" s="161" t="str">
        <f>CONCATENATE($DM$2,$E$15,$DN$2)</f>
        <v xml:space="preserve">   "Broncos",</v>
      </c>
      <c r="DM559" s="121"/>
      <c r="DN559" s="121"/>
    </row>
    <row r="560" spans="116:118" x14ac:dyDescent="0.2">
      <c r="DL560" s="161" t="str">
        <f>CONCATENATE($DM$2,$E$19,$DN$2)</f>
        <v xml:space="preserve">   "Broncos",</v>
      </c>
      <c r="DM560" s="121"/>
      <c r="DN560" s="121"/>
    </row>
    <row r="561" spans="116:118" x14ac:dyDescent="0.2">
      <c r="DL561" s="161" t="str">
        <f>CONCATENATE($DM$2,$E$20,$DN$2)</f>
        <v xml:space="preserve">   "Panthers",</v>
      </c>
      <c r="DM561" s="121"/>
      <c r="DN561" s="121"/>
    </row>
    <row r="562" spans="116:118" x14ac:dyDescent="0.2">
      <c r="DL562" s="161" t="str">
        <f>CONCATENATE($DM$2,$E$24,$DN$3)</f>
        <v xml:space="preserve">   "Broncos"</v>
      </c>
      <c r="DM562" s="121"/>
      <c r="DN562" s="121"/>
    </row>
    <row r="563" spans="116:118" x14ac:dyDescent="0.2">
      <c r="DL563" s="161" t="s">
        <v>31</v>
      </c>
      <c r="DM563" s="121"/>
      <c r="DN563" s="121"/>
    </row>
    <row r="564" spans="116:118" x14ac:dyDescent="0.2">
      <c r="DL564" s="161"/>
      <c r="DM564" s="121"/>
      <c r="DN564" s="121"/>
    </row>
    <row r="565" spans="116:118" x14ac:dyDescent="0.2">
      <c r="DL565" s="161" t="s">
        <v>58</v>
      </c>
      <c r="DM565" s="121"/>
      <c r="DN565" s="121"/>
    </row>
    <row r="566" spans="116:118" x14ac:dyDescent="0.2">
      <c r="DL566" s="161" t="str">
        <f>CONCATENATE($DM$2,$B$5,$DN$2)</f>
        <v xml:space="preserve">   "30",</v>
      </c>
      <c r="DM566" s="121"/>
      <c r="DN566" s="121"/>
    </row>
    <row r="567" spans="116:118" x14ac:dyDescent="0.2">
      <c r="DL567" s="161" t="str">
        <f>CONCATENATE($DM$2,$B$6,$DN$2)</f>
        <v xml:space="preserve">   "18",</v>
      </c>
      <c r="DM567" s="121"/>
      <c r="DN567" s="121"/>
    </row>
    <row r="568" spans="116:118" x14ac:dyDescent="0.2">
      <c r="DL568" s="161" t="str">
        <f>CONCATENATE($DM$2,$B$7,$DN$2)</f>
        <v xml:space="preserve">   "10",</v>
      </c>
      <c r="DM568" s="121"/>
      <c r="DN568" s="121"/>
    </row>
    <row r="569" spans="116:118" x14ac:dyDescent="0.2">
      <c r="DL569" s="161" t="str">
        <f>CONCATENATE($DM$2,$B$8,$DN$2)</f>
        <v xml:space="preserve">   "35",</v>
      </c>
      <c r="DM569" s="121"/>
      <c r="DN569" s="121"/>
    </row>
    <row r="570" spans="116:118" x14ac:dyDescent="0.2">
      <c r="DL570" s="161" t="str">
        <f>CONCATENATE($DM$2,$B$12,$DN$2)</f>
        <v xml:space="preserve">   "20",</v>
      </c>
      <c r="DM570" s="121"/>
      <c r="DN570" s="121"/>
    </row>
    <row r="571" spans="116:118" x14ac:dyDescent="0.2">
      <c r="DL571" s="161" t="str">
        <f>CONCATENATE($DM$2,$B$13,$DN$2)</f>
        <v xml:space="preserve">   "20",</v>
      </c>
      <c r="DM571" s="121"/>
      <c r="DN571" s="121"/>
    </row>
    <row r="572" spans="116:118" x14ac:dyDescent="0.2">
      <c r="DL572" s="161" t="str">
        <f>CONCATENATE($DM$2,$B$14,$DN$2)</f>
        <v xml:space="preserve">   "24",</v>
      </c>
      <c r="DM572" s="121"/>
      <c r="DN572" s="121"/>
    </row>
    <row r="573" spans="116:118" x14ac:dyDescent="0.2">
      <c r="DL573" s="161" t="str">
        <f>CONCATENATE($DM$2,$B$15,$DN$2)</f>
        <v xml:space="preserve">   "16",</v>
      </c>
      <c r="DM573" s="121"/>
      <c r="DN573" s="121"/>
    </row>
    <row r="574" spans="116:118" x14ac:dyDescent="0.2">
      <c r="DL574" s="161" t="str">
        <f>CONCATENATE($DM$2,$B$19,$DN$2)</f>
        <v xml:space="preserve">   "18",</v>
      </c>
      <c r="DM574" s="121"/>
      <c r="DN574" s="121"/>
    </row>
    <row r="575" spans="116:118" x14ac:dyDescent="0.2">
      <c r="DL575" s="161" t="str">
        <f>CONCATENATE($DM$2,$B$20,$DN$2)</f>
        <v xml:space="preserve">   "15",</v>
      </c>
      <c r="DM575" s="121"/>
      <c r="DN575" s="121"/>
    </row>
    <row r="576" spans="116:118" x14ac:dyDescent="0.2">
      <c r="DL576" s="161" t="str">
        <f>CONCATENATE($DM$2,$B$24,$DN$3)</f>
        <v xml:space="preserve">   ""</v>
      </c>
      <c r="DM576" s="121"/>
      <c r="DN576" s="121"/>
    </row>
    <row r="577" spans="116:118" x14ac:dyDescent="0.2">
      <c r="DL577" s="161" t="s">
        <v>31</v>
      </c>
      <c r="DM577" s="121"/>
      <c r="DN577" s="121"/>
    </row>
    <row r="578" spans="116:118" x14ac:dyDescent="0.2">
      <c r="DL578" s="161"/>
      <c r="DM578" s="121"/>
      <c r="DN578" s="121"/>
    </row>
    <row r="579" spans="116:118" x14ac:dyDescent="0.2">
      <c r="DL579" s="161" t="s">
        <v>57</v>
      </c>
      <c r="DM579" s="121"/>
      <c r="DN579" s="121"/>
    </row>
    <row r="580" spans="116:118" x14ac:dyDescent="0.2">
      <c r="DL580" s="161" t="str">
        <f>CONCATENATE($DM$2,$F$5,$DN$2)</f>
        <v xml:space="preserve">   "0",</v>
      </c>
      <c r="DM580" s="121"/>
      <c r="DN580" s="121"/>
    </row>
    <row r="581" spans="116:118" x14ac:dyDescent="0.2">
      <c r="DL581" s="161" t="str">
        <f>CONCATENATE($DM$2,$F$6,$DN$2)</f>
        <v xml:space="preserve">   "16",</v>
      </c>
      <c r="DM581" s="121"/>
      <c r="DN581" s="121"/>
    </row>
    <row r="582" spans="116:118" x14ac:dyDescent="0.2">
      <c r="DL582" s="161" t="str">
        <f>CONCATENATE($DM$2,$F$7,$DN$2)</f>
        <v xml:space="preserve">   "9",</v>
      </c>
      <c r="DM582" s="121"/>
      <c r="DN582" s="121"/>
    </row>
    <row r="583" spans="116:118" x14ac:dyDescent="0.2">
      <c r="DL583" s="161" t="str">
        <f>CONCATENATE($DM$2,$F$8,$DN$2)</f>
        <v xml:space="preserve">   "18",</v>
      </c>
      <c r="DM583" s="121"/>
      <c r="DN583" s="121"/>
    </row>
    <row r="584" spans="116:118" x14ac:dyDescent="0.2">
      <c r="DL584" s="161" t="str">
        <f>CONCATENATE($DM$2,$F$12,$DN$2)</f>
        <v xml:space="preserve">   "27",</v>
      </c>
      <c r="DM584" s="121"/>
      <c r="DN584" s="121"/>
    </row>
    <row r="585" spans="116:118" x14ac:dyDescent="0.2">
      <c r="DL585" s="161" t="str">
        <f>CONCATENATE($DM$2,$F$13,$DN$2)</f>
        <v xml:space="preserve">   "26",</v>
      </c>
      <c r="DM585" s="121"/>
      <c r="DN585" s="121"/>
    </row>
    <row r="586" spans="116:118" x14ac:dyDescent="0.2">
      <c r="DL586" s="161" t="str">
        <f>CONCATENATE($DM$2,$F$14,$DN$2)</f>
        <v xml:space="preserve">   "31",</v>
      </c>
      <c r="DM586" s="121"/>
      <c r="DN586" s="121"/>
    </row>
    <row r="587" spans="116:118" x14ac:dyDescent="0.2">
      <c r="DL587" s="161" t="str">
        <f>CONCATENATE($DM$2,$F$15,$DN$2)</f>
        <v xml:space="preserve">   "23",</v>
      </c>
      <c r="DM587" s="121"/>
      <c r="DN587" s="121"/>
    </row>
    <row r="588" spans="116:118" x14ac:dyDescent="0.2">
      <c r="DL588" s="161" t="str">
        <f>CONCATENATE($DM$2,$F$19,$DN$2)</f>
        <v xml:space="preserve">   "20",</v>
      </c>
      <c r="DM588" s="121"/>
      <c r="DN588" s="121"/>
    </row>
    <row r="589" spans="116:118" x14ac:dyDescent="0.2">
      <c r="DL589" s="161" t="str">
        <f>CONCATENATE($DM$2,$F$20,$DN$2)</f>
        <v xml:space="preserve">   "49",</v>
      </c>
      <c r="DM589" s="121"/>
      <c r="DN589" s="121"/>
    </row>
    <row r="590" spans="116:118" x14ac:dyDescent="0.2">
      <c r="DL590" s="161" t="str">
        <f>CONCATENATE($DM$2,$F$24,$DN$3)</f>
        <v xml:space="preserve">   ""</v>
      </c>
      <c r="DM590" s="121"/>
      <c r="DN590" s="121"/>
    </row>
    <row r="591" spans="116:118" x14ac:dyDescent="0.2">
      <c r="DL591" s="161" t="s">
        <v>31</v>
      </c>
      <c r="DM591" s="121"/>
      <c r="DN591" s="121"/>
    </row>
    <row r="592" spans="116:118" x14ac:dyDescent="0.2">
      <c r="DL592" s="164"/>
      <c r="DM592" s="121"/>
      <c r="DN592" s="121"/>
    </row>
    <row r="593" spans="116:118" x14ac:dyDescent="0.2">
      <c r="DL593" s="164" t="str">
        <f>CONCATENATE("   var wrong_pick_penalty = ",$BO$4,";")</f>
        <v xml:space="preserve">   var wrong_pick_penalty = 7;</v>
      </c>
      <c r="DM593" s="121"/>
      <c r="DN593" s="121"/>
    </row>
    <row r="594" spans="116:118" x14ac:dyDescent="0.2">
      <c r="DL594" s="164" t="str">
        <f>CONCATENATE("   var week_1_score_multiplier = ",$BO$9,";")</f>
        <v xml:space="preserve">   var week_1_score_multiplier = 1;</v>
      </c>
      <c r="DM594" s="121"/>
      <c r="DN594" s="121"/>
    </row>
    <row r="595" spans="116:118" x14ac:dyDescent="0.2">
      <c r="DL595" s="164" t="str">
        <f>CONCATENATE("   var week_2_score_multiplier = ",$BO$16,";")</f>
        <v xml:space="preserve">   var week_2_score_multiplier = 1;</v>
      </c>
      <c r="DM595" s="121"/>
      <c r="DN595" s="121"/>
    </row>
    <row r="596" spans="116:118" x14ac:dyDescent="0.2">
      <c r="DL596" s="164" t="str">
        <f>CONCATENATE("   var week_3_score_multiplier = ",$BO$21,";")</f>
        <v xml:space="preserve">   var week_3_score_multiplier = 2;</v>
      </c>
      <c r="DM596" s="121"/>
      <c r="DN596" s="121"/>
    </row>
    <row r="597" spans="116:118" x14ac:dyDescent="0.2">
      <c r="DL597" s="164" t="str">
        <f>CONCATENATE("   var week_4_score_multiplier = ",$BO$25,";")</f>
        <v xml:space="preserve">   var week_4_score_multiplier = 4;</v>
      </c>
      <c r="DM597" s="121"/>
      <c r="DN597" s="121"/>
    </row>
    <row r="598" spans="116:118" x14ac:dyDescent="0.2">
      <c r="DL598" s="165"/>
      <c r="DM598" s="168"/>
      <c r="DN598" s="121"/>
    </row>
    <row r="599" spans="116:118" x14ac:dyDescent="0.2">
      <c r="DM599" s="121"/>
      <c r="DN599" s="121"/>
    </row>
    <row r="600" spans="116:118" x14ac:dyDescent="0.2">
      <c r="DM600" s="121"/>
      <c r="DN600" s="121"/>
    </row>
    <row r="601" spans="116:118" x14ac:dyDescent="0.2">
      <c r="DM601" s="121"/>
      <c r="DN601" s="121"/>
    </row>
    <row r="602" spans="116:118" x14ac:dyDescent="0.2">
      <c r="DM602" s="121"/>
      <c r="DN602" s="121"/>
    </row>
    <row r="603" spans="116:118" x14ac:dyDescent="0.2">
      <c r="DM603" s="121"/>
      <c r="DN603" s="121"/>
    </row>
    <row r="604" spans="116:118" x14ac:dyDescent="0.2">
      <c r="DM604" s="121"/>
      <c r="DN604" s="121"/>
    </row>
    <row r="605" spans="116:118" x14ac:dyDescent="0.2">
      <c r="DM605" s="121"/>
      <c r="DN605" s="121"/>
    </row>
    <row r="606" spans="116:118" x14ac:dyDescent="0.2">
      <c r="DL606" s="136"/>
      <c r="DM606" s="56"/>
      <c r="DN606" s="121"/>
    </row>
    <row r="607" spans="116:118" x14ac:dyDescent="0.2">
      <c r="DL607" s="136"/>
      <c r="DM607" s="56"/>
      <c r="DN607" s="121"/>
    </row>
    <row r="608" spans="116:118" x14ac:dyDescent="0.2">
      <c r="DL608" s="136"/>
      <c r="DM608" s="56"/>
      <c r="DN608" s="121"/>
    </row>
    <row r="609" spans="116:118" x14ac:dyDescent="0.2">
      <c r="DL609" s="136"/>
      <c r="DM609" s="56"/>
      <c r="DN609" s="121"/>
    </row>
    <row r="610" spans="116:118" x14ac:dyDescent="0.2">
      <c r="DL610" s="136"/>
      <c r="DM610" s="56"/>
      <c r="DN610" s="121"/>
    </row>
    <row r="611" spans="116:118" x14ac:dyDescent="0.2">
      <c r="DL611" s="136"/>
      <c r="DM611" s="56"/>
      <c r="DN611" s="121"/>
    </row>
    <row r="612" spans="116:118" x14ac:dyDescent="0.2">
      <c r="DL612" s="136"/>
      <c r="DM612" s="56"/>
      <c r="DN612" s="121"/>
    </row>
    <row r="613" spans="116:118" x14ac:dyDescent="0.2">
      <c r="DL613" s="136"/>
      <c r="DM613" s="56"/>
      <c r="DN613" s="121"/>
    </row>
    <row r="614" spans="116:118" x14ac:dyDescent="0.2">
      <c r="DL614" s="136"/>
      <c r="DM614" s="56"/>
      <c r="DN614" s="121"/>
    </row>
    <row r="615" spans="116:118" x14ac:dyDescent="0.2">
      <c r="DL615" s="136"/>
      <c r="DM615" s="56"/>
      <c r="DN615" s="121"/>
    </row>
    <row r="616" spans="116:118" x14ac:dyDescent="0.2">
      <c r="DL616" s="136"/>
      <c r="DM616" s="56"/>
      <c r="DN616" s="121"/>
    </row>
    <row r="617" spans="116:118" x14ac:dyDescent="0.2">
      <c r="DL617" s="136"/>
      <c r="DM617" s="56"/>
      <c r="DN617" s="121"/>
    </row>
    <row r="618" spans="116:118" x14ac:dyDescent="0.2">
      <c r="DL618" s="136"/>
      <c r="DM618" s="56"/>
      <c r="DN618" s="121"/>
    </row>
    <row r="619" spans="116:118" x14ac:dyDescent="0.2">
      <c r="DL619" s="136"/>
      <c r="DM619" s="56"/>
      <c r="DN619" s="121"/>
    </row>
    <row r="620" spans="116:118" x14ac:dyDescent="0.2">
      <c r="DL620" s="121"/>
      <c r="DM620" s="56"/>
      <c r="DN620" s="121"/>
    </row>
    <row r="621" spans="116:118" x14ac:dyDescent="0.2">
      <c r="DL621" s="121"/>
      <c r="DM621" s="56"/>
      <c r="DN621" s="121"/>
    </row>
    <row r="622" spans="116:118" x14ac:dyDescent="0.2">
      <c r="DL622" s="121"/>
      <c r="DM622" s="56"/>
      <c r="DN622" s="121"/>
    </row>
    <row r="623" spans="116:118" x14ac:dyDescent="0.2">
      <c r="DL623" s="121"/>
      <c r="DM623" s="56"/>
      <c r="DN623" s="121"/>
    </row>
    <row r="624" spans="116:118" x14ac:dyDescent="0.2">
      <c r="DL624" s="121"/>
      <c r="DM624" s="56"/>
      <c r="DN624" s="121"/>
    </row>
    <row r="625" spans="116:118" x14ac:dyDescent="0.2">
      <c r="DL625" s="121"/>
      <c r="DM625" s="56"/>
      <c r="DN625" s="121"/>
    </row>
    <row r="626" spans="116:118" x14ac:dyDescent="0.2">
      <c r="DL626" s="121"/>
      <c r="DM626" s="56"/>
      <c r="DN626" s="121"/>
    </row>
    <row r="627" spans="116:118" x14ac:dyDescent="0.2">
      <c r="DL627" s="121"/>
      <c r="DM627" s="56"/>
      <c r="DN627" s="121"/>
    </row>
    <row r="628" spans="116:118" x14ac:dyDescent="0.2">
      <c r="DL628" s="121"/>
      <c r="DM628" s="56"/>
      <c r="DN628" s="121"/>
    </row>
    <row r="629" spans="116:118" x14ac:dyDescent="0.2">
      <c r="DL629" s="121"/>
      <c r="DM629" s="56"/>
      <c r="DN629" s="121"/>
    </row>
    <row r="630" spans="116:118" x14ac:dyDescent="0.2">
      <c r="DL630" s="121"/>
      <c r="DM630" s="56"/>
      <c r="DN630" s="121"/>
    </row>
    <row r="631" spans="116:118" x14ac:dyDescent="0.2">
      <c r="DL631" s="121"/>
      <c r="DM631" s="56"/>
      <c r="DN631" s="121"/>
    </row>
    <row r="632" spans="116:118" x14ac:dyDescent="0.2">
      <c r="DL632" s="121"/>
      <c r="DM632" s="56"/>
      <c r="DN632" s="121"/>
    </row>
    <row r="633" spans="116:118" x14ac:dyDescent="0.2">
      <c r="DL633" s="121"/>
      <c r="DM633" s="56"/>
      <c r="DN633" s="121"/>
    </row>
    <row r="634" spans="116:118" x14ac:dyDescent="0.2">
      <c r="DL634" s="121"/>
      <c r="DM634" s="56"/>
      <c r="DN634" s="121"/>
    </row>
    <row r="635" spans="116:118" x14ac:dyDescent="0.2">
      <c r="DL635" s="121"/>
      <c r="DM635" s="56"/>
      <c r="DN635" s="121"/>
    </row>
    <row r="636" spans="116:118" x14ac:dyDescent="0.2">
      <c r="DL636" s="121"/>
      <c r="DM636" s="56"/>
      <c r="DN636" s="121"/>
    </row>
    <row r="637" spans="116:118" x14ac:dyDescent="0.2">
      <c r="DL637" s="121"/>
      <c r="DM637" s="56"/>
      <c r="DN637" s="121"/>
    </row>
    <row r="638" spans="116:118" x14ac:dyDescent="0.2">
      <c r="DL638" s="121"/>
      <c r="DM638" s="56"/>
      <c r="DN638" s="121"/>
    </row>
    <row r="639" spans="116:118" x14ac:dyDescent="0.2">
      <c r="DL639" s="121"/>
      <c r="DM639" s="56"/>
      <c r="DN639" s="121"/>
    </row>
    <row r="640" spans="116:118" x14ac:dyDescent="0.2">
      <c r="DL640" s="121"/>
      <c r="DM640" s="56"/>
      <c r="DN640" s="121"/>
    </row>
    <row r="641" spans="116:118" x14ac:dyDescent="0.2">
      <c r="DL641" s="121"/>
      <c r="DM641" s="56"/>
      <c r="DN641" s="121"/>
    </row>
    <row r="642" spans="116:118" x14ac:dyDescent="0.2">
      <c r="DL642" s="121"/>
      <c r="DM642" s="56"/>
      <c r="DN642" s="121"/>
    </row>
    <row r="643" spans="116:118" x14ac:dyDescent="0.2">
      <c r="DL643" s="121"/>
      <c r="DM643" s="56"/>
      <c r="DN643" s="121"/>
    </row>
    <row r="644" spans="116:118" x14ac:dyDescent="0.2">
      <c r="DL644" s="121"/>
      <c r="DM644" s="56"/>
      <c r="DN644" s="121"/>
    </row>
    <row r="645" spans="116:118" x14ac:dyDescent="0.2">
      <c r="DL645" s="121"/>
      <c r="DM645" s="56"/>
      <c r="DN645" s="121"/>
    </row>
    <row r="646" spans="116:118" x14ac:dyDescent="0.2">
      <c r="DL646" s="121"/>
      <c r="DM646" s="56"/>
      <c r="DN646" s="121"/>
    </row>
    <row r="647" spans="116:118" x14ac:dyDescent="0.2">
      <c r="DL647" s="121"/>
      <c r="DM647" s="56"/>
      <c r="DN647" s="121"/>
    </row>
    <row r="648" spans="116:118" x14ac:dyDescent="0.2">
      <c r="DL648" s="121"/>
      <c r="DM648" s="56"/>
      <c r="DN648" s="121"/>
    </row>
    <row r="649" spans="116:118" x14ac:dyDescent="0.2">
      <c r="DL649" s="121"/>
      <c r="DM649" s="56"/>
      <c r="DN649" s="121"/>
    </row>
    <row r="650" spans="116:118" x14ac:dyDescent="0.2">
      <c r="DL650" s="121"/>
      <c r="DM650" s="56"/>
      <c r="DN650" s="121"/>
    </row>
    <row r="651" spans="116:118" x14ac:dyDescent="0.2">
      <c r="DL651" s="121"/>
    </row>
    <row r="652" spans="116:118" x14ac:dyDescent="0.2">
      <c r="DL652" s="121"/>
    </row>
    <row r="653" spans="116:118" x14ac:dyDescent="0.2">
      <c r="DL653" s="121"/>
    </row>
    <row r="654" spans="116:118" x14ac:dyDescent="0.2">
      <c r="DL654" s="121"/>
    </row>
    <row r="655" spans="116:118" x14ac:dyDescent="0.2">
      <c r="DL655" s="121"/>
    </row>
    <row r="656" spans="116:118" x14ac:dyDescent="0.2">
      <c r="DL656" s="121"/>
    </row>
    <row r="657" spans="116:116" x14ac:dyDescent="0.2">
      <c r="DL657" s="121"/>
    </row>
    <row r="658" spans="116:116" x14ac:dyDescent="0.2">
      <c r="DL658" s="121"/>
    </row>
    <row r="659" spans="116:116" x14ac:dyDescent="0.2">
      <c r="DL659" s="121"/>
    </row>
    <row r="660" spans="116:116" x14ac:dyDescent="0.2">
      <c r="DL660" s="121"/>
    </row>
    <row r="661" spans="116:116" x14ac:dyDescent="0.2">
      <c r="DL661" s="121"/>
    </row>
    <row r="662" spans="116:116" x14ac:dyDescent="0.2">
      <c r="DL662" s="121"/>
    </row>
    <row r="663" spans="116:116" x14ac:dyDescent="0.2">
      <c r="DL663" s="121"/>
    </row>
    <row r="664" spans="116:116" x14ac:dyDescent="0.2">
      <c r="DL664" s="121"/>
    </row>
    <row r="665" spans="116:116" x14ac:dyDescent="0.2">
      <c r="DL665" s="121"/>
    </row>
    <row r="666" spans="116:116" x14ac:dyDescent="0.2">
      <c r="DL666" s="121"/>
    </row>
    <row r="667" spans="116:116" x14ac:dyDescent="0.2">
      <c r="DL667" s="121"/>
    </row>
    <row r="668" spans="116:116" x14ac:dyDescent="0.2">
      <c r="DL668" s="121"/>
    </row>
    <row r="669" spans="116:116" x14ac:dyDescent="0.2">
      <c r="DL669" s="121"/>
    </row>
    <row r="670" spans="116:116" x14ac:dyDescent="0.2">
      <c r="DL670" s="121"/>
    </row>
    <row r="671" spans="116:116" x14ac:dyDescent="0.2">
      <c r="DL671" s="121"/>
    </row>
    <row r="672" spans="116:116" x14ac:dyDescent="0.2">
      <c r="DL672" s="121"/>
    </row>
    <row r="673" spans="116:116" x14ac:dyDescent="0.2">
      <c r="DL673" s="121"/>
    </row>
    <row r="674" spans="116:116" x14ac:dyDescent="0.2">
      <c r="DL674" s="121"/>
    </row>
    <row r="675" spans="116:116" x14ac:dyDescent="0.2">
      <c r="DL675" s="121"/>
    </row>
    <row r="676" spans="116:116" x14ac:dyDescent="0.2">
      <c r="DL676" s="121"/>
    </row>
    <row r="677" spans="116:116" x14ac:dyDescent="0.2">
      <c r="DL677" s="121"/>
    </row>
    <row r="678" spans="116:116" x14ac:dyDescent="0.2">
      <c r="DL678" s="121"/>
    </row>
    <row r="679" spans="116:116" x14ac:dyDescent="0.2">
      <c r="DL679" s="121"/>
    </row>
    <row r="680" spans="116:116" x14ac:dyDescent="0.2">
      <c r="DL680" s="121"/>
    </row>
    <row r="681" spans="116:116" x14ac:dyDescent="0.2">
      <c r="DL681" s="121"/>
    </row>
    <row r="682" spans="116:116" x14ac:dyDescent="0.2">
      <c r="DL682" s="121"/>
    </row>
    <row r="683" spans="116:116" x14ac:dyDescent="0.2">
      <c r="DL683" s="121"/>
    </row>
    <row r="684" spans="116:116" x14ac:dyDescent="0.2">
      <c r="DL684" s="121"/>
    </row>
    <row r="685" spans="116:116" x14ac:dyDescent="0.2">
      <c r="DL685" s="121"/>
    </row>
    <row r="686" spans="116:116" x14ac:dyDescent="0.2">
      <c r="DL686" s="121"/>
    </row>
    <row r="687" spans="116:116" x14ac:dyDescent="0.2">
      <c r="DL687" s="56"/>
    </row>
    <row r="688" spans="116:116" x14ac:dyDescent="0.2">
      <c r="DL688" s="56"/>
    </row>
    <row r="689" spans="116:116" x14ac:dyDescent="0.2">
      <c r="DL689" s="56"/>
    </row>
    <row r="690" spans="116:116" x14ac:dyDescent="0.2">
      <c r="DL690" s="56"/>
    </row>
    <row r="691" spans="116:116" x14ac:dyDescent="0.2">
      <c r="DL691" s="56"/>
    </row>
    <row r="692" spans="116:116" x14ac:dyDescent="0.2">
      <c r="DL692" s="56"/>
    </row>
    <row r="693" spans="116:116" x14ac:dyDescent="0.2">
      <c r="DL693" s="56"/>
    </row>
    <row r="694" spans="116:116" x14ac:dyDescent="0.2">
      <c r="DL694" s="56"/>
    </row>
    <row r="695" spans="116:116" x14ac:dyDescent="0.2">
      <c r="DL695" s="56"/>
    </row>
    <row r="696" spans="116:116" x14ac:dyDescent="0.2">
      <c r="DL696" s="56"/>
    </row>
    <row r="697" spans="116:116" x14ac:dyDescent="0.2">
      <c r="DL697" s="56"/>
    </row>
    <row r="698" spans="116:116" x14ac:dyDescent="0.2">
      <c r="DL698" s="56"/>
    </row>
    <row r="699" spans="116:116" x14ac:dyDescent="0.2">
      <c r="DL699" s="56"/>
    </row>
    <row r="700" spans="116:116" x14ac:dyDescent="0.2">
      <c r="DL700" s="56"/>
    </row>
    <row r="701" spans="116:116" x14ac:dyDescent="0.2">
      <c r="DL701" s="56"/>
    </row>
    <row r="702" spans="116:116" x14ac:dyDescent="0.2">
      <c r="DL702" s="56"/>
    </row>
    <row r="703" spans="116:116" x14ac:dyDescent="0.2">
      <c r="DL703" s="56"/>
    </row>
    <row r="704" spans="116:116" x14ac:dyDescent="0.2">
      <c r="DL704" s="56"/>
    </row>
    <row r="705" spans="116:116" x14ac:dyDescent="0.2">
      <c r="DL705" s="56"/>
    </row>
    <row r="706" spans="116:116" x14ac:dyDescent="0.2">
      <c r="DL706" s="56"/>
    </row>
    <row r="707" spans="116:116" x14ac:dyDescent="0.2">
      <c r="DL707" s="56"/>
    </row>
    <row r="708" spans="116:116" x14ac:dyDescent="0.2">
      <c r="DL708" s="56"/>
    </row>
    <row r="709" spans="116:116" x14ac:dyDescent="0.2">
      <c r="DL709" s="56"/>
    </row>
    <row r="710" spans="116:116" x14ac:dyDescent="0.2">
      <c r="DL710" s="56"/>
    </row>
    <row r="711" spans="116:116" x14ac:dyDescent="0.2">
      <c r="DL711" s="56"/>
    </row>
    <row r="712" spans="116:116" x14ac:dyDescent="0.2">
      <c r="DL712" s="56"/>
    </row>
    <row r="713" spans="116:116" x14ac:dyDescent="0.2">
      <c r="DL713" s="56"/>
    </row>
    <row r="714" spans="116:116" x14ac:dyDescent="0.2">
      <c r="DL714" s="56"/>
    </row>
    <row r="715" spans="116:116" x14ac:dyDescent="0.2">
      <c r="DL715" s="56"/>
    </row>
    <row r="716" spans="116:116" x14ac:dyDescent="0.2">
      <c r="DL716" s="56"/>
    </row>
    <row r="717" spans="116:116" x14ac:dyDescent="0.2">
      <c r="DL717" s="56"/>
    </row>
    <row r="718" spans="116:116" x14ac:dyDescent="0.2">
      <c r="DL718" s="56"/>
    </row>
    <row r="719" spans="116:116" x14ac:dyDescent="0.2">
      <c r="DL719" s="56"/>
    </row>
    <row r="720" spans="116:116" x14ac:dyDescent="0.2">
      <c r="DL720" s="56"/>
    </row>
  </sheetData>
  <sheetProtection sheet="1" objects="1" scenarios="1"/>
  <mergeCells count="20">
    <mergeCell ref="CU77:DJ77"/>
    <mergeCell ref="CJ62:CL62"/>
    <mergeCell ref="CM62:CS62"/>
    <mergeCell ref="DD79:DD80"/>
    <mergeCell ref="DE79:DF80"/>
    <mergeCell ref="CW79:CW80"/>
    <mergeCell ref="CX79:CY80"/>
    <mergeCell ref="CU78:CU80"/>
    <mergeCell ref="CW78:DC78"/>
    <mergeCell ref="DD78:DJ78"/>
    <mergeCell ref="DI79:DJ80"/>
    <mergeCell ref="CN63:CO63"/>
    <mergeCell ref="CP63:CQ63"/>
    <mergeCell ref="CR63:CS63"/>
    <mergeCell ref="CV78:CV80"/>
    <mergeCell ref="CB62:CD62"/>
    <mergeCell ref="CF62:CH62"/>
    <mergeCell ref="DB79:DC80"/>
    <mergeCell ref="CZ79:DA80"/>
    <mergeCell ref="DG79:DH80"/>
  </mergeCells>
  <phoneticPr fontId="0" type="noConversion"/>
  <conditionalFormatting sqref="C5:C8 C12:C15 C19:C20 C24">
    <cfRule type="expression" dxfId="90" priority="111" stopIfTrue="1">
      <formula>$BD5="V"</formula>
    </cfRule>
  </conditionalFormatting>
  <conditionalFormatting sqref="E5:E8 E12:E15 E19:E20 E24">
    <cfRule type="expression" dxfId="89" priority="112" stopIfTrue="1">
      <formula>$BD5="H"</formula>
    </cfRule>
  </conditionalFormatting>
  <conditionalFormatting sqref="AY10:BB10 AY17:BB17 AY22:BB22 AY26:BB26 AY28:BB28">
    <cfRule type="expression" dxfId="88" priority="113" stopIfTrue="1">
      <formula>$BA10=1</formula>
    </cfRule>
  </conditionalFormatting>
  <conditionalFormatting sqref="AU10:AX10 AU17:AX17 AU22:AX22 AU26:AX26 AU28:AX28">
    <cfRule type="expression" dxfId="87" priority="114" stopIfTrue="1">
      <formula>$AW10=1</formula>
    </cfRule>
  </conditionalFormatting>
  <conditionalFormatting sqref="AQ10:AT10 AQ17:AT17 AQ22:AT22 AQ26:AT26 AQ28:AT28">
    <cfRule type="expression" dxfId="86" priority="115" stopIfTrue="1">
      <formula>$AS10=1</formula>
    </cfRule>
  </conditionalFormatting>
  <conditionalFormatting sqref="AM10:AP10 AM17:AP17 AM22:AP22 AM26:AP26 AM28:AP28">
    <cfRule type="expression" dxfId="85" priority="116" stopIfTrue="1">
      <formula>$AO10=1</formula>
    </cfRule>
  </conditionalFormatting>
  <conditionalFormatting sqref="AI10:AL10 AI17:AL17 AI22:AL22 AI26:AL26 AI28:AL28">
    <cfRule type="expression" dxfId="84" priority="117" stopIfTrue="1">
      <formula>$AK10=1</formula>
    </cfRule>
  </conditionalFormatting>
  <conditionalFormatting sqref="AE10:AH10 AE17:AH17 AE22:AH22 AE26:AH26 AE28:AH28">
    <cfRule type="expression" dxfId="83" priority="118" stopIfTrue="1">
      <formula>$AG10=1</formula>
    </cfRule>
  </conditionalFormatting>
  <conditionalFormatting sqref="AA10:AD10 AA17:AD17 AA22:AD22 AA26:AD26 AA28:AD28">
    <cfRule type="expression" dxfId="82" priority="119" stopIfTrue="1">
      <formula>$AC10=1</formula>
    </cfRule>
  </conditionalFormatting>
  <conditionalFormatting sqref="W10:Z10 W17:Z17 W22:Z22 W26:Z26 W28:Z28">
    <cfRule type="expression" dxfId="81" priority="120" stopIfTrue="1">
      <formula>$Y10=1</formula>
    </cfRule>
  </conditionalFormatting>
  <conditionalFormatting sqref="S10:V10 S17:V17 S22:V22 S26:V26 S28:V28">
    <cfRule type="expression" dxfId="80" priority="121" stopIfTrue="1">
      <formula>$U10=1</formula>
    </cfRule>
  </conditionalFormatting>
  <conditionalFormatting sqref="O10:R10 O17:R17 O22:R22 O26:R26 O28:R28">
    <cfRule type="expression" dxfId="79" priority="122" stopIfTrue="1">
      <formula>$Q10=1</formula>
    </cfRule>
  </conditionalFormatting>
  <conditionalFormatting sqref="K10:N10 K17:N17 K22:N22 K26:N26 K28:N28">
    <cfRule type="expression" dxfId="78" priority="123" stopIfTrue="1">
      <formula>$M10=1</formula>
    </cfRule>
  </conditionalFormatting>
  <conditionalFormatting sqref="G10:J10 G17:J17 G22:J22 G26:J26 G28:J28">
    <cfRule type="expression" dxfId="77" priority="124" stopIfTrue="1">
      <formula>$I10=1</formula>
    </cfRule>
  </conditionalFormatting>
  <conditionalFormatting sqref="BI10:BL10 BI17:BL17 BI22:BL22 BI26:BL26 BI28:BL28">
    <cfRule type="expression" dxfId="76" priority="125" stopIfTrue="1">
      <formula>$BK10=1</formula>
    </cfRule>
  </conditionalFormatting>
  <conditionalFormatting sqref="G5:G8 K5:K8 O5:O8 S5:S8 W5:W8 AA5:AA8 AE5:AE8 AI5:AI8 AM5:AM8 AQ5:AQ8 AU5:AU8 AY5:AY8 BI5:BI8 BI12:BI15 G12:G15 K12:K15 O12:O15 S12:S15 W12:W15 AA12:AA15 AE12:AE15 AI12:AI15 AM12:AM15 AQ12:AQ15 AU12:AU15 AY12:AY15 BI19:BI20 AY19:AY20 AU19:AU20 AQ19:AQ20 AM19:AM20 AI19:AI20 AE19:AE20 AA19:AA20 W19:W20 S19:S20 O19:O20 K19:K20 G19:G20 G24 K24 O24 S24 W24 AA24 AE24 AI24 AM24 AQ24 AU24 AY24 BI24">
    <cfRule type="expression" dxfId="75" priority="126" stopIfTrue="1">
      <formula>G5=$BD5</formula>
    </cfRule>
  </conditionalFormatting>
  <conditionalFormatting sqref="BI29:BL29">
    <cfRule type="expression" dxfId="74" priority="127" stopIfTrue="1">
      <formula>$BK29=MAX($I$29,$M$29,$Q$29,$U$29,$Y$29,$AC$29,$AG$29,$AK$29,$AO$29,$AS$29,$AW$29,$BA$29)</formula>
    </cfRule>
  </conditionalFormatting>
  <conditionalFormatting sqref="AY29:BB29">
    <cfRule type="expression" dxfId="73" priority="128" stopIfTrue="1">
      <formula>$BA29=MAX($I$29,$M$29,$Q$29,$U$29,$Y$29,$AC$29,$AG$29,$AK$29,$AO$29,$AS$29,$AW$29,$BA$29)</formula>
    </cfRule>
  </conditionalFormatting>
  <conditionalFormatting sqref="G29:J29">
    <cfRule type="expression" dxfId="72" priority="129" stopIfTrue="1">
      <formula>$I29=MAX($I$29,$M$29,$Q$29,$U$29,$Y$29,$AC$29,$AG$29,$AK$29,$AO$29,$AS$29,$AW$29,$BA$29)</formula>
    </cfRule>
  </conditionalFormatting>
  <conditionalFormatting sqref="K29:N29">
    <cfRule type="expression" dxfId="71" priority="130" stopIfTrue="1">
      <formula>$M29=MAX($I$29,$M$29,$Q$29,$U$29,$Y$29,$AC$29,$AG$29,$AK$29,$AO$29,$AS$29,$AW$29,$BA$29)</formula>
    </cfRule>
  </conditionalFormatting>
  <conditionalFormatting sqref="O29:R29">
    <cfRule type="expression" dxfId="70" priority="131" stopIfTrue="1">
      <formula>$Q29=MAX($I$29,$M$29,$Q$29,$U$29,$Y$29,$AC$29,$AG$29,$AK$29,$AO$29,$AS$29,$AW$29,$BA$29)</formula>
    </cfRule>
  </conditionalFormatting>
  <conditionalFormatting sqref="S29:V29">
    <cfRule type="expression" dxfId="69" priority="132" stopIfTrue="1">
      <formula>$U29=MAX($I$29,$M$29,$Q$29,$U$29,$Y$29,$AC$29,$AG$29,$AK$29,$AO$29,$AS$29,$AW$29,$BA$29)</formula>
    </cfRule>
  </conditionalFormatting>
  <conditionalFormatting sqref="W29:Z29">
    <cfRule type="expression" dxfId="68" priority="133" stopIfTrue="1">
      <formula>$Y29=MAX($I$29,$M$29,$Q$29,$U$29,$Y$29,$AC$29,$AG$29,$AK$29,$AO$29,$AS$29,$AW$29,$BA$29)</formula>
    </cfRule>
  </conditionalFormatting>
  <conditionalFormatting sqref="AA29:AD29">
    <cfRule type="expression" dxfId="67" priority="134" stopIfTrue="1">
      <formula>$AC29=MAX($I$29,$M$29,$Q$29,$U$29,$Y$29,$AC$29,$AG$29,$AK$29,$AO$29,$AS$29,$AW$29,$BA$29)</formula>
    </cfRule>
  </conditionalFormatting>
  <conditionalFormatting sqref="AE29:AH29">
    <cfRule type="expression" dxfId="66" priority="135" stopIfTrue="1">
      <formula>$AG29=MAX($I$29,$M$29,$Q$29,$U$29,$Y$29,$AC$29,$AG$29,$AK$29,$AO$29,$AS$29,$AW$29,$BA$29)</formula>
    </cfRule>
  </conditionalFormatting>
  <conditionalFormatting sqref="AI29:AL29">
    <cfRule type="expression" dxfId="65" priority="136" stopIfTrue="1">
      <formula>$AK29=MAX($I$29,$M$29,$Q$29,$U$29,$Y$29,$AC$29,$AG$29,$AK$29,$AO$29,$AS$29,$AW$29,$BA$29)</formula>
    </cfRule>
  </conditionalFormatting>
  <conditionalFormatting sqref="AM29:AP29">
    <cfRule type="expression" dxfId="64" priority="137" stopIfTrue="1">
      <formula>$AO29=MAX($I$29,$M$29,$Q$29,$U$29,$Y$29,$AC$29,$AG$29,$AK$29,$AO$29,$AS$29,$AW$29,$BA$29)</formula>
    </cfRule>
  </conditionalFormatting>
  <conditionalFormatting sqref="AQ29:AT29">
    <cfRule type="expression" dxfId="63" priority="138" stopIfTrue="1">
      <formula>$AS29=MAX($I$29,$M$29,$Q$29,$U$29,$Y$29,$AC$29,$AG$29,$AK$29,$AO$29,$AS$29,$AW$29,$BA$29)</formula>
    </cfRule>
  </conditionalFormatting>
  <conditionalFormatting sqref="AU29:AX29">
    <cfRule type="expression" dxfId="62" priority="139" stopIfTrue="1">
      <formula>$AW29=MAX($I$29,$M$29,$Q$29,$U$29,$Y$29,$AC$29,$AG$29,$AK$29,$AO$29,$AS$29,$AW$29,$BA$29)</formula>
    </cfRule>
  </conditionalFormatting>
  <conditionalFormatting sqref="C9">
    <cfRule type="expression" dxfId="61" priority="108" stopIfTrue="1">
      <formula>$BD9="V"</formula>
    </cfRule>
  </conditionalFormatting>
  <conditionalFormatting sqref="E9">
    <cfRule type="expression" dxfId="60" priority="109" stopIfTrue="1">
      <formula>$BD9="H"</formula>
    </cfRule>
  </conditionalFormatting>
  <conditionalFormatting sqref="G9">
    <cfRule type="expression" dxfId="59" priority="107" stopIfTrue="1">
      <formula>G9=$BD9</formula>
    </cfRule>
  </conditionalFormatting>
  <conditionalFormatting sqref="K9">
    <cfRule type="expression" dxfId="58" priority="96" stopIfTrue="1">
      <formula>K9=$BD9</formula>
    </cfRule>
  </conditionalFormatting>
  <conditionalFormatting sqref="O9">
    <cfRule type="expression" dxfId="57" priority="95" stopIfTrue="1">
      <formula>O9=$BD9</formula>
    </cfRule>
  </conditionalFormatting>
  <conditionalFormatting sqref="S9">
    <cfRule type="expression" dxfId="56" priority="94" stopIfTrue="1">
      <formula>S9=$BD9</formula>
    </cfRule>
  </conditionalFormatting>
  <conditionalFormatting sqref="W9">
    <cfRule type="expression" dxfId="55" priority="93" stopIfTrue="1">
      <formula>W9=$BD9</formula>
    </cfRule>
  </conditionalFormatting>
  <conditionalFormatting sqref="AA9">
    <cfRule type="expression" dxfId="54" priority="92" stopIfTrue="1">
      <formula>AA9=$BD9</formula>
    </cfRule>
  </conditionalFormatting>
  <conditionalFormatting sqref="AE9">
    <cfRule type="expression" dxfId="53" priority="91" stopIfTrue="1">
      <formula>AE9=$BD9</formula>
    </cfRule>
  </conditionalFormatting>
  <conditionalFormatting sqref="AI9">
    <cfRule type="expression" dxfId="52" priority="90" stopIfTrue="1">
      <formula>AI9=$BD9</formula>
    </cfRule>
  </conditionalFormatting>
  <conditionalFormatting sqref="AM9">
    <cfRule type="expression" dxfId="51" priority="89" stopIfTrue="1">
      <formula>AM9=$BD9</formula>
    </cfRule>
  </conditionalFormatting>
  <conditionalFormatting sqref="AQ9">
    <cfRule type="expression" dxfId="50" priority="88" stopIfTrue="1">
      <formula>AQ9=$BD9</formula>
    </cfRule>
  </conditionalFormatting>
  <conditionalFormatting sqref="AU9">
    <cfRule type="expression" dxfId="49" priority="87" stopIfTrue="1">
      <formula>AU9=$BD9</formula>
    </cfRule>
  </conditionalFormatting>
  <conditionalFormatting sqref="AY9">
    <cfRule type="expression" dxfId="48" priority="86" stopIfTrue="1">
      <formula>AY9=$BD9</formula>
    </cfRule>
  </conditionalFormatting>
  <conditionalFormatting sqref="BI9">
    <cfRule type="expression" dxfId="47" priority="85" stopIfTrue="1">
      <formula>BI9=$BD9</formula>
    </cfRule>
  </conditionalFormatting>
  <conditionalFormatting sqref="G25">
    <cfRule type="expression" dxfId="46" priority="22" stopIfTrue="1">
      <formula>G25=$BD25</formula>
    </cfRule>
  </conditionalFormatting>
  <conditionalFormatting sqref="K25">
    <cfRule type="expression" dxfId="45" priority="21" stopIfTrue="1">
      <formula>K25=$BD25</formula>
    </cfRule>
  </conditionalFormatting>
  <conditionalFormatting sqref="O25">
    <cfRule type="expression" dxfId="44" priority="20" stopIfTrue="1">
      <formula>O25=$BD25</formula>
    </cfRule>
  </conditionalFormatting>
  <conditionalFormatting sqref="S25">
    <cfRule type="expression" dxfId="43" priority="19" stopIfTrue="1">
      <formula>S25=$BD25</formula>
    </cfRule>
  </conditionalFormatting>
  <conditionalFormatting sqref="W25">
    <cfRule type="expression" dxfId="42" priority="18" stopIfTrue="1">
      <formula>W25=$BD25</formula>
    </cfRule>
  </conditionalFormatting>
  <conditionalFormatting sqref="AA25">
    <cfRule type="expression" dxfId="41" priority="17" stopIfTrue="1">
      <formula>AA25=$BD25</formula>
    </cfRule>
  </conditionalFormatting>
  <conditionalFormatting sqref="AE25">
    <cfRule type="expression" dxfId="40" priority="16" stopIfTrue="1">
      <formula>AE25=$BD25</formula>
    </cfRule>
  </conditionalFormatting>
  <conditionalFormatting sqref="AI25">
    <cfRule type="expression" dxfId="39" priority="15" stopIfTrue="1">
      <formula>AI25=$BD25</formula>
    </cfRule>
  </conditionalFormatting>
  <conditionalFormatting sqref="AM25">
    <cfRule type="expression" dxfId="38" priority="14" stopIfTrue="1">
      <formula>AM25=$BD25</formula>
    </cfRule>
  </conditionalFormatting>
  <conditionalFormatting sqref="AQ25">
    <cfRule type="expression" dxfId="37" priority="13" stopIfTrue="1">
      <formula>AQ25=$BD25</formula>
    </cfRule>
  </conditionalFormatting>
  <conditionalFormatting sqref="AU25">
    <cfRule type="expression" dxfId="36" priority="12" stopIfTrue="1">
      <formula>AU25=$BD25</formula>
    </cfRule>
  </conditionalFormatting>
  <conditionalFormatting sqref="AY25">
    <cfRule type="expression" dxfId="35" priority="11" stopIfTrue="1">
      <formula>AY25=$BD25</formula>
    </cfRule>
  </conditionalFormatting>
  <conditionalFormatting sqref="BI25">
    <cfRule type="expression" dxfId="34" priority="10" stopIfTrue="1">
      <formula>BI25=$BD25</formula>
    </cfRule>
  </conditionalFormatting>
  <conditionalFormatting sqref="G16">
    <cfRule type="expression" dxfId="33" priority="52" stopIfTrue="1">
      <formula>G16=$BD16</formula>
    </cfRule>
  </conditionalFormatting>
  <conditionalFormatting sqref="K16">
    <cfRule type="expression" dxfId="32" priority="51" stopIfTrue="1">
      <formula>K16=$BD16</formula>
    </cfRule>
  </conditionalFormatting>
  <conditionalFormatting sqref="O16">
    <cfRule type="expression" dxfId="31" priority="50" stopIfTrue="1">
      <formula>O16=$BD16</formula>
    </cfRule>
  </conditionalFormatting>
  <conditionalFormatting sqref="S16">
    <cfRule type="expression" dxfId="30" priority="49" stopIfTrue="1">
      <formula>S16=$BD16</formula>
    </cfRule>
  </conditionalFormatting>
  <conditionalFormatting sqref="W16">
    <cfRule type="expression" dxfId="29" priority="48" stopIfTrue="1">
      <formula>W16=$BD16</formula>
    </cfRule>
  </conditionalFormatting>
  <conditionalFormatting sqref="AA16">
    <cfRule type="expression" dxfId="28" priority="47" stopIfTrue="1">
      <formula>AA16=$BD16</formula>
    </cfRule>
  </conditionalFormatting>
  <conditionalFormatting sqref="AE16">
    <cfRule type="expression" dxfId="27" priority="46" stopIfTrue="1">
      <formula>AE16=$BD16</formula>
    </cfRule>
  </conditionalFormatting>
  <conditionalFormatting sqref="AI16">
    <cfRule type="expression" dxfId="26" priority="45" stopIfTrue="1">
      <formula>AI16=$BD16</formula>
    </cfRule>
  </conditionalFormatting>
  <conditionalFormatting sqref="AM16">
    <cfRule type="expression" dxfId="25" priority="44" stopIfTrue="1">
      <formula>AM16=$BD16</formula>
    </cfRule>
  </conditionalFormatting>
  <conditionalFormatting sqref="AQ16">
    <cfRule type="expression" dxfId="24" priority="43" stopIfTrue="1">
      <formula>AQ16=$BD16</formula>
    </cfRule>
  </conditionalFormatting>
  <conditionalFormatting sqref="AU16">
    <cfRule type="expression" dxfId="23" priority="42" stopIfTrue="1">
      <formula>AU16=$BD16</formula>
    </cfRule>
  </conditionalFormatting>
  <conditionalFormatting sqref="AY16">
    <cfRule type="expression" dxfId="22" priority="41" stopIfTrue="1">
      <formula>AY16=$BD16</formula>
    </cfRule>
  </conditionalFormatting>
  <conditionalFormatting sqref="BI16">
    <cfRule type="expression" dxfId="21" priority="40" stopIfTrue="1">
      <formula>BI16=$BD16</formula>
    </cfRule>
  </conditionalFormatting>
  <conditionalFormatting sqref="G21">
    <cfRule type="expression" dxfId="20" priority="37" stopIfTrue="1">
      <formula>G21=$BD21</formula>
    </cfRule>
  </conditionalFormatting>
  <conditionalFormatting sqref="K21">
    <cfRule type="expression" dxfId="19" priority="36" stopIfTrue="1">
      <formula>K21=$BD21</formula>
    </cfRule>
  </conditionalFormatting>
  <conditionalFormatting sqref="O21">
    <cfRule type="expression" dxfId="18" priority="35" stopIfTrue="1">
      <formula>O21=$BD21</formula>
    </cfRule>
  </conditionalFormatting>
  <conditionalFormatting sqref="S21">
    <cfRule type="expression" dxfId="17" priority="34" stopIfTrue="1">
      <formula>S21=$BD21</formula>
    </cfRule>
  </conditionalFormatting>
  <conditionalFormatting sqref="W21">
    <cfRule type="expression" dxfId="16" priority="33" stopIfTrue="1">
      <formula>W21=$BD21</formula>
    </cfRule>
  </conditionalFormatting>
  <conditionalFormatting sqref="AA21">
    <cfRule type="expression" dxfId="15" priority="32" stopIfTrue="1">
      <formula>AA21=$BD21</formula>
    </cfRule>
  </conditionalFormatting>
  <conditionalFormatting sqref="AE21">
    <cfRule type="expression" dxfId="14" priority="31" stopIfTrue="1">
      <formula>AE21=$BD21</formula>
    </cfRule>
  </conditionalFormatting>
  <conditionalFormatting sqref="AI21">
    <cfRule type="expression" dxfId="13" priority="30" stopIfTrue="1">
      <formula>AI21=$BD21</formula>
    </cfRule>
  </conditionalFormatting>
  <conditionalFormatting sqref="AM21">
    <cfRule type="expression" dxfId="12" priority="29" stopIfTrue="1">
      <formula>AM21=$BD21</formula>
    </cfRule>
  </conditionalFormatting>
  <conditionalFormatting sqref="AQ21">
    <cfRule type="expression" dxfId="11" priority="28" stopIfTrue="1">
      <formula>AQ21=$BD21</formula>
    </cfRule>
  </conditionalFormatting>
  <conditionalFormatting sqref="AU21">
    <cfRule type="expression" dxfId="10" priority="27" stopIfTrue="1">
      <formula>AU21=$BD21</formula>
    </cfRule>
  </conditionalFormatting>
  <conditionalFormatting sqref="AY21">
    <cfRule type="expression" dxfId="9" priority="26" stopIfTrue="1">
      <formula>AY21=$BD21</formula>
    </cfRule>
  </conditionalFormatting>
  <conditionalFormatting sqref="BI21">
    <cfRule type="expression" dxfId="8" priority="25" stopIfTrue="1">
      <formula>BI21=$BD21</formula>
    </cfRule>
  </conditionalFormatting>
  <conditionalFormatting sqref="C16">
    <cfRule type="expression" dxfId="7" priority="8" stopIfTrue="1">
      <formula>$BD16="V"</formula>
    </cfRule>
  </conditionalFormatting>
  <conditionalFormatting sqref="E16">
    <cfRule type="expression" dxfId="6" priority="9" stopIfTrue="1">
      <formula>$BD16="H"</formula>
    </cfRule>
  </conditionalFormatting>
  <conditionalFormatting sqref="C21">
    <cfRule type="expression" dxfId="5" priority="6" stopIfTrue="1">
      <formula>$BD21="V"</formula>
    </cfRule>
  </conditionalFormatting>
  <conditionalFormatting sqref="E21">
    <cfRule type="expression" dxfId="4" priority="7" stopIfTrue="1">
      <formula>$BD21="H"</formula>
    </cfRule>
  </conditionalFormatting>
  <conditionalFormatting sqref="C25">
    <cfRule type="expression" dxfId="3" priority="4" stopIfTrue="1">
      <formula>$BD25="V"</formula>
    </cfRule>
  </conditionalFormatting>
  <conditionalFormatting sqref="E25">
    <cfRule type="expression" dxfId="2" priority="5" stopIfTrue="1">
      <formula>$BD25="H"</formula>
    </cfRule>
  </conditionalFormatting>
  <conditionalFormatting sqref="CY81:CY92 DA81:DA92 DC81:DD92 DF81:DF92 DH81:DH92 DJ81:DJ92 CV81:CW92">
    <cfRule type="expression" dxfId="1" priority="2" stopIfTrue="1">
      <formula>MOD(CV81,1)&gt;0</formula>
    </cfRule>
  </conditionalFormatting>
  <conditionalFormatting sqref="CL64:CS75">
    <cfRule type="expression" dxfId="0" priority="1" stopIfTrue="1">
      <formula>MOD(CL64,1)&gt;0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19:F20 F12:F15 F24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19:B20 B12:B15 B24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webPublishItems count="8">
    <webPublishItem id="2005" divId="2015 Post Season Football Pool_2005" sourceType="range" sourceRef="CB62:CH75" destinationFile="D:\Football Pool\Web Pages\2015 Football Pool Page\nfl_results.html"/>
    <webPublishItem id="8462" divId="2015 Post Season Football Pool_8462" sourceType="range" sourceRef="CB62:CH75" destinationFile="D:\Football Pool\Web Pages\2015 Football Pool Page\nfl_results.html"/>
    <webPublishItem id="21118" divId="2015 Post Season Football Pool_21118" sourceType="range" sourceRef="CB62:CH75" destinationFile="D:\Football Pool\Web Pages\2015 Football Pool Page\nfl_results.html"/>
    <webPublishItem id="12611" divId="2015 Post Season Football Pool_12611" sourceType="range" sourceRef="CB62:CH75" destinationFile="D:\Football Pool\Web Pages\2015 Football Pool Page\nfl_results.html"/>
    <webPublishItem id="2018" divId="2015 Post Season Football Pool_2018" sourceType="range" sourceRef="CJ62:CS75" destinationFile="D:\Football Pool\Web Pages\2015 Football Pool Page\nfl_results.html"/>
    <webPublishItem id="8473" divId="2015 Post Season Football Pool_8473" sourceType="range" sourceRef="CJ62:CS75" destinationFile="D:\Football Pool\Web Pages\2015 Football Pool Page\nfl_results.html"/>
    <webPublishItem id="21120" divId="2015 Post Season Football Pool_21120" sourceType="range" sourceRef="CJ62:CS75" destinationFile="D:\Football Pool\Web Pages\2015 Football Pool Page\nfl_results.html"/>
    <webPublishItem id="12620" divId="2015 Post Season Football Pool_12620" sourceType="range" sourceRef="CJ62:CS75" destinationFile="D:\Football Pool\Web Pages\2015 Football Pool Page\nfl_results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2011-02-06T16:21:29Z</cp:lastPrinted>
  <dcterms:created xsi:type="dcterms:W3CDTF">1996-10-14T23:33:28Z</dcterms:created>
  <dcterms:modified xsi:type="dcterms:W3CDTF">2016-08-27T05:07:10Z</dcterms:modified>
</cp:coreProperties>
</file>