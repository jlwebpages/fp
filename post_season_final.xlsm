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8_{60F1F931-A782-4B89-B76D-A649ED65AF6D}" xr6:coauthVersionLast="46" xr6:coauthVersionMax="46" xr10:uidLastSave="{00000000-0000-0000-0000-000000000000}"/>
  <bookViews>
    <workbookView xWindow="-120" yWindow="-120" windowWidth="24240" windowHeight="13290" tabRatio="217" xr2:uid="{00000000-000D-0000-FFFF-FFFF00000000}"/>
  </bookViews>
  <sheets>
    <sheet name="NFL Post Season" sheetId="1" r:id="rId1"/>
  </sheets>
  <definedNames>
    <definedName name="best_total_range">'NFL Post Season'!$CP$68:$CQ$68</definedName>
    <definedName name="best_total_range_end">'NFL Post Season'!$CQ$68</definedName>
    <definedName name="best_total_range_start">'NFL Post Season'!$CP$68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Season'!$CB$67:$CH$80</definedName>
    <definedName name="current_week_winnings">'NFL Post Season'!$CJ$67:$CS$80</definedName>
    <definedName name="current_year">'NFL Post Season'!$Z$1</definedName>
    <definedName name="final_football_pool_results_data">'NFL Post Season'!$CU$86:$DJ$97</definedName>
    <definedName name="final_football_pool_results_players">'NFL Post Season'!$CU$86:$CU$97</definedName>
    <definedName name="final_football_pool_results_table">'NFL Post Season'!$CU$82:$DJ$97</definedName>
    <definedName name="final_football_pool_results_winnings">'NFL Post Season'!$CV$86:$CV$97</definedName>
    <definedName name="final_post_season_results_table">'NFL Post Season'!$CF$67:$CS$80</definedName>
    <definedName name="home">'NFL Post Season'!$B$2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Season'!$CB$68:$CD$80</definedName>
    <definedName name="scores_table_player_header">'NFL Post Season'!$CC$68</definedName>
    <definedName name="scores_table_rank_header">'NFL Post Season'!$CB$68</definedName>
    <definedName name="second_best_total_range">'NFL Post Season'!$CR$68:$CS$68</definedName>
    <definedName name="second_best_total_range_end">'NFL Post Season'!$CS$68</definedName>
    <definedName name="second_best_total_range_start">'NFL Post Season'!$CR$68</definedName>
    <definedName name="sort_post_season_results_home">'NFL Post Season'!$CT$81</definedName>
    <definedName name="sort_results_home">'NFL Post Season'!$CA$66</definedName>
    <definedName name="total_scores_table">'NFL Post Season'!$CF$68:$CH$80</definedName>
    <definedName name="total_scores_table_player_header">'NFL Post Season'!$CG$68</definedName>
    <definedName name="total_scores_table_rank_header">'NFL Post Season'!$CF$68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Season'!$CN$68:$CO$68</definedName>
    <definedName name="weeks_won_range_end">'NFL Post Season'!$CO$68</definedName>
    <definedName name="weeks_won_range_start">'NFL Post Season'!$CN$68</definedName>
    <definedName name="winnings_table">'NFL Post Season'!$CJ$68:$CS$80</definedName>
    <definedName name="winnings_table_player_header">'NFL Post Season'!$CK$68</definedName>
    <definedName name="winnings_table_rank_header">'NFL Post Season'!$CJ$68</definedName>
  </definedNames>
  <calcPr calcId="181029"/>
  <webPublishObjects count="4">
    <webPublishObject id="15171" divId="Post_Season_Results_1" sourceObject="current_week_results" destinationFile="D:\Football Pool\Web Pages\2020 Football Pool Page\fp_results.html"/>
    <webPublishObject id="15187" divId="Post_Season_Results_2" sourceObject="current_week_winnings" destinationFile="D:\Football Pool\Web Pages\2020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DO10" i="1" l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AD6" i="1" s="1"/>
  <c r="BD6" i="1"/>
  <c r="BH5" i="1"/>
  <c r="BI5" i="1" s="1"/>
  <c r="BF5" i="1"/>
  <c r="AL5" i="1" s="1"/>
  <c r="BD5" i="1"/>
  <c r="AX5" i="1" s="1"/>
  <c r="R6" i="1" l="1"/>
  <c r="AH6" i="1"/>
  <c r="BB6" i="1"/>
  <c r="V6" i="1"/>
  <c r="AL6" i="1"/>
  <c r="AX6" i="1"/>
  <c r="J6" i="1"/>
  <c r="Z6" i="1"/>
  <c r="AP6" i="1"/>
  <c r="N6" i="1"/>
  <c r="AT6" i="1"/>
  <c r="Z5" i="1"/>
  <c r="AP5" i="1"/>
  <c r="N5" i="1"/>
  <c r="AD5" i="1"/>
  <c r="AT5" i="1"/>
  <c r="R5" i="1"/>
  <c r="AH5" i="1"/>
  <c r="J5" i="1"/>
  <c r="V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I24" i="1"/>
  <c r="BH24" i="1"/>
  <c r="BF24" i="1"/>
  <c r="BD24" i="1"/>
  <c r="BI23" i="1"/>
  <c r="BH23" i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66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2" i="1" l="1"/>
  <c r="DD84" i="1"/>
  <c r="CU87" i="1"/>
  <c r="DD87" i="1" s="1"/>
  <c r="CU94" i="1"/>
  <c r="CU90" i="1"/>
  <c r="DD90" i="1" s="1"/>
  <c r="CU97" i="1"/>
  <c r="DD97" i="1" s="1"/>
  <c r="CU95" i="1"/>
  <c r="DD95" i="1" s="1"/>
  <c r="CU89" i="1"/>
  <c r="CU88" i="1"/>
  <c r="DD88" i="1" s="1"/>
  <c r="CU92" i="1"/>
  <c r="DD92" i="1" s="1"/>
  <c r="CU93" i="1"/>
  <c r="DD93" i="1" s="1"/>
  <c r="CU96" i="1"/>
  <c r="CU91" i="1"/>
  <c r="DD91" i="1" s="1"/>
  <c r="CU86" i="1"/>
  <c r="DD86" i="1" s="1"/>
  <c r="DD96" i="1" l="1"/>
  <c r="DD94" i="1"/>
  <c r="DD89" i="1"/>
  <c r="DT17" i="1" l="1"/>
  <c r="DO17" i="1"/>
  <c r="DT16" i="1"/>
  <c r="DO16" i="1"/>
  <c r="DT15" i="1"/>
  <c r="DO15" i="1"/>
  <c r="CK80" i="1"/>
  <c r="CM80" i="1" s="1"/>
  <c r="CK70" i="1"/>
  <c r="CM70" i="1" s="1"/>
  <c r="CK79" i="1"/>
  <c r="CM79" i="1" s="1"/>
  <c r="CK78" i="1"/>
  <c r="CM78" i="1" s="1"/>
  <c r="CK77" i="1"/>
  <c r="CM77" i="1" s="1"/>
  <c r="CK76" i="1"/>
  <c r="CM76" i="1" s="1"/>
  <c r="CK75" i="1"/>
  <c r="CM75" i="1" s="1"/>
  <c r="CK74" i="1"/>
  <c r="CM74" i="1" s="1"/>
  <c r="CK73" i="1"/>
  <c r="CM73" i="1" s="1"/>
  <c r="CK72" i="1"/>
  <c r="CM72" i="1" s="1"/>
  <c r="CK71" i="1"/>
  <c r="CM71" i="1" s="1"/>
  <c r="CK69" i="1"/>
  <c r="CM69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5" i="1"/>
  <c r="H65" i="1"/>
  <c r="I65" i="1"/>
  <c r="J65" i="1"/>
  <c r="K65" i="1"/>
  <c r="L65" i="1"/>
  <c r="M65" i="1"/>
  <c r="N65" i="1"/>
  <c r="O65" i="1"/>
  <c r="P65" i="1"/>
  <c r="Q65" i="1"/>
  <c r="R65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L20" i="1" s="1"/>
  <c r="AP17" i="1"/>
  <c r="AT17" i="1"/>
  <c r="AX17" i="1"/>
  <c r="BB17" i="1"/>
  <c r="BB20" i="1" s="1"/>
  <c r="S56" i="1"/>
  <c r="DL19" i="1"/>
  <c r="J18" i="1"/>
  <c r="N18" i="1"/>
  <c r="R18" i="1"/>
  <c r="V18" i="1"/>
  <c r="Z18" i="1"/>
  <c r="AD18" i="1"/>
  <c r="AH18" i="1"/>
  <c r="AL18" i="1"/>
  <c r="AP18" i="1"/>
  <c r="AT18" i="1"/>
  <c r="AX18" i="1"/>
  <c r="BB18" i="1"/>
  <c r="AE57" i="1"/>
  <c r="DL20" i="1"/>
  <c r="N20" i="1"/>
  <c r="M20" i="1" s="1"/>
  <c r="V20" i="1"/>
  <c r="Z20" i="1"/>
  <c r="AH20" i="1"/>
  <c r="AX20" i="1"/>
  <c r="AX41" i="1" s="1"/>
  <c r="J23" i="1"/>
  <c r="N23" i="1"/>
  <c r="R23" i="1"/>
  <c r="V23" i="1"/>
  <c r="Z23" i="1"/>
  <c r="AD23" i="1"/>
  <c r="AH23" i="1"/>
  <c r="AL23" i="1"/>
  <c r="AP23" i="1"/>
  <c r="AT23" i="1"/>
  <c r="AX23" i="1"/>
  <c r="BB23" i="1"/>
  <c r="AQ58" i="1"/>
  <c r="J24" i="1"/>
  <c r="N24" i="1"/>
  <c r="R24" i="1"/>
  <c r="V24" i="1"/>
  <c r="Z24" i="1"/>
  <c r="AD24" i="1"/>
  <c r="AH24" i="1"/>
  <c r="AL24" i="1"/>
  <c r="AP24" i="1"/>
  <c r="AT24" i="1"/>
  <c r="AX24" i="1"/>
  <c r="BB24" i="1"/>
  <c r="O59" i="1"/>
  <c r="DL26" i="1"/>
  <c r="J26" i="1"/>
  <c r="I26" i="1" s="1"/>
  <c r="J42" i="1" s="1"/>
  <c r="N26" i="1"/>
  <c r="M26" i="1" s="1"/>
  <c r="N42" i="1" s="1"/>
  <c r="R26" i="1"/>
  <c r="Q26" i="1" s="1"/>
  <c r="R42" i="1" s="1"/>
  <c r="V26" i="1"/>
  <c r="U26" i="1" s="1"/>
  <c r="V42" i="1" s="1"/>
  <c r="Z26" i="1"/>
  <c r="Z43" i="1" s="1"/>
  <c r="AD26" i="1"/>
  <c r="AC26" i="1" s="1"/>
  <c r="AD42" i="1" s="1"/>
  <c r="AH26" i="1"/>
  <c r="AG26" i="1" s="1"/>
  <c r="AH42" i="1" s="1"/>
  <c r="AL26" i="1"/>
  <c r="AL43" i="1" s="1"/>
  <c r="AP26" i="1"/>
  <c r="AO26" i="1" s="1"/>
  <c r="AP42" i="1" s="1"/>
  <c r="AT26" i="1"/>
  <c r="AT43" i="1" s="1"/>
  <c r="AX26" i="1"/>
  <c r="AW26" i="1" s="1"/>
  <c r="AX42" i="1" s="1"/>
  <c r="BB26" i="1"/>
  <c r="BA26" i="1" s="1"/>
  <c r="BB42" i="1" s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D20" i="1" l="1"/>
  <c r="AP20" i="1"/>
  <c r="AT20" i="1"/>
  <c r="R20" i="1"/>
  <c r="J20" i="1"/>
  <c r="R12" i="1"/>
  <c r="AP12" i="1"/>
  <c r="AD12" i="1"/>
  <c r="Z12" i="1"/>
  <c r="Z39" i="1" s="1"/>
  <c r="BB12" i="1"/>
  <c r="AL12" i="1"/>
  <c r="N12" i="1"/>
  <c r="J12" i="1"/>
  <c r="J39" i="1" s="1"/>
  <c r="V12" i="1"/>
  <c r="AT12" i="1"/>
  <c r="AT39" i="1" s="1"/>
  <c r="AX12" i="1"/>
  <c r="AH12" i="1"/>
  <c r="AH39" i="1" s="1"/>
  <c r="N40" i="1"/>
  <c r="W60" i="1"/>
  <c r="W58" i="1"/>
  <c r="AY57" i="1"/>
  <c r="AL41" i="1"/>
  <c r="AI53" i="1"/>
  <c r="G54" i="1"/>
  <c r="O57" i="1"/>
  <c r="AA57" i="1"/>
  <c r="AA59" i="1"/>
  <c r="BB41" i="1"/>
  <c r="AA53" i="1"/>
  <c r="BI53" i="1"/>
  <c r="AQ53" i="1"/>
  <c r="S58" i="1"/>
  <c r="AL30" i="1"/>
  <c r="AL64" i="1" s="1"/>
  <c r="AH30" i="1"/>
  <c r="AH64" i="1" s="1"/>
  <c r="R45" i="1"/>
  <c r="AQ57" i="1"/>
  <c r="AU57" i="1"/>
  <c r="K57" i="1"/>
  <c r="AY53" i="1"/>
  <c r="AM53" i="1"/>
  <c r="Y26" i="1"/>
  <c r="Z42" i="1" s="1"/>
  <c r="AI59" i="1"/>
  <c r="AX30" i="1"/>
  <c r="AX64" i="1" s="1"/>
  <c r="W55" i="1"/>
  <c r="K58" i="1"/>
  <c r="BB30" i="1"/>
  <c r="BB64" i="1" s="1"/>
  <c r="AQ59" i="1"/>
  <c r="AE58" i="1"/>
  <c r="AH43" i="1"/>
  <c r="G59" i="1"/>
  <c r="O58" i="1"/>
  <c r="AD41" i="1"/>
  <c r="V30" i="1"/>
  <c r="V64" i="1" s="1"/>
  <c r="K59" i="1"/>
  <c r="AU58" i="1"/>
  <c r="R30" i="1"/>
  <c r="R64" i="1" s="1"/>
  <c r="AE60" i="1"/>
  <c r="AT30" i="1"/>
  <c r="AT64" i="1" s="1"/>
  <c r="N45" i="1"/>
  <c r="AA55" i="1"/>
  <c r="G55" i="1"/>
  <c r="N30" i="1"/>
  <c r="N64" i="1" s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30" i="1"/>
  <c r="Z64" i="1" s="1"/>
  <c r="Z45" i="1"/>
  <c r="J45" i="1"/>
  <c r="J30" i="1"/>
  <c r="J64" i="1" s="1"/>
  <c r="AD25" i="1"/>
  <c r="AD63" i="1" s="1"/>
  <c r="AL45" i="1"/>
  <c r="AP45" i="1"/>
  <c r="AH25" i="1"/>
  <c r="AH63" i="1" s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P30" i="1"/>
  <c r="AP64" i="1" s="1"/>
  <c r="AU59" i="1"/>
  <c r="AL25" i="1"/>
  <c r="AL63" i="1" s="1"/>
  <c r="Z25" i="1"/>
  <c r="Z63" i="1" s="1"/>
  <c r="AM55" i="1"/>
  <c r="BI58" i="1"/>
  <c r="G58" i="1"/>
  <c r="W59" i="1"/>
  <c r="BB25" i="1"/>
  <c r="BB63" i="1" s="1"/>
  <c r="AQ55" i="1"/>
  <c r="BO43" i="1"/>
  <c r="V45" i="1"/>
  <c r="AE55" i="1"/>
  <c r="R43" i="1"/>
  <c r="BL19" i="1"/>
  <c r="BI60" i="1"/>
  <c r="AQ60" i="1"/>
  <c r="AK31" i="1"/>
  <c r="AL44" i="1" s="1"/>
  <c r="AX45" i="1"/>
  <c r="J41" i="1"/>
  <c r="AP25" i="1"/>
  <c r="AP63" i="1" s="1"/>
  <c r="BL25" i="1"/>
  <c r="AD45" i="1"/>
  <c r="AX25" i="1"/>
  <c r="AX63" i="1" s="1"/>
  <c r="AM60" i="1"/>
  <c r="G60" i="1"/>
  <c r="AY55" i="1"/>
  <c r="S55" i="1"/>
  <c r="AP41" i="1"/>
  <c r="AI57" i="1"/>
  <c r="O54" i="1"/>
  <c r="N25" i="1"/>
  <c r="N63" i="1" s="1"/>
  <c r="R25" i="1"/>
  <c r="R63" i="1" s="1"/>
  <c r="AX43" i="1"/>
  <c r="AY60" i="1"/>
  <c r="AI55" i="1"/>
  <c r="V43" i="1"/>
  <c r="BL11" i="1"/>
  <c r="AK26" i="1"/>
  <c r="AH41" i="1"/>
  <c r="AE54" i="1"/>
  <c r="AD43" i="1"/>
  <c r="S54" i="1"/>
  <c r="AA54" i="1"/>
  <c r="AM56" i="1"/>
  <c r="K56" i="1"/>
  <c r="BO9" i="1"/>
  <c r="N19" i="1"/>
  <c r="N62" i="1" s="1"/>
  <c r="AS26" i="1"/>
  <c r="AT42" i="1" s="1"/>
  <c r="CB67" i="1"/>
  <c r="BL20" i="1"/>
  <c r="AM54" i="1"/>
  <c r="AD30" i="1"/>
  <c r="AD64" i="1" s="1"/>
  <c r="V25" i="1"/>
  <c r="V63" i="1" s="1"/>
  <c r="AT25" i="1"/>
  <c r="AT63" i="1" s="1"/>
  <c r="AQ56" i="1"/>
  <c r="AU54" i="1"/>
  <c r="BI54" i="1"/>
  <c r="K54" i="1"/>
  <c r="BO45" i="1"/>
  <c r="W56" i="1"/>
  <c r="AY56" i="1"/>
  <c r="N41" i="1"/>
  <c r="AI56" i="1"/>
  <c r="BL26" i="1"/>
  <c r="BK26" i="1" s="1"/>
  <c r="BL31" i="1"/>
  <c r="BK31" i="1" s="1"/>
  <c r="AE56" i="1"/>
  <c r="BI56" i="1"/>
  <c r="V41" i="1"/>
  <c r="AI54" i="1"/>
  <c r="G56" i="1"/>
  <c r="AU56" i="1"/>
  <c r="J43" i="1"/>
  <c r="J25" i="1"/>
  <c r="J63" i="1" s="1"/>
  <c r="R41" i="1" l="1"/>
  <c r="AP19" i="1" s="1"/>
  <c r="AP62" i="1" s="1"/>
  <c r="AC20" i="1"/>
  <c r="AD40" i="1" s="1"/>
  <c r="I20" i="1"/>
  <c r="J40" i="1" s="1"/>
  <c r="AS20" i="1"/>
  <c r="AT40" i="1" s="1"/>
  <c r="R39" i="1"/>
  <c r="AP39" i="1"/>
  <c r="AD39" i="1"/>
  <c r="AD11" i="1" s="1"/>
  <c r="AD61" i="1" s="1"/>
  <c r="BB39" i="1"/>
  <c r="AL39" i="1"/>
  <c r="N39" i="1"/>
  <c r="V39" i="1"/>
  <c r="V11" i="1" s="1"/>
  <c r="V61" i="1" s="1"/>
  <c r="AX39" i="1"/>
  <c r="DO8" i="1"/>
  <c r="DO9" i="1"/>
  <c r="BO33" i="1"/>
  <c r="BO48" i="1"/>
  <c r="BL34" i="1" s="1"/>
  <c r="BL41" i="1"/>
  <c r="BL44" i="1"/>
  <c r="BL45" i="1"/>
  <c r="BL39" i="1"/>
  <c r="AL42" i="1"/>
  <c r="BO28" i="1" s="1"/>
  <c r="BL42" i="1"/>
  <c r="BL43" i="1"/>
  <c r="AW20" i="1" l="1"/>
  <c r="AX40" i="1" s="1"/>
  <c r="Y20" i="1"/>
  <c r="Z40" i="1" s="1"/>
  <c r="AO20" i="1"/>
  <c r="AP40" i="1" s="1"/>
  <c r="R19" i="1"/>
  <c r="R62" i="1" s="1"/>
  <c r="AG20" i="1"/>
  <c r="AH40" i="1" s="1"/>
  <c r="AK20" i="1"/>
  <c r="AL40" i="1" s="1"/>
  <c r="Q20" i="1"/>
  <c r="R40" i="1" s="1"/>
  <c r="Z19" i="1"/>
  <c r="Z62" i="1" s="1"/>
  <c r="BK20" i="1"/>
  <c r="BL40" i="1" s="1"/>
  <c r="U20" i="1"/>
  <c r="V40" i="1" s="1"/>
  <c r="BA20" i="1"/>
  <c r="BB40" i="1" s="1"/>
  <c r="J19" i="1"/>
  <c r="J62" i="1" s="1"/>
  <c r="AL19" i="1"/>
  <c r="AL62" i="1" s="1"/>
  <c r="V19" i="1"/>
  <c r="V62" i="1" s="1"/>
  <c r="AT19" i="1"/>
  <c r="AT62" i="1" s="1"/>
  <c r="AH19" i="1"/>
  <c r="AH62" i="1" s="1"/>
  <c r="AD19" i="1"/>
  <c r="AD62" i="1" s="1"/>
  <c r="AX19" i="1"/>
  <c r="AX62" i="1" s="1"/>
  <c r="BB19" i="1"/>
  <c r="BB62" i="1" s="1"/>
  <c r="BO22" i="1"/>
  <c r="Z11" i="1"/>
  <c r="Z61" i="1" s="1"/>
  <c r="R11" i="1"/>
  <c r="R61" i="1" s="1"/>
  <c r="AX11" i="1"/>
  <c r="AX61" i="1" s="1"/>
  <c r="BB11" i="1"/>
  <c r="BB61" i="1" s="1"/>
  <c r="J11" i="1"/>
  <c r="J61" i="1" s="1"/>
  <c r="AP11" i="1"/>
  <c r="AP61" i="1" s="1"/>
  <c r="AL11" i="1"/>
  <c r="AL61" i="1" s="1"/>
  <c r="AH11" i="1"/>
  <c r="AH61" i="1" s="1"/>
  <c r="N11" i="1"/>
  <c r="N61" i="1" s="1"/>
  <c r="AT11" i="1"/>
  <c r="AT61" i="1" s="1"/>
  <c r="I12" i="1"/>
  <c r="J38" i="1" s="1"/>
  <c r="Q12" i="1"/>
  <c r="R38" i="1" s="1"/>
  <c r="U12" i="1"/>
  <c r="V38" i="1" s="1"/>
  <c r="M12" i="1"/>
  <c r="N38" i="1" s="1"/>
  <c r="AK12" i="1"/>
  <c r="AL38" i="1" s="1"/>
  <c r="AS12" i="1"/>
  <c r="AT38" i="1" s="1"/>
  <c r="BA12" i="1"/>
  <c r="BB38" i="1" s="1"/>
  <c r="AW12" i="1"/>
  <c r="AX38" i="1" s="1"/>
  <c r="AC12" i="1"/>
  <c r="AD38" i="1" s="1"/>
  <c r="Y12" i="1"/>
  <c r="Z38" i="1" s="1"/>
  <c r="AO12" i="1"/>
  <c r="AP38" i="1" s="1"/>
  <c r="AG12" i="1"/>
  <c r="AH38" i="1" s="1"/>
  <c r="BK12" i="1"/>
  <c r="BL38" i="1" s="1"/>
  <c r="BK35" i="1"/>
  <c r="BL35" i="1" s="1"/>
  <c r="J34" i="1"/>
  <c r="CD73" i="1" s="1"/>
  <c r="CC73" i="1" s="1"/>
  <c r="AT34" i="1"/>
  <c r="CH79" i="1" s="1"/>
  <c r="CG79" i="1" s="1"/>
  <c r="Z34" i="1"/>
  <c r="R34" i="1"/>
  <c r="CH78" i="1" s="1"/>
  <c r="CG78" i="1" s="1"/>
  <c r="V34" i="1"/>
  <c r="AP34" i="1"/>
  <c r="AH34" i="1"/>
  <c r="AL34" i="1"/>
  <c r="AD34" i="1"/>
  <c r="N34" i="1"/>
  <c r="N47" i="1" s="1"/>
  <c r="AX34" i="1"/>
  <c r="BB34" i="1"/>
  <c r="CN71" i="1"/>
  <c r="CO71" i="1" s="1"/>
  <c r="BP39" i="1"/>
  <c r="B2" i="1" s="1"/>
  <c r="CN75" i="1"/>
  <c r="CO75" i="1" s="1"/>
  <c r="CN69" i="1"/>
  <c r="CN70" i="1"/>
  <c r="CN76" i="1"/>
  <c r="CO76" i="1" s="1"/>
  <c r="DE87" i="1"/>
  <c r="DE94" i="1"/>
  <c r="DF94" i="1" s="1"/>
  <c r="DE91" i="1"/>
  <c r="DE89" i="1"/>
  <c r="DF89" i="1" s="1"/>
  <c r="CN73" i="1"/>
  <c r="CO73" i="1" s="1"/>
  <c r="DE86" i="1"/>
  <c r="DF86" i="1" s="1"/>
  <c r="DE88" i="1"/>
  <c r="DF88" i="1" s="1"/>
  <c r="DE97" i="1"/>
  <c r="DF97" i="1" s="1"/>
  <c r="DE92" i="1"/>
  <c r="DF92" i="1" s="1"/>
  <c r="DF91" i="1" l="1"/>
  <c r="CN80" i="1"/>
  <c r="CO80" i="1" s="1"/>
  <c r="DE93" i="1"/>
  <c r="DF93" i="1" s="1"/>
  <c r="CN78" i="1"/>
  <c r="CO78" i="1" s="1"/>
  <c r="DE90" i="1"/>
  <c r="DF90" i="1" s="1"/>
  <c r="CN77" i="1"/>
  <c r="CO77" i="1" s="1"/>
  <c r="CO70" i="1"/>
  <c r="DE95" i="1"/>
  <c r="DF95" i="1" s="1"/>
  <c r="CN74" i="1"/>
  <c r="CO74" i="1" s="1"/>
  <c r="CN79" i="1"/>
  <c r="CO79" i="1" s="1"/>
  <c r="CN72" i="1"/>
  <c r="CO72" i="1" s="1"/>
  <c r="DE96" i="1"/>
  <c r="DF96" i="1" s="1"/>
  <c r="CH69" i="1"/>
  <c r="CG69" i="1" s="1"/>
  <c r="BO14" i="1"/>
  <c r="DF87" i="1" s="1"/>
  <c r="J47" i="1"/>
  <c r="AK35" i="1"/>
  <c r="AL35" i="1" s="1"/>
  <c r="Y35" i="1"/>
  <c r="Z35" i="1" s="1"/>
  <c r="CD76" i="1"/>
  <c r="CC76" i="1" s="1"/>
  <c r="AO35" i="1"/>
  <c r="AP35" i="1" s="1"/>
  <c r="AS35" i="1"/>
  <c r="AT35" i="1" s="1"/>
  <c r="AP47" i="1"/>
  <c r="CH75" i="1"/>
  <c r="CG75" i="1" s="1"/>
  <c r="BA35" i="1"/>
  <c r="BB35" i="1" s="1"/>
  <c r="Q35" i="1"/>
  <c r="R35" i="1" s="1"/>
  <c r="AW35" i="1"/>
  <c r="AX35" i="1" s="1"/>
  <c r="CH71" i="1"/>
  <c r="CG71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75" i="1"/>
  <c r="CC75" i="1" s="1"/>
  <c r="CD74" i="1"/>
  <c r="CC74" i="1" s="1"/>
  <c r="CH72" i="1"/>
  <c r="CG72" i="1" s="1"/>
  <c r="CH70" i="1"/>
  <c r="CG70" i="1" s="1"/>
  <c r="Z47" i="1"/>
  <c r="AT47" i="1"/>
  <c r="CD70" i="1"/>
  <c r="CC70" i="1" s="1"/>
  <c r="AX47" i="1"/>
  <c r="CD79" i="1"/>
  <c r="CC79" i="1" s="1"/>
  <c r="CD77" i="1"/>
  <c r="CC77" i="1" s="1"/>
  <c r="CH80" i="1"/>
  <c r="CG80" i="1" s="1"/>
  <c r="CH76" i="1"/>
  <c r="CG76" i="1" s="1"/>
  <c r="V47" i="1"/>
  <c r="AL47" i="1"/>
  <c r="CD80" i="1"/>
  <c r="CC80" i="1" s="1"/>
  <c r="CD69" i="1"/>
  <c r="CC69" i="1" s="1"/>
  <c r="AH47" i="1"/>
  <c r="R47" i="1"/>
  <c r="CD72" i="1"/>
  <c r="CC72" i="1" s="1"/>
  <c r="CD78" i="1"/>
  <c r="CC78" i="1" s="1"/>
  <c r="CH77" i="1"/>
  <c r="CG77" i="1" s="1"/>
  <c r="AD47" i="1"/>
  <c r="CD71" i="1"/>
  <c r="CC71" i="1" s="1"/>
  <c r="BL47" i="1"/>
  <c r="CH74" i="1"/>
  <c r="CG74" i="1" s="1"/>
  <c r="CO69" i="1" l="1"/>
  <c r="BK34" i="1"/>
  <c r="BL46" i="1" s="1"/>
  <c r="AC34" i="1"/>
  <c r="CF79" i="1"/>
  <c r="BA34" i="1"/>
  <c r="I34" i="1"/>
  <c r="AS34" i="1"/>
  <c r="AO34" i="1"/>
  <c r="CF71" i="1"/>
  <c r="CF72" i="1"/>
  <c r="CF78" i="1"/>
  <c r="U34" i="1"/>
  <c r="AG34" i="1"/>
  <c r="M34" i="1"/>
  <c r="AK34" i="1"/>
  <c r="AW34" i="1"/>
  <c r="Q34" i="1"/>
  <c r="Y34" i="1"/>
  <c r="CF70" i="1"/>
  <c r="CF74" i="1"/>
  <c r="CF75" i="1"/>
  <c r="CF77" i="1"/>
  <c r="CF76" i="1"/>
  <c r="CF69" i="1"/>
  <c r="CF73" i="1"/>
  <c r="CF80" i="1"/>
  <c r="DG90" i="1" l="1"/>
  <c r="CB69" i="1"/>
  <c r="CB71" i="1"/>
  <c r="CR76" i="1"/>
  <c r="CP80" i="1"/>
  <c r="DG97" i="1"/>
  <c r="AP46" i="1"/>
  <c r="CB79" i="1"/>
  <c r="CB77" i="1"/>
  <c r="Z46" i="1"/>
  <c r="DG94" i="1"/>
  <c r="CR69" i="1"/>
  <c r="DG96" i="1"/>
  <c r="CB73" i="1"/>
  <c r="DI89" i="1"/>
  <c r="CP75" i="1"/>
  <c r="CR70" i="1"/>
  <c r="CP79" i="1"/>
  <c r="CP71" i="1"/>
  <c r="DI87" i="1"/>
  <c r="CP69" i="1"/>
  <c r="J46" i="1"/>
  <c r="DG87" i="1"/>
  <c r="DI94" i="1"/>
  <c r="DJ94" i="1" s="1"/>
  <c r="DG95" i="1"/>
  <c r="AD46" i="1"/>
  <c r="CB70" i="1"/>
  <c r="CR71" i="1"/>
  <c r="CS71" i="1" s="1"/>
  <c r="CB80" i="1"/>
  <c r="N46" i="1"/>
  <c r="CR77" i="1"/>
  <c r="CP74" i="1"/>
  <c r="DG89" i="1"/>
  <c r="AL46" i="1"/>
  <c r="CR75" i="1"/>
  <c r="DI90" i="1"/>
  <c r="DJ90" i="1" s="1"/>
  <c r="CB74" i="1"/>
  <c r="DI86" i="1"/>
  <c r="CB78" i="1"/>
  <c r="DI92" i="1"/>
  <c r="DI88" i="1"/>
  <c r="AH46" i="1"/>
  <c r="CB72" i="1"/>
  <c r="CR80" i="1"/>
  <c r="BB46" i="1"/>
  <c r="CB75" i="1"/>
  <c r="CP72" i="1"/>
  <c r="DG88" i="1"/>
  <c r="AX46" i="1"/>
  <c r="R46" i="1"/>
  <c r="CR72" i="1"/>
  <c r="CS72" i="1" s="1"/>
  <c r="DG86" i="1"/>
  <c r="CR73" i="1"/>
  <c r="CP76" i="1"/>
  <c r="DG93" i="1"/>
  <c r="CP78" i="1"/>
  <c r="DI93" i="1"/>
  <c r="DI96" i="1"/>
  <c r="CB76" i="1"/>
  <c r="DI91" i="1"/>
  <c r="CR78" i="1"/>
  <c r="AT46" i="1"/>
  <c r="CR79" i="1"/>
  <c r="DG91" i="1"/>
  <c r="DI97" i="1"/>
  <c r="CP73" i="1"/>
  <c r="CP77" i="1"/>
  <c r="V46" i="1"/>
  <c r="CR74" i="1"/>
  <c r="CS74" i="1" s="1"/>
  <c r="DI95" i="1"/>
  <c r="DJ95" i="1" s="1"/>
  <c r="CP70" i="1"/>
  <c r="DG92" i="1"/>
  <c r="BP35" i="1" l="1"/>
  <c r="CS75" i="1" s="1"/>
  <c r="BO35" i="1"/>
  <c r="CS69" i="1" l="1"/>
  <c r="DJ87" i="1"/>
  <c r="DJ88" i="1"/>
  <c r="CS76" i="1"/>
  <c r="CS73" i="1"/>
  <c r="DJ97" i="1"/>
  <c r="CS70" i="1"/>
  <c r="DJ91" i="1"/>
  <c r="DJ96" i="1"/>
  <c r="CS79" i="1"/>
  <c r="DJ93" i="1"/>
  <c r="CS78" i="1"/>
  <c r="DJ92" i="1"/>
  <c r="CS77" i="1"/>
  <c r="DJ89" i="1"/>
  <c r="AH2" i="1"/>
  <c r="J2" i="1"/>
  <c r="R2" i="1"/>
  <c r="AD2" i="1"/>
  <c r="BB2" i="1"/>
  <c r="AP2" i="1"/>
  <c r="AT2" i="1"/>
  <c r="N2" i="1"/>
  <c r="AX2" i="1"/>
  <c r="V2" i="1"/>
  <c r="Z2" i="1"/>
  <c r="DJ86" i="1"/>
  <c r="DH93" i="1"/>
  <c r="AL2" i="1"/>
  <c r="CS80" i="1"/>
  <c r="CQ78" i="1"/>
  <c r="DH95" i="1"/>
  <c r="CV95" i="1" s="1"/>
  <c r="CQ73" i="1"/>
  <c r="CL73" i="1" s="1"/>
  <c r="DH91" i="1"/>
  <c r="DH87" i="1"/>
  <c r="CV87" i="1" s="1"/>
  <c r="CQ70" i="1"/>
  <c r="DH97" i="1"/>
  <c r="CQ71" i="1"/>
  <c r="CL71" i="1" s="1"/>
  <c r="CQ74" i="1"/>
  <c r="CL74" i="1" s="1"/>
  <c r="CQ80" i="1"/>
  <c r="DH90" i="1"/>
  <c r="CV90" i="1" s="1"/>
  <c r="DH94" i="1"/>
  <c r="CV94" i="1" s="1"/>
  <c r="CQ75" i="1"/>
  <c r="CL75" i="1" s="1"/>
  <c r="DH96" i="1"/>
  <c r="DH88" i="1"/>
  <c r="CQ76" i="1"/>
  <c r="CQ69" i="1"/>
  <c r="CL69" i="1" s="1"/>
  <c r="DH89" i="1"/>
  <c r="DH92" i="1"/>
  <c r="CQ79" i="1"/>
  <c r="CL79" i="1" s="1"/>
  <c r="DH86" i="1"/>
  <c r="CV86" i="1" s="1"/>
  <c r="CQ77" i="1"/>
  <c r="CQ72" i="1"/>
  <c r="CL72" i="1" s="1"/>
  <c r="CL76" i="1" l="1"/>
  <c r="CL70" i="1"/>
  <c r="CV88" i="1"/>
  <c r="CV97" i="1"/>
  <c r="CV91" i="1"/>
  <c r="CV96" i="1"/>
  <c r="CV92" i="1"/>
  <c r="CV93" i="1"/>
  <c r="CL78" i="1"/>
  <c r="CL77" i="1"/>
  <c r="CV89" i="1"/>
  <c r="CL80" i="1"/>
  <c r="CJ75" i="1" l="1"/>
  <c r="CJ71" i="1"/>
  <c r="CJ73" i="1"/>
  <c r="CJ74" i="1"/>
  <c r="CJ78" i="1"/>
  <c r="CJ76" i="1"/>
  <c r="CJ69" i="1"/>
  <c r="CJ70" i="1"/>
  <c r="CJ77" i="1"/>
  <c r="CJ80" i="1"/>
  <c r="CJ72" i="1"/>
  <c r="CJ79" i="1"/>
</calcChain>
</file>

<file path=xl/sharedStrings.xml><?xml version="1.0" encoding="utf-8"?>
<sst xmlns="http://schemas.openxmlformats.org/spreadsheetml/2006/main" count="1092" uniqueCount="225">
  <si>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</si>
  <si>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</si>
  <si>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</si>
  <si>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</si>
  <si>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</si>
  <si>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</si>
  <si>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</si>
  <si>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</si>
  <si>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</si>
  <si>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</si>
  <si>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</si>
  <si>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</si>
  <si>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</si>
  <si>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</si>
  <si>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</si>
  <si>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</si>
  <si>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</si>
  <si>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</si>
  <si>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</si>
  <si>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</si>
  <si>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</si>
  <si>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</si>
  <si>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</si>
  <si>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</si>
  <si>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</si>
  <si>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</si>
  <si>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</si>
  <si>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</si>
  <si>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</si>
  <si>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</si>
  <si>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</si>
  <si>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</si>
  <si>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</si>
  <si>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</si>
  <si>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</si>
  <si>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</si>
  <si>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</si>
  <si>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</si>
  <si>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</si>
  <si>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</si>
  <si>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</si>
  <si>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</si>
  <si>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</si>
  <si>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</si>
  <si>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</si>
  <si>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</si>
  <si>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</si>
  <si>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</si>
  <si>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</si>
  <si>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</si>
  <si>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</si>
  <si>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</si>
  <si>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</si>
  <si>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</si>
  <si>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</si>
  <si>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</si>
  <si>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</si>
  <si>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</si>
  <si>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</si>
  <si>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</si>
  <si>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</si>
  <si>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</si>
  <si>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</si>
  <si>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</si>
  <si>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</si>
  <si>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</si>
  <si>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</si>
  <si>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</si>
  <si>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</si>
  <si>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</si>
  <si>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</si>
  <si>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</si>
  <si>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</si>
  <si>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</si>
  <si>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</si>
  <si>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</si>
  <si>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</si>
  <si>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</si>
  <si>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</si>
  <si>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</si>
  <si>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</si>
  <si>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</si>
  <si>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</si>
  <si>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</si>
  <si>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</si>
  <si>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</si>
  <si>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</si>
  <si>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</si>
  <si>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</si>
  <si>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</si>
  <si>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</si>
  <si>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</si>
  <si>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</si>
  <si>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</si>
  <si>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</si>
  <si>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</si>
  <si>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</si>
  <si>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</si>
  <si>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</si>
  <si>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</si>
  <si>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</si>
  <si>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</si>
  <si>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</si>
  <si>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</si>
  <si>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</si>
  <si>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</si>
  <si>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</si>
  <si>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</si>
  <si>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</si>
  <si>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</si>
  <si>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</si>
  <si>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</si>
  <si>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</si>
  <si>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</si>
  <si>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</si>
  <si>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</si>
  <si>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</si>
  <si>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</si>
  <si>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</si>
  <si>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</si>
  <si>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</si>
  <si>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</si>
  <si>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</si>
  <si>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</si>
  <si>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</si>
  <si>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</si>
  <si>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</si>
  <si>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</si>
  <si>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</si>
  <si>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</si>
  <si>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</si>
  <si>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</si>
  <si>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</si>
  <si>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</si>
  <si>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</si>
  <si>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</si>
  <si>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</si>
  <si>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</si>
  <si>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</si>
  <si>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</si>
  <si>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</si>
  <si>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</si>
  <si>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</si>
  <si>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</si>
  <si>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</si>
  <si>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</si>
  <si>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</si>
  <si>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</si>
  <si>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</si>
  <si>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</si>
  <si>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</si>
  <si>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</si>
  <si>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</si>
  <si>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</si>
  <si>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</si>
  <si>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</si>
  <si>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</si>
  <si>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</si>
  <si>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</si>
  <si>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</si>
  <si>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</si>
  <si>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</si>
  <si>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</si>
  <si>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</si>
  <si>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</si>
  <si>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</si>
  <si>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</si>
  <si>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</si>
  <si>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</si>
  <si>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</si>
  <si>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</si>
  <si>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</si>
  <si>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</si>
  <si>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</si>
  <si>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</si>
  <si>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</si>
  <si>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</si>
  <si>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</si>
  <si>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</si>
  <si>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</si>
  <si>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</si>
  <si>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</si>
  <si>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</si>
  <si>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</si>
  <si>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</si>
  <si>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</si>
  <si>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</si>
  <si>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</si>
  <si>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</si>
  <si>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</si>
  <si>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</si>
  <si>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</si>
  <si>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</si>
  <si>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</si>
  <si>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</si>
  <si>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</si>
  <si>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2020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</si>
  <si>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</si>
  <si>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</si>
  <si>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</si>
  <si>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</si>
  <si>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</si>
  <si>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</si>
  <si>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</si>
  <si>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</si>
  <si>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</si>
  <si>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</si>
  <si>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</si>
  <si>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</si>
  <si>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</si>
  <si>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</si>
  <si>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</si>
  <si>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Bills</t>
  </si>
  <si>
    <t>Rams</t>
  </si>
  <si>
    <t>Seahawks</t>
  </si>
  <si>
    <t>Buccaneers</t>
  </si>
  <si>
    <t>Football Team</t>
  </si>
  <si>
    <t>Ravens</t>
  </si>
  <si>
    <t>Titans</t>
  </si>
  <si>
    <t>Bears</t>
  </si>
  <si>
    <t>Saints</t>
  </si>
  <si>
    <t>Browns</t>
  </si>
  <si>
    <t>Steelers</t>
  </si>
  <si>
    <t>Packers</t>
  </si>
  <si>
    <t>Chiefs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</si>
</sst>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3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2" xfId="1" applyNumberFormat="1" applyFont="1" applyFill="1" applyBorder="1" applyAlignment="1" applyProtection="1">
      <alignment horizontal="right" vertical="center"/>
    </xf>
    <xf numFmtId="0" fontId="23" fillId="0" borderId="43" xfId="1" applyNumberFormat="1" applyFont="1" applyFill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43" xfId="1" applyNumberFormat="1" applyFont="1" applyBorder="1" applyAlignment="1" applyProtection="1">
      <alignment horizontal="center"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  <protection locked="0"/>
    </xf>
    <xf numFmtId="0" fontId="28" fillId="0" borderId="18" xfId="1" applyNumberFormat="1" applyFont="1" applyBorder="1" applyAlignment="1" applyProtection="1">
      <alignment horizontal="center" vertical="center"/>
      <protection locked="0"/>
    </xf>
    <xf numFmtId="0" fontId="28" fillId="0" borderId="0" xfId="1" applyNumberFormat="1" applyFont="1" applyBorder="1" applyAlignment="1" applyProtection="1">
      <alignment horizontal="center" vertical="center"/>
      <protection locked="0"/>
    </xf>
    <xf numFmtId="0" fontId="28" fillId="0" borderId="28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  <protection locked="0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8" fillId="0" borderId="40" xfId="1" applyNumberFormat="1" applyFont="1" applyBorder="1" applyAlignment="1" applyProtection="1">
      <alignment horizontal="center" vertical="center"/>
      <protection locked="0"/>
    </xf>
    <xf numFmtId="0" fontId="28" fillId="0" borderId="38" xfId="1" applyNumberFormat="1" applyFont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164" fontId="3" fillId="2" borderId="13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39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40" t="s">
        <v>196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34"/>
      <c r="DM1" s="170"/>
      <c r="DN1" s="171"/>
    </row>
    <row r="2" spans="1:124" s="6" customFormat="1" ht="21" customHeight="1" thickTop="1" thickBot="1" x14ac:dyDescent="0.25">
      <c r="A2" s="10"/>
      <c r="B2" s="296" t="str">
        <f>$BP$39</f>
        <v>Week 2 Final</v>
      </c>
      <c r="C2" s="297"/>
      <c r="D2" s="297"/>
      <c r="E2" s="297"/>
      <c r="F2" s="298"/>
      <c r="G2" s="291" t="s">
        <v>197</v>
      </c>
      <c r="H2" s="291"/>
      <c r="I2" s="291"/>
      <c r="J2" s="198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40</v>
      </c>
      <c r="K2" s="290" t="s">
        <v>198</v>
      </c>
      <c r="L2" s="291"/>
      <c r="M2" s="291"/>
      <c r="N2" s="198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90" t="s">
        <v>199</v>
      </c>
      <c r="P2" s="291"/>
      <c r="Q2" s="291"/>
      <c r="R2" s="198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90" t="s">
        <v>200</v>
      </c>
      <c r="T2" s="291"/>
      <c r="U2" s="291"/>
      <c r="V2" s="198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90" t="s">
        <v>201</v>
      </c>
      <c r="X2" s="291"/>
      <c r="Y2" s="291"/>
      <c r="Z2" s="198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90" t="s">
        <v>202</v>
      </c>
      <c r="AB2" s="291"/>
      <c r="AC2" s="291"/>
      <c r="AD2" s="198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90" t="s">
        <v>203</v>
      </c>
      <c r="AF2" s="291"/>
      <c r="AG2" s="291"/>
      <c r="AH2" s="198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90" t="s">
        <v>204</v>
      </c>
      <c r="AJ2" s="291"/>
      <c r="AK2" s="291"/>
      <c r="AL2" s="198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90" t="s">
        <v>205</v>
      </c>
      <c r="AN2" s="291"/>
      <c r="AO2" s="291"/>
      <c r="AP2" s="198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90" t="s">
        <v>206</v>
      </c>
      <c r="AR2" s="291"/>
      <c r="AS2" s="291"/>
      <c r="AT2" s="198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90" t="s">
        <v>207</v>
      </c>
      <c r="AV2" s="291"/>
      <c r="AW2" s="291"/>
      <c r="AX2" s="198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40</v>
      </c>
      <c r="AY2" s="290" t="s">
        <v>208</v>
      </c>
      <c r="AZ2" s="291"/>
      <c r="BA2" s="291"/>
      <c r="BB2" s="199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52"/>
      <c r="BD2" s="151"/>
      <c r="BE2" s="151"/>
      <c r="BF2" s="151"/>
      <c r="BG2" s="151"/>
      <c r="BH2" s="7"/>
      <c r="BI2" s="292" t="s">
        <v>59</v>
      </c>
      <c r="BJ2" s="291"/>
      <c r="BK2" s="291"/>
      <c r="BL2" s="293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35"/>
    </row>
    <row r="3" spans="1:124" s="6" customFormat="1" ht="8.1" customHeight="1" thickBot="1" x14ac:dyDescent="0.25">
      <c r="A3" s="10"/>
      <c r="B3" s="153"/>
      <c r="C3" s="87"/>
      <c r="D3" s="87"/>
      <c r="E3" s="144"/>
      <c r="F3" s="154"/>
      <c r="G3" s="149"/>
      <c r="H3" s="132"/>
      <c r="I3" s="149"/>
      <c r="J3" s="155"/>
      <c r="K3" s="149"/>
      <c r="L3" s="132"/>
      <c r="M3" s="149"/>
      <c r="N3" s="155"/>
      <c r="O3" s="149"/>
      <c r="P3" s="132"/>
      <c r="Q3" s="149"/>
      <c r="R3" s="155"/>
      <c r="S3" s="149"/>
      <c r="T3" s="132"/>
      <c r="U3" s="149"/>
      <c r="V3" s="155"/>
      <c r="W3" s="149"/>
      <c r="X3" s="132"/>
      <c r="Y3" s="149"/>
      <c r="Z3" s="155"/>
      <c r="AA3" s="149"/>
      <c r="AB3" s="132"/>
      <c r="AC3" s="149"/>
      <c r="AD3" s="155"/>
      <c r="AE3" s="149"/>
      <c r="AF3" s="132"/>
      <c r="AG3" s="149"/>
      <c r="AH3" s="155"/>
      <c r="AI3" s="149"/>
      <c r="AJ3" s="132"/>
      <c r="AK3" s="149"/>
      <c r="AL3" s="155"/>
      <c r="AM3" s="149"/>
      <c r="AN3" s="132"/>
      <c r="AO3" s="149"/>
      <c r="AP3" s="155"/>
      <c r="AQ3" s="149"/>
      <c r="AR3" s="132"/>
      <c r="AS3" s="149"/>
      <c r="AT3" s="155"/>
      <c r="AU3" s="149"/>
      <c r="AV3" s="132"/>
      <c r="AW3" s="149"/>
      <c r="AX3" s="155"/>
      <c r="AY3" s="149"/>
      <c r="AZ3" s="132"/>
      <c r="BA3" s="149"/>
      <c r="BB3" s="133"/>
      <c r="BC3" s="100"/>
      <c r="BD3" s="100"/>
      <c r="BE3" s="100"/>
      <c r="BF3" s="100"/>
      <c r="BG3" s="100"/>
      <c r="BH3" s="28"/>
      <c r="BI3" s="202"/>
      <c r="BJ3" s="132"/>
      <c r="BK3" s="149"/>
      <c r="BL3" s="133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36"/>
    </row>
    <row r="4" spans="1:124" s="6" customFormat="1" ht="18" customHeight="1" thickBot="1" x14ac:dyDescent="0.25">
      <c r="A4" s="15"/>
      <c r="B4" s="287" t="s">
        <v>122</v>
      </c>
      <c r="C4" s="288"/>
      <c r="D4" s="288"/>
      <c r="E4" s="288"/>
      <c r="F4" s="289"/>
      <c r="G4" s="193"/>
      <c r="H4" s="193" t="s">
        <v>126</v>
      </c>
      <c r="I4" s="194"/>
      <c r="J4" s="195" t="s">
        <v>1</v>
      </c>
      <c r="K4" s="196"/>
      <c r="L4" s="193" t="s">
        <v>126</v>
      </c>
      <c r="M4" s="194"/>
      <c r="N4" s="195" t="s">
        <v>1</v>
      </c>
      <c r="O4" s="196"/>
      <c r="P4" s="193" t="s">
        <v>126</v>
      </c>
      <c r="Q4" s="194"/>
      <c r="R4" s="195" t="s">
        <v>1</v>
      </c>
      <c r="S4" s="196"/>
      <c r="T4" s="193" t="s">
        <v>126</v>
      </c>
      <c r="U4" s="194"/>
      <c r="V4" s="195" t="s">
        <v>1</v>
      </c>
      <c r="W4" s="196"/>
      <c r="X4" s="193" t="s">
        <v>126</v>
      </c>
      <c r="Y4" s="194"/>
      <c r="Z4" s="195" t="s">
        <v>1</v>
      </c>
      <c r="AA4" s="196"/>
      <c r="AB4" s="193" t="s">
        <v>126</v>
      </c>
      <c r="AC4" s="194"/>
      <c r="AD4" s="195" t="s">
        <v>1</v>
      </c>
      <c r="AE4" s="196"/>
      <c r="AF4" s="193" t="s">
        <v>126</v>
      </c>
      <c r="AG4" s="194"/>
      <c r="AH4" s="195" t="s">
        <v>1</v>
      </c>
      <c r="AI4" s="196"/>
      <c r="AJ4" s="193" t="s">
        <v>126</v>
      </c>
      <c r="AK4" s="194"/>
      <c r="AL4" s="195" t="s">
        <v>1</v>
      </c>
      <c r="AM4" s="196"/>
      <c r="AN4" s="193" t="s">
        <v>126</v>
      </c>
      <c r="AO4" s="194"/>
      <c r="AP4" s="195" t="s">
        <v>1</v>
      </c>
      <c r="AQ4" s="196"/>
      <c r="AR4" s="193" t="s">
        <v>126</v>
      </c>
      <c r="AS4" s="194"/>
      <c r="AT4" s="195" t="s">
        <v>1</v>
      </c>
      <c r="AU4" s="196"/>
      <c r="AV4" s="193" t="s">
        <v>126</v>
      </c>
      <c r="AW4" s="194"/>
      <c r="AX4" s="195" t="s">
        <v>1</v>
      </c>
      <c r="AY4" s="196"/>
      <c r="AZ4" s="193" t="s">
        <v>126</v>
      </c>
      <c r="BA4" s="194"/>
      <c r="BB4" s="197" t="s">
        <v>1</v>
      </c>
      <c r="BC4" s="294" t="s">
        <v>118</v>
      </c>
      <c r="BD4" s="295"/>
      <c r="BE4" s="295"/>
      <c r="BF4" s="295"/>
      <c r="BG4" s="295"/>
      <c r="BH4" s="7"/>
      <c r="BI4" s="203"/>
      <c r="BJ4" s="193" t="s">
        <v>126</v>
      </c>
      <c r="BK4" s="194"/>
      <c r="BL4" s="197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00" t="s">
        <v>129</v>
      </c>
    </row>
    <row r="5" spans="1:124" s="6" customFormat="1" ht="15" customHeight="1" x14ac:dyDescent="0.2">
      <c r="A5" s="19"/>
      <c r="B5" s="258">
        <v>24</v>
      </c>
      <c r="C5" s="93" t="s">
        <v>211</v>
      </c>
      <c r="D5" s="93" t="s">
        <v>3</v>
      </c>
      <c r="E5" s="252" t="s">
        <v>212</v>
      </c>
      <c r="F5" s="261">
        <v>27</v>
      </c>
      <c r="G5" s="102" t="s">
        <v>9</v>
      </c>
      <c r="H5" s="102" t="s">
        <v>0</v>
      </c>
      <c r="I5" s="103">
        <v>9</v>
      </c>
      <c r="J5" s="98">
        <f t="shared" ref="J5:J10" si="0">IF(OR(G$2="",G5="",I5=""),"",IF($BD5="","",IF(G5=$BD5,ABS(I5-$BF5),ABS(I5+$BF5))+IF(G5&lt;&gt;$BD5,$BO$7,0)))</f>
        <v>6</v>
      </c>
      <c r="K5" s="255" t="s">
        <v>9</v>
      </c>
      <c r="L5" s="102" t="s">
        <v>0</v>
      </c>
      <c r="M5" s="103">
        <v>12</v>
      </c>
      <c r="N5" s="98">
        <f t="shared" ref="N5:N10" si="1">IF(OR(K$2="",K5="",M5=""),"",IF($BD5="","",IF(K5=$BD5,ABS(M5-$BF5),ABS(M5+$BF5))+IF(K5&lt;&gt;$BD5,$BO$7,0)))</f>
        <v>9</v>
      </c>
      <c r="O5" s="255" t="s">
        <v>9</v>
      </c>
      <c r="P5" s="102" t="s">
        <v>0</v>
      </c>
      <c r="Q5" s="103">
        <v>6</v>
      </c>
      <c r="R5" s="98">
        <f t="shared" ref="R5:R10" si="2">IF(OR(O$2="",O5="",Q5=""),"",IF($BD5="","",IF(O5=$BD5,ABS(Q5-$BF5),ABS(Q5+$BF5))+IF(O5&lt;&gt;$BD5,$BO$7,0)))</f>
        <v>3</v>
      </c>
      <c r="S5" s="255" t="s">
        <v>9</v>
      </c>
      <c r="T5" s="102" t="s">
        <v>0</v>
      </c>
      <c r="U5" s="103">
        <v>10</v>
      </c>
      <c r="V5" s="98">
        <f t="shared" ref="V5:V10" si="3">IF(OR(S$2="",S5="",U5=""),"",IF($BD5="","",IF(S5=$BD5,ABS(U5-$BF5),ABS(U5+$BF5))+IF(S5&lt;&gt;$BD5,$BO$7,0)))</f>
        <v>7</v>
      </c>
      <c r="W5" s="255" t="s">
        <v>9</v>
      </c>
      <c r="X5" s="102" t="s">
        <v>0</v>
      </c>
      <c r="Y5" s="103">
        <v>7</v>
      </c>
      <c r="Z5" s="98">
        <f t="shared" ref="Z5:Z10" si="4">IF(OR(W$2="",W5="",Y5=""),"",IF($BD5="","",IF(W5=$BD5,ABS(Y5-$BF5),ABS(Y5+$BF5))+IF(W5&lt;&gt;$BD5,$BO$7,0)))</f>
        <v>4</v>
      </c>
      <c r="AA5" s="255" t="s">
        <v>9</v>
      </c>
      <c r="AB5" s="102" t="s">
        <v>0</v>
      </c>
      <c r="AC5" s="103">
        <v>12</v>
      </c>
      <c r="AD5" s="98">
        <f t="shared" ref="AD5:AD10" si="5">IF(OR(AA$2="",AA5="",AC5=""),"",IF($BD5="","",IF(AA5=$BD5,ABS(AC5-$BF5),ABS(AC5+$BF5))+IF(AA5&lt;&gt;$BD5,$BO$7,0)))</f>
        <v>9</v>
      </c>
      <c r="AE5" s="255" t="s">
        <v>9</v>
      </c>
      <c r="AF5" s="102" t="s">
        <v>0</v>
      </c>
      <c r="AG5" s="103">
        <v>7</v>
      </c>
      <c r="AH5" s="98">
        <f t="shared" ref="AH5:AH10" si="6">IF(OR(AE$2="",AE5="",AG5=""),"",IF($BD5="","",IF(AE5=$BD5,ABS(AG5-$BF5),ABS(AG5+$BF5))+IF(AE5&lt;&gt;$BD5,$BO$7,0)))</f>
        <v>4</v>
      </c>
      <c r="AI5" s="255" t="s">
        <v>9</v>
      </c>
      <c r="AJ5" s="102" t="s">
        <v>0</v>
      </c>
      <c r="AK5" s="103">
        <v>3</v>
      </c>
      <c r="AL5" s="98">
        <f t="shared" ref="AL5:AL10" si="7">IF(OR(AI$2="",AI5="",AK5=""),"",IF($BD5="","",IF(AI5=$BD5,ABS(AK5-$BF5),ABS(AK5+$BF5))+IF(AI5&lt;&gt;$BD5,$BO$7,0)))</f>
        <v>0</v>
      </c>
      <c r="AM5" s="255" t="s">
        <v>9</v>
      </c>
      <c r="AN5" s="102" t="s">
        <v>0</v>
      </c>
      <c r="AO5" s="103">
        <v>7</v>
      </c>
      <c r="AP5" s="98">
        <f t="shared" ref="AP5:AP10" si="8">IF(OR(AM$2="",AM5="",AO5=""),"",IF($BD5="","",IF(AM5=$BD5,ABS(AO5-$BF5),ABS(AO5+$BF5))+IF(AM5&lt;&gt;$BD5,$BO$7,0)))</f>
        <v>4</v>
      </c>
      <c r="AQ5" s="255" t="s">
        <v>9</v>
      </c>
      <c r="AR5" s="102" t="s">
        <v>0</v>
      </c>
      <c r="AS5" s="103">
        <v>7</v>
      </c>
      <c r="AT5" s="98">
        <f t="shared" ref="AT5:AT10" si="9">IF(OR(AQ$2="",AQ5="",AS5=""),"",IF($BD5="","",IF(AQ5=$BD5,ABS(AS5-$BF5),ABS(AS5+$BF5))+IF(AQ5&lt;&gt;$BD5,$BO$7,0)))</f>
        <v>4</v>
      </c>
      <c r="AU5" s="255" t="s">
        <v>9</v>
      </c>
      <c r="AV5" s="102" t="s">
        <v>0</v>
      </c>
      <c r="AW5" s="103">
        <v>9</v>
      </c>
      <c r="AX5" s="98">
        <f t="shared" ref="AX5:AX10" si="10">IF(OR(AU$2="",AU5="",AW5=""),"",IF($BD5="","",IF(AU5=$BD5,ABS(AW5-$BF5),ABS(AW5+$BF5))+IF(AU5&lt;&gt;$BD5,$BO$7,0)))</f>
        <v>6</v>
      </c>
      <c r="AY5" s="255" t="s">
        <v>9</v>
      </c>
      <c r="AZ5" s="102" t="s">
        <v>0</v>
      </c>
      <c r="BA5" s="103">
        <v>4</v>
      </c>
      <c r="BB5" s="99">
        <f t="shared" ref="BB5:BB10" si="11">IF(OR(AY$2="",AY5="",BA5=""),"",IF($BD5="","",IF(AY5=$BD5,ABS(BA5-$BF5),ABS(BA5+$BF5))+IF(AY5&lt;&gt;$BD5,$BO$7,0)))</f>
        <v>1</v>
      </c>
      <c r="BC5" s="100"/>
      <c r="BD5" s="101" t="str">
        <f t="shared" ref="BD5:BD10" si="12">IF(OR(B5="",F5="",B5=F5),"",IF(B5&gt;F5,"V","H"))</f>
        <v>H</v>
      </c>
      <c r="BE5" s="101" t="s">
        <v>0</v>
      </c>
      <c r="BF5" s="101">
        <f t="shared" ref="BF5:BF10" si="13">IF(OR(B5="",F5="",B5=F5),"",ABS(B5-F5))</f>
        <v>3</v>
      </c>
      <c r="BG5" s="101"/>
      <c r="BH5" s="187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93</v>
      </c>
      <c r="BI5" s="204" t="str">
        <f t="shared" ref="BI5:BI10" si="15">IF(COUNTA(G5,K5,O5,S5,W5,AA5,AE5,AI5,AM5,AQ5,AU5,AY5)&gt;0,IF(BH5&lt;0,"V","H"),"")</f>
        <v>H</v>
      </c>
      <c r="BJ5" s="102" t="s">
        <v>0</v>
      </c>
      <c r="BK5" s="103">
        <f t="shared" ref="BK5:BK10" si="16">IF(BI5="","",IF(ABS(BH5)&lt;(COUNTA(G5,K5,O5,S5,W5,AA5,AE5,AI5,AM5,AQ5,AU5,AY5)/2),1,ROUND(ABS(BH5)/COUNTA(G5,K5,O5,S5,W5,AA5,AE5,AI5,AM5,AQ5,AU5,AY5),0)))</f>
        <v>8</v>
      </c>
      <c r="BL5" s="99">
        <f t="shared" ref="BL5:BL10" si="17">IF(OR(BI5="",BK5=""),"",IF($BD5="","",IF(BI5=$BD5,ABS(BK5-$BF5),ABS(BK5+$BF5))+IF(BI5&lt;&gt;$BD5,$BO$7,0)))</f>
        <v>5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01" t="s">
        <v>194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9">
        <v>30</v>
      </c>
      <c r="C6" s="102" t="s">
        <v>213</v>
      </c>
      <c r="D6" s="102" t="s">
        <v>3</v>
      </c>
      <c r="E6" s="253" t="s">
        <v>214</v>
      </c>
      <c r="F6" s="262">
        <v>20</v>
      </c>
      <c r="G6" s="102" t="s">
        <v>8</v>
      </c>
      <c r="H6" s="102" t="s">
        <v>0</v>
      </c>
      <c r="I6" s="106">
        <v>2</v>
      </c>
      <c r="J6" s="98">
        <f t="shared" si="0"/>
        <v>8</v>
      </c>
      <c r="K6" s="255" t="s">
        <v>9</v>
      </c>
      <c r="L6" s="102" t="s">
        <v>0</v>
      </c>
      <c r="M6" s="106">
        <v>4</v>
      </c>
      <c r="N6" s="98">
        <f t="shared" si="1"/>
        <v>21</v>
      </c>
      <c r="O6" s="255" t="s">
        <v>9</v>
      </c>
      <c r="P6" s="102" t="s">
        <v>0</v>
      </c>
      <c r="Q6" s="106">
        <v>3</v>
      </c>
      <c r="R6" s="98">
        <f t="shared" si="2"/>
        <v>20</v>
      </c>
      <c r="S6" s="255" t="s">
        <v>9</v>
      </c>
      <c r="T6" s="102" t="s">
        <v>0</v>
      </c>
      <c r="U6" s="106">
        <v>1</v>
      </c>
      <c r="V6" s="98">
        <f t="shared" si="3"/>
        <v>18</v>
      </c>
      <c r="W6" s="255" t="s">
        <v>9</v>
      </c>
      <c r="X6" s="102" t="s">
        <v>0</v>
      </c>
      <c r="Y6" s="106">
        <v>7</v>
      </c>
      <c r="Z6" s="98">
        <f t="shared" si="4"/>
        <v>24</v>
      </c>
      <c r="AA6" s="255" t="s">
        <v>8</v>
      </c>
      <c r="AB6" s="102" t="s">
        <v>0</v>
      </c>
      <c r="AC6" s="106">
        <v>3</v>
      </c>
      <c r="AD6" s="98">
        <f t="shared" si="5"/>
        <v>7</v>
      </c>
      <c r="AE6" s="255" t="s">
        <v>9</v>
      </c>
      <c r="AF6" s="102" t="s">
        <v>0</v>
      </c>
      <c r="AG6" s="106">
        <v>4</v>
      </c>
      <c r="AH6" s="98">
        <f t="shared" si="6"/>
        <v>21</v>
      </c>
      <c r="AI6" s="255" t="s">
        <v>9</v>
      </c>
      <c r="AJ6" s="102" t="s">
        <v>0</v>
      </c>
      <c r="AK6" s="106">
        <v>1</v>
      </c>
      <c r="AL6" s="98">
        <f t="shared" si="7"/>
        <v>18</v>
      </c>
      <c r="AM6" s="255" t="s">
        <v>9</v>
      </c>
      <c r="AN6" s="102" t="s">
        <v>0</v>
      </c>
      <c r="AO6" s="106">
        <v>3</v>
      </c>
      <c r="AP6" s="98">
        <f t="shared" si="8"/>
        <v>20</v>
      </c>
      <c r="AQ6" s="255" t="s">
        <v>9</v>
      </c>
      <c r="AR6" s="102" t="s">
        <v>0</v>
      </c>
      <c r="AS6" s="106">
        <v>10</v>
      </c>
      <c r="AT6" s="98">
        <f t="shared" si="9"/>
        <v>27</v>
      </c>
      <c r="AU6" s="255" t="s">
        <v>9</v>
      </c>
      <c r="AV6" s="102" t="s">
        <v>0</v>
      </c>
      <c r="AW6" s="106">
        <v>4</v>
      </c>
      <c r="AX6" s="98">
        <f t="shared" si="10"/>
        <v>21</v>
      </c>
      <c r="AY6" s="255" t="s">
        <v>9</v>
      </c>
      <c r="AZ6" s="102" t="s">
        <v>0</v>
      </c>
      <c r="BA6" s="106">
        <v>1</v>
      </c>
      <c r="BB6" s="105">
        <f t="shared" si="11"/>
        <v>18</v>
      </c>
      <c r="BC6" s="100"/>
      <c r="BD6" s="101" t="str">
        <f t="shared" si="12"/>
        <v>V</v>
      </c>
      <c r="BE6" s="101" t="s">
        <v>0</v>
      </c>
      <c r="BF6" s="101">
        <f t="shared" si="13"/>
        <v>10</v>
      </c>
      <c r="BG6" s="101"/>
      <c r="BH6" s="187">
        <f t="shared" si="14"/>
        <v>33</v>
      </c>
      <c r="BI6" s="204" t="str">
        <f t="shared" si="15"/>
        <v>H</v>
      </c>
      <c r="BJ6" s="102" t="s">
        <v>0</v>
      </c>
      <c r="BK6" s="106">
        <f t="shared" si="16"/>
        <v>3</v>
      </c>
      <c r="BL6" s="105">
        <f t="shared" si="17"/>
        <v>20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37"/>
      <c r="DM6" s="18"/>
      <c r="DN6" s="18" t="s">
        <v>26</v>
      </c>
    </row>
    <row r="7" spans="1:124" s="6" customFormat="1" ht="15" customHeight="1" x14ac:dyDescent="0.2">
      <c r="A7" s="19"/>
      <c r="B7" s="259">
        <v>31</v>
      </c>
      <c r="C7" s="102" t="s">
        <v>215</v>
      </c>
      <c r="D7" s="102" t="s">
        <v>3</v>
      </c>
      <c r="E7" s="253" t="s">
        <v>216</v>
      </c>
      <c r="F7" s="262">
        <v>23</v>
      </c>
      <c r="G7" s="102" t="s">
        <v>8</v>
      </c>
      <c r="H7" s="102" t="s">
        <v>0</v>
      </c>
      <c r="I7" s="106">
        <v>7</v>
      </c>
      <c r="J7" s="98">
        <f t="shared" si="0"/>
        <v>1</v>
      </c>
      <c r="K7" s="255" t="s">
        <v>8</v>
      </c>
      <c r="L7" s="102" t="s">
        <v>0</v>
      </c>
      <c r="M7" s="106">
        <v>7</v>
      </c>
      <c r="N7" s="98">
        <f t="shared" si="1"/>
        <v>1</v>
      </c>
      <c r="O7" s="255" t="s">
        <v>8</v>
      </c>
      <c r="P7" s="102" t="s">
        <v>0</v>
      </c>
      <c r="Q7" s="106">
        <v>8</v>
      </c>
      <c r="R7" s="98">
        <f t="shared" si="2"/>
        <v>0</v>
      </c>
      <c r="S7" s="255" t="s">
        <v>8</v>
      </c>
      <c r="T7" s="102" t="s">
        <v>0</v>
      </c>
      <c r="U7" s="106">
        <v>14</v>
      </c>
      <c r="V7" s="98">
        <f t="shared" si="3"/>
        <v>6</v>
      </c>
      <c r="W7" s="255" t="s">
        <v>8</v>
      </c>
      <c r="X7" s="102" t="s">
        <v>0</v>
      </c>
      <c r="Y7" s="106">
        <v>13</v>
      </c>
      <c r="Z7" s="98">
        <f t="shared" si="4"/>
        <v>5</v>
      </c>
      <c r="AA7" s="255" t="s">
        <v>8</v>
      </c>
      <c r="AB7" s="102" t="s">
        <v>0</v>
      </c>
      <c r="AC7" s="106">
        <v>14</v>
      </c>
      <c r="AD7" s="98">
        <f t="shared" si="5"/>
        <v>6</v>
      </c>
      <c r="AE7" s="255" t="s">
        <v>8</v>
      </c>
      <c r="AF7" s="102" t="s">
        <v>0</v>
      </c>
      <c r="AG7" s="106">
        <v>8</v>
      </c>
      <c r="AH7" s="98">
        <f t="shared" si="6"/>
        <v>0</v>
      </c>
      <c r="AI7" s="255" t="s">
        <v>8</v>
      </c>
      <c r="AJ7" s="102" t="s">
        <v>0</v>
      </c>
      <c r="AK7" s="106">
        <v>11</v>
      </c>
      <c r="AL7" s="98">
        <f t="shared" si="7"/>
        <v>3</v>
      </c>
      <c r="AM7" s="255" t="s">
        <v>8</v>
      </c>
      <c r="AN7" s="102" t="s">
        <v>0</v>
      </c>
      <c r="AO7" s="106">
        <v>8</v>
      </c>
      <c r="AP7" s="98">
        <f t="shared" si="8"/>
        <v>0</v>
      </c>
      <c r="AQ7" s="255" t="s">
        <v>8</v>
      </c>
      <c r="AR7" s="102" t="s">
        <v>0</v>
      </c>
      <c r="AS7" s="106">
        <v>17</v>
      </c>
      <c r="AT7" s="98">
        <f t="shared" si="9"/>
        <v>9</v>
      </c>
      <c r="AU7" s="255" t="s">
        <v>8</v>
      </c>
      <c r="AV7" s="102" t="s">
        <v>0</v>
      </c>
      <c r="AW7" s="106">
        <v>14</v>
      </c>
      <c r="AX7" s="98">
        <f t="shared" si="10"/>
        <v>6</v>
      </c>
      <c r="AY7" s="255" t="s">
        <v>8</v>
      </c>
      <c r="AZ7" s="102" t="s">
        <v>0</v>
      </c>
      <c r="BA7" s="106">
        <v>10</v>
      </c>
      <c r="BB7" s="105">
        <f t="shared" si="11"/>
        <v>2</v>
      </c>
      <c r="BC7" s="100"/>
      <c r="BD7" s="101" t="str">
        <f t="shared" si="12"/>
        <v>V</v>
      </c>
      <c r="BE7" s="101" t="s">
        <v>0</v>
      </c>
      <c r="BF7" s="101">
        <f t="shared" si="13"/>
        <v>8</v>
      </c>
      <c r="BG7" s="101"/>
      <c r="BH7" s="187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-131</v>
      </c>
      <c r="BI7" s="204" t="str">
        <f t="shared" si="15"/>
        <v>V</v>
      </c>
      <c r="BJ7" s="102" t="s">
        <v>0</v>
      </c>
      <c r="BK7" s="106">
        <f t="shared" si="16"/>
        <v>11</v>
      </c>
      <c r="BL7" s="105">
        <f t="shared" si="17"/>
        <v>3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37" t="s">
        <v>27</v>
      </c>
      <c r="DM7" s="23"/>
      <c r="DN7" s="23"/>
    </row>
    <row r="8" spans="1:124" s="6" customFormat="1" ht="15" customHeight="1" x14ac:dyDescent="0.2">
      <c r="A8" s="19"/>
      <c r="B8" s="259">
        <v>20</v>
      </c>
      <c r="C8" s="102" t="s">
        <v>217</v>
      </c>
      <c r="D8" s="102" t="s">
        <v>3</v>
      </c>
      <c r="E8" s="253" t="s">
        <v>218</v>
      </c>
      <c r="F8" s="262">
        <v>13</v>
      </c>
      <c r="G8" s="102" t="s">
        <v>8</v>
      </c>
      <c r="H8" s="102" t="s">
        <v>0</v>
      </c>
      <c r="I8" s="106">
        <v>6</v>
      </c>
      <c r="J8" s="98">
        <f t="shared" si="0"/>
        <v>1</v>
      </c>
      <c r="K8" s="255" t="s">
        <v>9</v>
      </c>
      <c r="L8" s="102" t="s">
        <v>0</v>
      </c>
      <c r="M8" s="106">
        <v>7</v>
      </c>
      <c r="N8" s="98">
        <f t="shared" si="1"/>
        <v>21</v>
      </c>
      <c r="O8" s="255" t="s">
        <v>9</v>
      </c>
      <c r="P8" s="102" t="s">
        <v>0</v>
      </c>
      <c r="Q8" s="106">
        <v>3</v>
      </c>
      <c r="R8" s="98">
        <f t="shared" si="2"/>
        <v>17</v>
      </c>
      <c r="S8" s="255" t="s">
        <v>8</v>
      </c>
      <c r="T8" s="102" t="s">
        <v>0</v>
      </c>
      <c r="U8" s="106">
        <v>1</v>
      </c>
      <c r="V8" s="98">
        <f t="shared" si="3"/>
        <v>6</v>
      </c>
      <c r="W8" s="255" t="s">
        <v>8</v>
      </c>
      <c r="X8" s="102" t="s">
        <v>0</v>
      </c>
      <c r="Y8" s="106">
        <v>3</v>
      </c>
      <c r="Z8" s="98">
        <f t="shared" si="4"/>
        <v>4</v>
      </c>
      <c r="AA8" s="255" t="s">
        <v>9</v>
      </c>
      <c r="AB8" s="102" t="s">
        <v>0</v>
      </c>
      <c r="AC8" s="106">
        <v>3</v>
      </c>
      <c r="AD8" s="98">
        <f t="shared" si="5"/>
        <v>17</v>
      </c>
      <c r="AE8" s="255" t="s">
        <v>8</v>
      </c>
      <c r="AF8" s="102" t="s">
        <v>0</v>
      </c>
      <c r="AG8" s="106">
        <v>3</v>
      </c>
      <c r="AH8" s="98">
        <f t="shared" si="6"/>
        <v>4</v>
      </c>
      <c r="AI8" s="255" t="s">
        <v>9</v>
      </c>
      <c r="AJ8" s="102" t="s">
        <v>0</v>
      </c>
      <c r="AK8" s="106">
        <v>1</v>
      </c>
      <c r="AL8" s="98">
        <f t="shared" si="7"/>
        <v>15</v>
      </c>
      <c r="AM8" s="255" t="s">
        <v>8</v>
      </c>
      <c r="AN8" s="102" t="s">
        <v>0</v>
      </c>
      <c r="AO8" s="106">
        <v>3</v>
      </c>
      <c r="AP8" s="98">
        <f t="shared" si="8"/>
        <v>4</v>
      </c>
      <c r="AQ8" s="255" t="s">
        <v>8</v>
      </c>
      <c r="AR8" s="102" t="s">
        <v>0</v>
      </c>
      <c r="AS8" s="106">
        <v>10</v>
      </c>
      <c r="AT8" s="98">
        <f t="shared" si="9"/>
        <v>3</v>
      </c>
      <c r="AU8" s="255" t="s">
        <v>9</v>
      </c>
      <c r="AV8" s="102" t="s">
        <v>0</v>
      </c>
      <c r="AW8" s="106">
        <v>3</v>
      </c>
      <c r="AX8" s="98">
        <f t="shared" si="10"/>
        <v>17</v>
      </c>
      <c r="AY8" s="255" t="s">
        <v>8</v>
      </c>
      <c r="AZ8" s="102" t="s">
        <v>0</v>
      </c>
      <c r="BA8" s="106">
        <v>1</v>
      </c>
      <c r="BB8" s="105">
        <f t="shared" si="11"/>
        <v>6</v>
      </c>
      <c r="BC8" s="100"/>
      <c r="BD8" s="101" t="str">
        <f t="shared" si="12"/>
        <v>V</v>
      </c>
      <c r="BE8" s="101" t="s">
        <v>0</v>
      </c>
      <c r="BF8" s="101">
        <f t="shared" si="13"/>
        <v>7</v>
      </c>
      <c r="BG8" s="101"/>
      <c r="BH8" s="187">
        <f t="shared" si="18"/>
        <v>-10</v>
      </c>
      <c r="BI8" s="204" t="str">
        <f t="shared" si="15"/>
        <v>V</v>
      </c>
      <c r="BJ8" s="102" t="s">
        <v>0</v>
      </c>
      <c r="BK8" s="106">
        <f t="shared" si="16"/>
        <v>1</v>
      </c>
      <c r="BL8" s="105">
        <f t="shared" si="17"/>
        <v>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37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["Rams","Ravens","Browns","Buccaneers"];</v>
      </c>
    </row>
    <row r="9" spans="1:124" s="6" customFormat="1" ht="15" customHeight="1" x14ac:dyDescent="0.2">
      <c r="A9" s="19"/>
      <c r="B9" s="259">
        <v>9</v>
      </c>
      <c r="C9" s="102" t="s">
        <v>219</v>
      </c>
      <c r="D9" s="102" t="s">
        <v>3</v>
      </c>
      <c r="E9" s="253" t="s">
        <v>220</v>
      </c>
      <c r="F9" s="262">
        <v>21</v>
      </c>
      <c r="G9" s="102" t="s">
        <v>9</v>
      </c>
      <c r="H9" s="102" t="s">
        <v>0</v>
      </c>
      <c r="I9" s="106">
        <v>10</v>
      </c>
      <c r="J9" s="98">
        <f t="shared" si="0"/>
        <v>2</v>
      </c>
      <c r="K9" s="255" t="s">
        <v>9</v>
      </c>
      <c r="L9" s="102" t="s">
        <v>0</v>
      </c>
      <c r="M9" s="106">
        <v>17</v>
      </c>
      <c r="N9" s="98">
        <f t="shared" si="1"/>
        <v>5</v>
      </c>
      <c r="O9" s="255" t="s">
        <v>9</v>
      </c>
      <c r="P9" s="102" t="s">
        <v>0</v>
      </c>
      <c r="Q9" s="106">
        <v>10</v>
      </c>
      <c r="R9" s="98">
        <f t="shared" si="2"/>
        <v>2</v>
      </c>
      <c r="S9" s="255" t="s">
        <v>9</v>
      </c>
      <c r="T9" s="102" t="s">
        <v>0</v>
      </c>
      <c r="U9" s="106">
        <v>17</v>
      </c>
      <c r="V9" s="98">
        <f t="shared" si="3"/>
        <v>5</v>
      </c>
      <c r="W9" s="255" t="s">
        <v>9</v>
      </c>
      <c r="X9" s="102" t="s">
        <v>0</v>
      </c>
      <c r="Y9" s="106">
        <v>14</v>
      </c>
      <c r="Z9" s="98">
        <f t="shared" si="4"/>
        <v>2</v>
      </c>
      <c r="AA9" s="255" t="s">
        <v>9</v>
      </c>
      <c r="AB9" s="102" t="s">
        <v>0</v>
      </c>
      <c r="AC9" s="106">
        <v>17</v>
      </c>
      <c r="AD9" s="98">
        <f t="shared" si="5"/>
        <v>5</v>
      </c>
      <c r="AE9" s="255" t="s">
        <v>9</v>
      </c>
      <c r="AF9" s="102" t="s">
        <v>0</v>
      </c>
      <c r="AG9" s="106">
        <v>8</v>
      </c>
      <c r="AH9" s="98">
        <f t="shared" si="6"/>
        <v>4</v>
      </c>
      <c r="AI9" s="255" t="s">
        <v>9</v>
      </c>
      <c r="AJ9" s="102" t="s">
        <v>0</v>
      </c>
      <c r="AK9" s="106">
        <v>11</v>
      </c>
      <c r="AL9" s="98">
        <f t="shared" si="7"/>
        <v>1</v>
      </c>
      <c r="AM9" s="255" t="s">
        <v>9</v>
      </c>
      <c r="AN9" s="102" t="s">
        <v>0</v>
      </c>
      <c r="AO9" s="106">
        <v>10</v>
      </c>
      <c r="AP9" s="98">
        <f t="shared" si="8"/>
        <v>2</v>
      </c>
      <c r="AQ9" s="255" t="s">
        <v>9</v>
      </c>
      <c r="AR9" s="102" t="s">
        <v>0</v>
      </c>
      <c r="AS9" s="106">
        <v>17</v>
      </c>
      <c r="AT9" s="98">
        <f t="shared" si="9"/>
        <v>5</v>
      </c>
      <c r="AU9" s="255" t="s">
        <v>9</v>
      </c>
      <c r="AV9" s="102" t="s">
        <v>0</v>
      </c>
      <c r="AW9" s="106">
        <v>7</v>
      </c>
      <c r="AX9" s="98">
        <f t="shared" si="10"/>
        <v>5</v>
      </c>
      <c r="AY9" s="255" t="s">
        <v>9</v>
      </c>
      <c r="AZ9" s="102" t="s">
        <v>0</v>
      </c>
      <c r="BA9" s="106">
        <v>7</v>
      </c>
      <c r="BB9" s="105">
        <f t="shared" si="11"/>
        <v>5</v>
      </c>
      <c r="BC9" s="100"/>
      <c r="BD9" s="101" t="str">
        <f t="shared" si="12"/>
        <v>H</v>
      </c>
      <c r="BE9" s="101" t="s">
        <v>0</v>
      </c>
      <c r="BF9" s="101">
        <f t="shared" si="13"/>
        <v>12</v>
      </c>
      <c r="BG9" s="101"/>
      <c r="BH9" s="187">
        <f t="shared" si="18"/>
        <v>145</v>
      </c>
      <c r="BI9" s="204" t="str">
        <f t="shared" si="15"/>
        <v>H</v>
      </c>
      <c r="BJ9" s="102" t="s">
        <v>0</v>
      </c>
      <c r="BK9" s="106">
        <f t="shared" si="16"/>
        <v>12</v>
      </c>
      <c r="BL9" s="105">
        <f t="shared" si="17"/>
        <v>0</v>
      </c>
      <c r="BM9" s="24"/>
      <c r="BO9" s="16">
        <f>LOOKUP(COUNTIF((G65:R65),0),{0,1,2,3,4,5,6,7,8,9,10,11,12},{120,110,100,90,80,70,40,50,40,30,20,10})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37" t="str">
        <f>CONCATENATE($DM$5,$G$6,$DN$5)</f>
        <v xml:space="preserve">   "V",</v>
      </c>
      <c r="DM9" s="23"/>
      <c r="DN9" s="23"/>
      <c r="DO9" s="6" t="str">
        <f ca="1">CONCATENATE("var post_season_home_teams     = [",OFFSET($DT$13,$BO$43,0),"];")</f>
        <v>var post_season_home_teams     = ["Packers","Bills","Chiefs","Saints"];</v>
      </c>
    </row>
    <row r="10" spans="1:124" s="6" customFormat="1" ht="15" customHeight="1" x14ac:dyDescent="0.2">
      <c r="A10" s="19"/>
      <c r="B10" s="260">
        <v>48</v>
      </c>
      <c r="C10" s="109" t="s">
        <v>221</v>
      </c>
      <c r="D10" s="109" t="s">
        <v>3</v>
      </c>
      <c r="E10" s="254" t="s">
        <v>222</v>
      </c>
      <c r="F10" s="263">
        <v>37</v>
      </c>
      <c r="G10" s="109" t="s">
        <v>9</v>
      </c>
      <c r="H10" s="109" t="s">
        <v>0</v>
      </c>
      <c r="I10" s="116">
        <v>6</v>
      </c>
      <c r="J10" s="114">
        <f t="shared" si="0"/>
        <v>24</v>
      </c>
      <c r="K10" s="256" t="s">
        <v>8</v>
      </c>
      <c r="L10" s="109" t="s">
        <v>0</v>
      </c>
      <c r="M10" s="116">
        <v>8</v>
      </c>
      <c r="N10" s="114">
        <f t="shared" si="1"/>
        <v>3</v>
      </c>
      <c r="O10" s="256" t="s">
        <v>9</v>
      </c>
      <c r="P10" s="109" t="s">
        <v>0</v>
      </c>
      <c r="Q10" s="116">
        <v>6</v>
      </c>
      <c r="R10" s="114">
        <f t="shared" si="2"/>
        <v>24</v>
      </c>
      <c r="S10" s="256" t="s">
        <v>9</v>
      </c>
      <c r="T10" s="109" t="s">
        <v>0</v>
      </c>
      <c r="U10" s="116">
        <v>1</v>
      </c>
      <c r="V10" s="114">
        <f t="shared" si="3"/>
        <v>19</v>
      </c>
      <c r="W10" s="256" t="s">
        <v>9</v>
      </c>
      <c r="X10" s="109" t="s">
        <v>0</v>
      </c>
      <c r="Y10" s="116">
        <v>7</v>
      </c>
      <c r="Z10" s="114">
        <f t="shared" si="4"/>
        <v>25</v>
      </c>
      <c r="AA10" s="256" t="s">
        <v>9</v>
      </c>
      <c r="AB10" s="109" t="s">
        <v>0</v>
      </c>
      <c r="AC10" s="116">
        <v>7</v>
      </c>
      <c r="AD10" s="114">
        <f t="shared" si="5"/>
        <v>25</v>
      </c>
      <c r="AE10" s="256" t="s">
        <v>9</v>
      </c>
      <c r="AF10" s="109" t="s">
        <v>0</v>
      </c>
      <c r="AG10" s="116">
        <v>5</v>
      </c>
      <c r="AH10" s="114">
        <f t="shared" si="6"/>
        <v>23</v>
      </c>
      <c r="AI10" s="256" t="s">
        <v>8</v>
      </c>
      <c r="AJ10" s="109" t="s">
        <v>0</v>
      </c>
      <c r="AK10" s="116">
        <v>1</v>
      </c>
      <c r="AL10" s="114">
        <f t="shared" si="7"/>
        <v>10</v>
      </c>
      <c r="AM10" s="256" t="s">
        <v>9</v>
      </c>
      <c r="AN10" s="109" t="s">
        <v>0</v>
      </c>
      <c r="AO10" s="116">
        <v>6</v>
      </c>
      <c r="AP10" s="114">
        <f t="shared" si="8"/>
        <v>24</v>
      </c>
      <c r="AQ10" s="256" t="s">
        <v>9</v>
      </c>
      <c r="AR10" s="109" t="s">
        <v>0</v>
      </c>
      <c r="AS10" s="116">
        <v>14</v>
      </c>
      <c r="AT10" s="114">
        <f t="shared" si="9"/>
        <v>32</v>
      </c>
      <c r="AU10" s="256" t="s">
        <v>8</v>
      </c>
      <c r="AV10" s="109" t="s">
        <v>0</v>
      </c>
      <c r="AW10" s="116">
        <v>3</v>
      </c>
      <c r="AX10" s="114">
        <f t="shared" si="10"/>
        <v>8</v>
      </c>
      <c r="AY10" s="256" t="s">
        <v>9</v>
      </c>
      <c r="AZ10" s="109" t="s">
        <v>0</v>
      </c>
      <c r="BA10" s="116">
        <v>7</v>
      </c>
      <c r="BB10" s="115">
        <f t="shared" si="11"/>
        <v>25</v>
      </c>
      <c r="BC10" s="100"/>
      <c r="BD10" s="101" t="str">
        <f t="shared" si="12"/>
        <v>V</v>
      </c>
      <c r="BE10" s="101" t="s">
        <v>0</v>
      </c>
      <c r="BF10" s="101">
        <f t="shared" si="13"/>
        <v>11</v>
      </c>
      <c r="BG10" s="101"/>
      <c r="BH10" s="187">
        <f t="shared" si="18"/>
        <v>47</v>
      </c>
      <c r="BI10" s="205" t="str">
        <f t="shared" si="15"/>
        <v>H</v>
      </c>
      <c r="BJ10" s="109" t="s">
        <v>0</v>
      </c>
      <c r="BK10" s="116">
        <f t="shared" si="16"/>
        <v>4</v>
      </c>
      <c r="BL10" s="115">
        <f t="shared" si="17"/>
        <v>22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37" t="str">
        <f>CONCATENATE($DM$5,$G$7,$DN$5)</f>
        <v xml:space="preserve">   "V",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2" customHeight="1" x14ac:dyDescent="0.2">
      <c r="A11" s="19"/>
      <c r="B11" s="78"/>
      <c r="C11" s="79"/>
      <c r="D11" s="80"/>
      <c r="E11" s="81" t="s">
        <v>97</v>
      </c>
      <c r="F11" s="82">
        <f>IF(SUM(B10,F10)=0,"",SUM(B10,F10))</f>
        <v>85</v>
      </c>
      <c r="G11" s="79"/>
      <c r="H11" s="80" t="s">
        <v>61</v>
      </c>
      <c r="I11" s="86">
        <v>38</v>
      </c>
      <c r="J11" s="89" t="str">
        <f>IF(OR($F11="",I11="",J12=""),"",IF(AND(COUNTIF($J39:$BB39,J39)&gt;1,RANK(J39,$J39:$BB39,1)=1),$F11-I11,""))</f>
        <v/>
      </c>
      <c r="K11" s="257"/>
      <c r="L11" s="80" t="s">
        <v>61</v>
      </c>
      <c r="M11" s="86">
        <v>47</v>
      </c>
      <c r="N11" s="89" t="str">
        <f>IF(OR($F11="",M11="",N12=""),"",IF(AND(COUNTIF($J39:$BB39,N39)&gt;1,RANK(N39,$J39:$BB39,1)=1),$F11-M11,""))</f>
        <v/>
      </c>
      <c r="O11" s="257"/>
      <c r="P11" s="80" t="s">
        <v>61</v>
      </c>
      <c r="Q11" s="86">
        <v>47</v>
      </c>
      <c r="R11" s="89" t="str">
        <f>IF(OR($F11="",Q11="",R12=""),"",IF(AND(COUNTIF($J39:$BB39,R39)&gt;1,RANK(R39,$J39:$BB39,1)=1),$F11-Q11,""))</f>
        <v/>
      </c>
      <c r="S11" s="257"/>
      <c r="T11" s="80" t="s">
        <v>61</v>
      </c>
      <c r="U11" s="86">
        <v>42</v>
      </c>
      <c r="V11" s="89" t="str">
        <f>IF(OR($F11="",U11="",V12=""),"",IF(AND(COUNTIF($J39:$BB39,V39)&gt;1,RANK(V39,$J39:$BB39,1)=1),$F11-U11,""))</f>
        <v/>
      </c>
      <c r="W11" s="257"/>
      <c r="X11" s="80" t="s">
        <v>61</v>
      </c>
      <c r="Y11" s="86">
        <v>42</v>
      </c>
      <c r="Z11" s="89" t="str">
        <f>IF(OR($F11="",Y11="",Z12=""),"",IF(AND(COUNTIF($J39:$BB39,Z39)&gt;1,RANK(Z39,$J39:$BB39,1)=1),$F11-Y11,""))</f>
        <v/>
      </c>
      <c r="AA11" s="257"/>
      <c r="AB11" s="80" t="s">
        <v>61</v>
      </c>
      <c r="AC11" s="86">
        <v>38</v>
      </c>
      <c r="AD11" s="89" t="str">
        <f>IF(OR($F11="",AC11="",AD12=""),"",IF(AND(COUNTIF($J39:$BB39,AD39)&gt;1,RANK(AD39,$J39:$BB39,1)=1),$F11-AC11,""))</f>
        <v/>
      </c>
      <c r="AE11" s="257"/>
      <c r="AF11" s="80" t="s">
        <v>61</v>
      </c>
      <c r="AG11" s="86">
        <v>46</v>
      </c>
      <c r="AH11" s="89" t="str">
        <f>IF(OR($F11="",AG11="",AH12=""),"",IF(AND(COUNTIF($J39:$BB39,AH39)&gt;1,RANK(AH39,$J39:$BB39,1)=1),$F11-AG11,""))</f>
        <v/>
      </c>
      <c r="AI11" s="257"/>
      <c r="AJ11" s="80" t="s">
        <v>61</v>
      </c>
      <c r="AK11" s="86">
        <v>50</v>
      </c>
      <c r="AL11" s="89" t="str">
        <f>IF(OR($F11="",AK11="",AL12=""),"",IF(AND(COUNTIF($J39:$BB39,AL39)&gt;1,RANK(AL39,$J39:$BB39,1)=1),$F11-AK11,""))</f>
        <v/>
      </c>
      <c r="AM11" s="257"/>
      <c r="AN11" s="80" t="s">
        <v>61</v>
      </c>
      <c r="AO11" s="86">
        <v>48</v>
      </c>
      <c r="AP11" s="89" t="str">
        <f>IF(OR($F11="",AO11="",AP12=""),"",IF(AND(COUNTIF($J39:$BB39,AP39)&gt;1,RANK(AP39,$J39:$BB39,1)=1),$F11-AO11,""))</f>
        <v/>
      </c>
      <c r="AQ11" s="257"/>
      <c r="AR11" s="80" t="s">
        <v>61</v>
      </c>
      <c r="AS11" s="86">
        <v>47</v>
      </c>
      <c r="AT11" s="89" t="str">
        <f>IF(OR($F11="",AS11="",AT12=""),"",IF(AND(COUNTIF($J39:$BB39,AT39)&gt;1,RANK(AT39,$J39:$BB39,1)=1),$F11-AS11,""))</f>
        <v/>
      </c>
      <c r="AU11" s="257"/>
      <c r="AV11" s="80" t="s">
        <v>61</v>
      </c>
      <c r="AW11" s="86">
        <v>42</v>
      </c>
      <c r="AX11" s="89" t="str">
        <f>IF(OR($F11="",AW11="",AX12=""),"",IF(AND(COUNTIF($J39:$BB39,AX39)&gt;1,RANK(AX39,$J39:$BB39,1)=1),$F11-AW11,""))</f>
        <v/>
      </c>
      <c r="AY11" s="257"/>
      <c r="AZ11" s="80" t="s">
        <v>61</v>
      </c>
      <c r="BA11" s="86">
        <v>23</v>
      </c>
      <c r="BB11" s="90" t="str">
        <f>IF(OR($F11="",BA11="",BB12=""),"",IF(AND(COUNTIF($J39:$BB39,BB39)&gt;1,RANK(BB39,$J39:$BB39,1)=1),$F11-BA11,""))</f>
        <v/>
      </c>
      <c r="BC11" s="100"/>
      <c r="BD11" s="101"/>
      <c r="BE11" s="101"/>
      <c r="BF11" s="101"/>
      <c r="BG11" s="101"/>
      <c r="BH11" s="188"/>
      <c r="BI11" s="78"/>
      <c r="BJ11" s="80" t="s">
        <v>61</v>
      </c>
      <c r="BK11" s="86">
        <f>IF(SUM(I11,M11,Q11,U11,Y11,AC11,AG11,AK11,AO11,AS11,AW11,BA11)=0,"",ROUND(AVERAGE(I11,M11,Q11,U11,Y11,AC11,AG11,AK11,AO11,AS11,AW11,BA11),0))</f>
        <v>43</v>
      </c>
      <c r="BL11" s="90">
        <f>IF(OR($F11="",BK11=""),"",$F11-BK11)</f>
        <v>42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37" t="str">
        <f>CONCATENATE($DM$5,$G$8,$DN$5)</f>
        <v xml:space="preserve">   "V",</v>
      </c>
      <c r="DM11" s="23"/>
      <c r="DN11" s="23"/>
    </row>
    <row r="12" spans="1:124" s="6" customFormat="1" ht="18" customHeight="1" thickBot="1" x14ac:dyDescent="0.25">
      <c r="A12" s="19"/>
      <c r="B12" s="142"/>
      <c r="C12" s="141"/>
      <c r="D12" s="141"/>
      <c r="E12" s="143"/>
      <c r="F12" s="192" t="s">
        <v>75</v>
      </c>
      <c r="G12" s="148"/>
      <c r="H12" s="127" t="s">
        <v>2</v>
      </c>
      <c r="I12" s="128">
        <f>IF(J12="","",IF(OR(RANK(J39,$J39:$BB39,1)&gt;1,AND(RANK(J39,$J39:$BB39,1)=1,COUNTIF($J39:$BB39,J39)=1)),RANK(J39,$J39:$BB39,1),IF(MIN($J61:$BB61)=J61,1,COUNTIF($J61:$BB61,MIN($J61:$BB61))+1)))</f>
        <v>1</v>
      </c>
      <c r="J12" s="244">
        <f>IF(G$2="","",(IF(AND(COUNTBLANK(G5:G10)=0,COUNTBLANK(I5:I10)=0),(SUM(J5:J10))*$BO$12,"")))</f>
        <v>42</v>
      </c>
      <c r="K12" s="126"/>
      <c r="L12" s="127" t="s">
        <v>2</v>
      </c>
      <c r="M12" s="128">
        <f>IF(N12="","",IF(OR(RANK(N39,$J39:$BB39,1)&gt;1,AND(RANK(N39,$J39:$BB39,1)=1,COUNTIF($J39:$BB39,N39)=1)),RANK(N39,$J39:$BB39,1),IF(MIN($J61:$BB61)=N61,1,COUNTIF($J61:$BB61,MIN($J61:$BB61))+1)))</f>
        <v>6</v>
      </c>
      <c r="N12" s="244">
        <f>IF(K$2="","",(IF(AND(COUNTBLANK(K5:K10)=0,COUNTBLANK(M5:M10)=0),(SUM(N5:N10))*$BO$12,"")))</f>
        <v>60</v>
      </c>
      <c r="O12" s="126"/>
      <c r="P12" s="127" t="s">
        <v>2</v>
      </c>
      <c r="Q12" s="128">
        <f>IF(R12="","",IF(OR(RANK(R39,$J39:$BB39,1)&gt;1,AND(RANK(R39,$J39:$BB39,1)=1,COUNTIF($J39:$BB39,R39)=1)),RANK(R39,$J39:$BB39,1),IF(MIN($J61:$BB61)=R61,1,COUNTIF($J61:$BB61,MIN($J61:$BB61))+1)))</f>
        <v>10</v>
      </c>
      <c r="R12" s="244">
        <f>IF(O$2="","",(IF(AND(COUNTBLANK(O5:O10)=0,COUNTBLANK(Q5:Q10)=0),(SUM(R5:R10))*$BO$12,"")))</f>
        <v>66</v>
      </c>
      <c r="S12" s="126"/>
      <c r="T12" s="127" t="s">
        <v>2</v>
      </c>
      <c r="U12" s="128">
        <f>IF(V12="","",IF(OR(RANK(V39,$J39:$BB39,1)&gt;1,AND(RANK(V39,$J39:$BB39,1)=1,COUNTIF($J39:$BB39,V39)=1)),RANK(V39,$J39:$BB39,1),IF(MIN($J61:$BB61)=V61,1,COUNTIF($J61:$BB61,MIN($J61:$BB61))+1)))</f>
        <v>7</v>
      </c>
      <c r="V12" s="244">
        <f>IF(S$2="","",(IF(AND(COUNTBLANK(S5:S10)=0,COUNTBLANK(U5:U10)=0),(SUM(V5:V10))*$BO$12,"")))</f>
        <v>61</v>
      </c>
      <c r="W12" s="126"/>
      <c r="X12" s="127" t="s">
        <v>2</v>
      </c>
      <c r="Y12" s="128">
        <f>IF(Z12="","",IF(OR(RANK(Z39,$J39:$BB39,1)&gt;1,AND(RANK(Z39,$J39:$BB39,1)=1,COUNTIF($J39:$BB39,Z39)=1)),RANK(Z39,$J39:$BB39,1),IF(MIN($J61:$BB61)=Z61,1,COUNTIF($J61:$BB61,MIN($J61:$BB61))+1)))</f>
        <v>9</v>
      </c>
      <c r="Z12" s="244">
        <f>IF(W$2="","",(IF(AND(COUNTBLANK(W5:W10)=0,COUNTBLANK(Y5:Y10)=0),(SUM(Z5:Z10))*$BO$12,"")))</f>
        <v>64</v>
      </c>
      <c r="AA12" s="126"/>
      <c r="AB12" s="127" t="s">
        <v>2</v>
      </c>
      <c r="AC12" s="128">
        <f>IF(AD12="","",IF(OR(RANK(AD39,$J39:$BB39,1)&gt;1,AND(RANK(AD39,$J39:$BB39,1)=1,COUNTIF($J39:$BB39,AD39)=1)),RANK(AD39,$J39:$BB39,1),IF(MIN($J61:$BB61)=AD61,1,COUNTIF($J61:$BB61,MIN($J61:$BB61))+1)))</f>
        <v>11</v>
      </c>
      <c r="AD12" s="244">
        <f>IF(AA$2="","",(IF(AND(COUNTBLANK(AA5:AA10)=0,COUNTBLANK(AC5:AC10)=0),(SUM(AD5:AD10))*$BO$12,"")))</f>
        <v>69</v>
      </c>
      <c r="AE12" s="126"/>
      <c r="AF12" s="127" t="s">
        <v>2</v>
      </c>
      <c r="AG12" s="128">
        <f>IF(AH12="","",IF(OR(RANK(AH39,$J39:$BB39,1)&gt;1,AND(RANK(AH39,$J39:$BB39,1)=1,COUNTIF($J39:$BB39,AH39)=1)),RANK(AH39,$J39:$BB39,1),IF(MIN($J61:$BB61)=AH61,1,COUNTIF($J61:$BB61,MIN($J61:$BB61))+1)))</f>
        <v>4</v>
      </c>
      <c r="AH12" s="244">
        <f>IF(AE$2="","",(IF(AND(COUNTBLANK(AE5:AE10)=0,COUNTBLANK(AG5:AG10)=0),(SUM(AH5:AH10))*$BO$12,"")))</f>
        <v>56</v>
      </c>
      <c r="AI12" s="126"/>
      <c r="AJ12" s="127" t="s">
        <v>2</v>
      </c>
      <c r="AK12" s="128">
        <f>IF(AL12="","",IF(OR(RANK(AL39,$J39:$BB39,1)&gt;1,AND(RANK(AL39,$J39:$BB39,1)=1,COUNTIF($J39:$BB39,AL39)=1)),RANK(AL39,$J39:$BB39,1),IF(MIN($J61:$BB61)=AL61,1,COUNTIF($J61:$BB61,MIN($J61:$BB61))+1)))</f>
        <v>2</v>
      </c>
      <c r="AL12" s="244">
        <f>IF(AI$2="","",(IF(AND(COUNTBLANK(AI5:AI10)=0,COUNTBLANK(AK5:AK10)=0),(SUM(AL5:AL10))*$BO$12,"")))</f>
        <v>47</v>
      </c>
      <c r="AM12" s="126"/>
      <c r="AN12" s="127" t="s">
        <v>2</v>
      </c>
      <c r="AO12" s="128">
        <f>IF(AP12="","",IF(OR(RANK(AP39,$J39:$BB39,1)&gt;1,AND(RANK(AP39,$J39:$BB39,1)=1,COUNTIF($J39:$BB39,AP39)=1)),RANK(AP39,$J39:$BB39,1),IF(MIN($J61:$BB61)=AP61,1,COUNTIF($J61:$BB61,MIN($J61:$BB61))+1)))</f>
        <v>3</v>
      </c>
      <c r="AP12" s="244">
        <f>IF(AM$2="","",(IF(AND(COUNTBLANK(AM5:AM10)=0,COUNTBLANK(AO5:AO10)=0),(SUM(AP5:AP10))*$BO$12,"")))</f>
        <v>54</v>
      </c>
      <c r="AQ12" s="126"/>
      <c r="AR12" s="127" t="s">
        <v>2</v>
      </c>
      <c r="AS12" s="128">
        <f>IF(AT12="","",IF(OR(RANK(AT39,$J39:$BB39,1)&gt;1,AND(RANK(AT39,$J39:$BB39,1)=1,COUNTIF($J39:$BB39,AT39)=1)),RANK(AT39,$J39:$BB39,1),IF(MIN($J61:$BB61)=AT61,1,COUNTIF($J61:$BB61,MIN($J61:$BB61))+1)))</f>
        <v>12</v>
      </c>
      <c r="AT12" s="244">
        <f>IF(AQ$2="","",(IF(AND(COUNTBLANK(AQ5:AQ10)=0,COUNTBLANK(AS5:AS10)=0),(SUM(AT5:AT10))*$BO$12,"")))</f>
        <v>80</v>
      </c>
      <c r="AU12" s="126"/>
      <c r="AV12" s="127" t="s">
        <v>2</v>
      </c>
      <c r="AW12" s="128">
        <f>IF(AX12="","",IF(OR(RANK(AX39,$J39:$BB39,1)&gt;1,AND(RANK(AX39,$J39:$BB39,1)=1,COUNTIF($J39:$BB39,AX39)=1)),RANK(AX39,$J39:$BB39,1),IF(MIN($J61:$BB61)=AX61,1,COUNTIF($J61:$BB61,MIN($J61:$BB61))+1)))</f>
        <v>8</v>
      </c>
      <c r="AX12" s="244">
        <f>IF(AU$2="","",(IF(AND(COUNTBLANK(AU5:AU10)=0,COUNTBLANK(AW5:AW10)=0),(SUM(AX5:AX10))*$BO$12,"")))</f>
        <v>63</v>
      </c>
      <c r="AY12" s="126"/>
      <c r="AZ12" s="127" t="s">
        <v>2</v>
      </c>
      <c r="BA12" s="128">
        <f>IF(BB12="","",IF(OR(RANK(BB39,$J39:$BB39,1)&gt;1,AND(RANK(BB39,$J39:$BB39,1)=1,COUNTIF($J39:$BB39,BB39)=1)),RANK(BB39,$J39:$BB39,1),IF(MIN($J61:$BB61)=BB61,1,COUNTIF($J61:$BB61,MIN($J61:$BB61))+1)))</f>
        <v>5</v>
      </c>
      <c r="BB12" s="245">
        <f>IF(AY$2="","",(IF(AND(COUNTBLANK(AY5:AY10)=0,COUNTBLANK(BA5:BA10)=0),(SUM(BB5:BB10))*$BO$12,"")))</f>
        <v>57</v>
      </c>
      <c r="BC12" s="100"/>
      <c r="BD12" s="100"/>
      <c r="BE12" s="100"/>
      <c r="BF12" s="100"/>
      <c r="BG12" s="100"/>
      <c r="BH12" s="188"/>
      <c r="BI12" s="206"/>
      <c r="BJ12" s="127" t="s">
        <v>2</v>
      </c>
      <c r="BK12" s="128">
        <f>IF(BL12="","",RANK(BL39,$J39:$BL39,1))</f>
        <v>4</v>
      </c>
      <c r="BL12" s="245">
        <f>IF(AND(COUNTBLANK(BI5:BI10)=0,COUNTBLANK(BK5:BK10)=0),(SUM(BL5:BL10))*$BO$12,"")</f>
        <v>56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37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53"/>
      <c r="C13" s="87"/>
      <c r="D13" s="87"/>
      <c r="E13" s="144"/>
      <c r="F13" s="154"/>
      <c r="G13" s="149"/>
      <c r="H13" s="132"/>
      <c r="I13" s="149"/>
      <c r="J13" s="155"/>
      <c r="K13" s="149"/>
      <c r="L13" s="132"/>
      <c r="M13" s="149"/>
      <c r="N13" s="155"/>
      <c r="O13" s="149"/>
      <c r="P13" s="132"/>
      <c r="Q13" s="149"/>
      <c r="R13" s="155"/>
      <c r="S13" s="149"/>
      <c r="T13" s="132"/>
      <c r="U13" s="149"/>
      <c r="V13" s="155"/>
      <c r="W13" s="149"/>
      <c r="X13" s="132"/>
      <c r="Y13" s="149"/>
      <c r="Z13" s="155"/>
      <c r="AA13" s="149"/>
      <c r="AB13" s="132"/>
      <c r="AC13" s="149"/>
      <c r="AD13" s="155"/>
      <c r="AE13" s="149"/>
      <c r="AF13" s="132"/>
      <c r="AG13" s="149"/>
      <c r="AH13" s="155"/>
      <c r="AI13" s="149"/>
      <c r="AJ13" s="132"/>
      <c r="AK13" s="149"/>
      <c r="AL13" s="155"/>
      <c r="AM13" s="149"/>
      <c r="AN13" s="132"/>
      <c r="AO13" s="149"/>
      <c r="AP13" s="155"/>
      <c r="AQ13" s="149"/>
      <c r="AR13" s="132"/>
      <c r="AS13" s="149"/>
      <c r="AT13" s="155"/>
      <c r="AU13" s="149"/>
      <c r="AV13" s="132"/>
      <c r="AW13" s="149"/>
      <c r="AX13" s="155"/>
      <c r="AY13" s="149"/>
      <c r="AZ13" s="132"/>
      <c r="BA13" s="149"/>
      <c r="BB13" s="133"/>
      <c r="BC13" s="100"/>
      <c r="BD13" s="100"/>
      <c r="BE13" s="100"/>
      <c r="BF13" s="100"/>
      <c r="BG13" s="100"/>
      <c r="BH13" s="189"/>
      <c r="BI13" s="202"/>
      <c r="BJ13" s="132"/>
      <c r="BK13" s="149"/>
      <c r="BL13" s="133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37" t="str">
        <f>CONCATENATE($DM$5,$G$10,$DN$5)</f>
        <v xml:space="preserve">   "H",</v>
      </c>
      <c r="DM13" s="23"/>
      <c r="DN13" s="23"/>
    </row>
    <row r="14" spans="1:124" s="6" customFormat="1" ht="18" customHeight="1" thickBot="1" x14ac:dyDescent="0.25">
      <c r="A14" s="19"/>
      <c r="B14" s="287" t="s">
        <v>123</v>
      </c>
      <c r="C14" s="288"/>
      <c r="D14" s="288"/>
      <c r="E14" s="288"/>
      <c r="F14" s="289"/>
      <c r="G14" s="193"/>
      <c r="H14" s="193" t="s">
        <v>126</v>
      </c>
      <c r="I14" s="194"/>
      <c r="J14" s="195" t="s">
        <v>1</v>
      </c>
      <c r="K14" s="196"/>
      <c r="L14" s="193" t="s">
        <v>126</v>
      </c>
      <c r="M14" s="194"/>
      <c r="N14" s="195" t="s">
        <v>1</v>
      </c>
      <c r="O14" s="196"/>
      <c r="P14" s="193" t="s">
        <v>126</v>
      </c>
      <c r="Q14" s="194"/>
      <c r="R14" s="195" t="s">
        <v>1</v>
      </c>
      <c r="S14" s="196"/>
      <c r="T14" s="193" t="s">
        <v>126</v>
      </c>
      <c r="U14" s="194"/>
      <c r="V14" s="195" t="s">
        <v>1</v>
      </c>
      <c r="W14" s="196"/>
      <c r="X14" s="193" t="s">
        <v>126</v>
      </c>
      <c r="Y14" s="194"/>
      <c r="Z14" s="195" t="s">
        <v>1</v>
      </c>
      <c r="AA14" s="196"/>
      <c r="AB14" s="193" t="s">
        <v>126</v>
      </c>
      <c r="AC14" s="194"/>
      <c r="AD14" s="195" t="s">
        <v>1</v>
      </c>
      <c r="AE14" s="196"/>
      <c r="AF14" s="193" t="s">
        <v>126</v>
      </c>
      <c r="AG14" s="194"/>
      <c r="AH14" s="195" t="s">
        <v>1</v>
      </c>
      <c r="AI14" s="196"/>
      <c r="AJ14" s="193" t="s">
        <v>126</v>
      </c>
      <c r="AK14" s="194"/>
      <c r="AL14" s="195" t="s">
        <v>1</v>
      </c>
      <c r="AM14" s="196"/>
      <c r="AN14" s="193" t="s">
        <v>126</v>
      </c>
      <c r="AO14" s="194"/>
      <c r="AP14" s="195" t="s">
        <v>1</v>
      </c>
      <c r="AQ14" s="196"/>
      <c r="AR14" s="193" t="s">
        <v>126</v>
      </c>
      <c r="AS14" s="194"/>
      <c r="AT14" s="195" t="s">
        <v>1</v>
      </c>
      <c r="AU14" s="196"/>
      <c r="AV14" s="193" t="s">
        <v>126</v>
      </c>
      <c r="AW14" s="194"/>
      <c r="AX14" s="195" t="s">
        <v>1</v>
      </c>
      <c r="AY14" s="196"/>
      <c r="AZ14" s="193" t="s">
        <v>126</v>
      </c>
      <c r="BA14" s="194"/>
      <c r="BB14" s="197" t="s">
        <v>1</v>
      </c>
      <c r="BC14" s="100"/>
      <c r="BD14" s="125"/>
      <c r="BE14" s="125"/>
      <c r="BF14" s="125"/>
      <c r="BG14" s="125"/>
      <c r="BH14" s="189"/>
      <c r="BI14" s="203"/>
      <c r="BJ14" s="193" t="s">
        <v>126</v>
      </c>
      <c r="BK14" s="194"/>
      <c r="BL14" s="197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37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"Colts","Rams","Buccaneers","Ravens","Bears","Browns"</v>
      </c>
      <c r="DT14" s="6" t="str">
        <f>CONCATENATE(CHAR(34),$E$5,CHAR(34),",",CHAR(34),$E$6,CHAR(34),",",CHAR(34),$E$7,CHAR(34),",",CHAR(34),$E$8,CHAR(34),",",CHAR(34),$E$9,CHAR(34),",",CHAR(34),$E$10,CHAR(34))</f>
        <v>"Bills","Seahawks","Football Team","Titans","Saints","Steelers"</v>
      </c>
    </row>
    <row r="15" spans="1:124" s="6" customFormat="1" ht="15" customHeight="1" x14ac:dyDescent="0.2">
      <c r="A15" s="19"/>
      <c r="B15" s="258">
        <v>18</v>
      </c>
      <c r="C15" s="93" t="s">
        <v>213</v>
      </c>
      <c r="D15" s="93" t="s">
        <v>3</v>
      </c>
      <c r="E15" s="252" t="s">
        <v>223</v>
      </c>
      <c r="F15" s="261">
        <v>32</v>
      </c>
      <c r="G15" s="102" t="s">
        <v>9</v>
      </c>
      <c r="H15" s="102" t="s">
        <v>0</v>
      </c>
      <c r="I15" s="103">
        <v>11</v>
      </c>
      <c r="J15" s="98">
        <f>IF(OR(G$2="",G15="",I15=""),"",IF($BD15="","",IF(G15=$BD15,ABS(I15-$BF15),ABS(I15+$BF15))+IF(G15&lt;&gt;$BD15,$BO$7,0)))</f>
        <v>3</v>
      </c>
      <c r="K15" s="255"/>
      <c r="L15" s="102" t="s">
        <v>0</v>
      </c>
      <c r="M15" s="103"/>
      <c r="N15" s="98" t="str">
        <f>IF(OR(K$2="",K15="",M15=""),"",IF($BD15="","",IF(K15=$BD15,ABS(M15-$BF15),ABS(M15+$BF15))+IF(K15&lt;&gt;$BD15,$BO$7,0)))</f>
        <v/>
      </c>
      <c r="O15" s="255" t="s">
        <v>9</v>
      </c>
      <c r="P15" s="102" t="s">
        <v>0</v>
      </c>
      <c r="Q15" s="103">
        <v>7</v>
      </c>
      <c r="R15" s="98">
        <f>IF(OR(O$2="",O15="",Q15=""),"",IF($BD15="","",IF(O15=$BD15,ABS(Q15-$BF15),ABS(Q15+$BF15))+IF(O15&lt;&gt;$BD15,$BO$7,0)))</f>
        <v>7</v>
      </c>
      <c r="S15" s="255" t="s">
        <v>9</v>
      </c>
      <c r="T15" s="102" t="s">
        <v>0</v>
      </c>
      <c r="U15" s="103">
        <v>16</v>
      </c>
      <c r="V15" s="98">
        <f>IF(OR(S$2="",S15="",U15=""),"",IF($BD15="","",IF(S15=$BD15,ABS(U15-$BF15),ABS(U15+$BF15))+IF(S15&lt;&gt;$BD15,$BO$7,0)))</f>
        <v>2</v>
      </c>
      <c r="W15" s="255" t="s">
        <v>9</v>
      </c>
      <c r="X15" s="102" t="s">
        <v>0</v>
      </c>
      <c r="Y15" s="103">
        <v>10</v>
      </c>
      <c r="Z15" s="98">
        <f>IF(OR(W$2="",W15="",Y15=""),"",IF($BD15="","",IF(W15=$BD15,ABS(Y15-$BF15),ABS(Y15+$BF15))+IF(W15&lt;&gt;$BD15,$BO$7,0)))</f>
        <v>4</v>
      </c>
      <c r="AA15" s="255" t="s">
        <v>9</v>
      </c>
      <c r="AB15" s="102" t="s">
        <v>0</v>
      </c>
      <c r="AC15" s="103">
        <v>3</v>
      </c>
      <c r="AD15" s="98">
        <f>IF(OR(AA$2="",AA15="",AC15=""),"",IF($BD15="","",IF(AA15=$BD15,ABS(AC15-$BF15),ABS(AC15+$BF15))+IF(AA15&lt;&gt;$BD15,$BO$7,0)))</f>
        <v>11</v>
      </c>
      <c r="AE15" s="255" t="s">
        <v>9</v>
      </c>
      <c r="AF15" s="102" t="s">
        <v>0</v>
      </c>
      <c r="AG15" s="103">
        <v>10</v>
      </c>
      <c r="AH15" s="98">
        <f>IF(OR(AE$2="",AE15="",AG15=""),"",IF($BD15="","",IF(AE15=$BD15,ABS(AG15-$BF15),ABS(AG15+$BF15))+IF(AE15&lt;&gt;$BD15,$BO$7,0)))</f>
        <v>4</v>
      </c>
      <c r="AI15" s="255" t="s">
        <v>9</v>
      </c>
      <c r="AJ15" s="102" t="s">
        <v>0</v>
      </c>
      <c r="AK15" s="103">
        <v>4</v>
      </c>
      <c r="AL15" s="98">
        <f>IF(OR(AI$2="",AI15="",AK15=""),"",IF($BD15="","",IF(AI15=$BD15,ABS(AK15-$BF15),ABS(AK15+$BF15))+IF(AI15&lt;&gt;$BD15,$BO$7,0)))</f>
        <v>10</v>
      </c>
      <c r="AM15" s="255" t="s">
        <v>9</v>
      </c>
      <c r="AN15" s="102" t="s">
        <v>0</v>
      </c>
      <c r="AO15" s="103">
        <v>7</v>
      </c>
      <c r="AP15" s="98">
        <f>IF(OR(AM$2="",AM15="",AO15=""),"",IF($BD15="","",IF(AM15=$BD15,ABS(AO15-$BF15),ABS(AO15+$BF15))+IF(AM15&lt;&gt;$BD15,$BO$7,0)))</f>
        <v>7</v>
      </c>
      <c r="AQ15" s="255" t="s">
        <v>9</v>
      </c>
      <c r="AR15" s="102" t="s">
        <v>0</v>
      </c>
      <c r="AS15" s="103">
        <v>10</v>
      </c>
      <c r="AT15" s="98">
        <f>IF(OR(AQ$2="",AQ15="",AS15=""),"",IF($BD15="","",IF(AQ15=$BD15,ABS(AS15-$BF15),ABS(AS15+$BF15))+IF(AQ15&lt;&gt;$BD15,$BO$7,0)))</f>
        <v>4</v>
      </c>
      <c r="AU15" s="255" t="s">
        <v>9</v>
      </c>
      <c r="AV15" s="102" t="s">
        <v>0</v>
      </c>
      <c r="AW15" s="103">
        <v>14</v>
      </c>
      <c r="AX15" s="98">
        <f>IF(OR(AU$2="",AU15="",AW15=""),"",IF($BD15="","",IF(AU15=$BD15,ABS(AW15-$BF15),ABS(AW15+$BF15))+IF(AU15&lt;&gt;$BD15,$BO$7,0)))</f>
        <v>0</v>
      </c>
      <c r="AY15" s="255" t="s">
        <v>9</v>
      </c>
      <c r="AZ15" s="102" t="s">
        <v>0</v>
      </c>
      <c r="BA15" s="103">
        <v>7</v>
      </c>
      <c r="BB15" s="99">
        <f>IF(OR(AY$2="",AY15="",BA15=""),"",IF($BD15="","",IF(AY15=$BD15,ABS(BA15-$BF15),ABS(BA15+$BF15))+IF(AY15&lt;&gt;$BD15,$BO$7,0)))</f>
        <v>7</v>
      </c>
      <c r="BC15" s="100"/>
      <c r="BD15" s="101" t="str">
        <f t="shared" ref="BD15:BD18" si="19">IF(OR(B15="",F15="",B15=F15),"",IF(B15&gt;F15,"V","H"))</f>
        <v>H</v>
      </c>
      <c r="BE15" s="101" t="s">
        <v>0</v>
      </c>
      <c r="BF15" s="101">
        <f t="shared" ref="BF15:BF18" si="20">IF(OR(B15="",F15="",B15=F15),"",ABS(B15-F15))</f>
        <v>14</v>
      </c>
      <c r="BG15" s="101"/>
      <c r="BH15" s="187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99</v>
      </c>
      <c r="BI15" s="204" t="str">
        <f t="shared" ref="BI15:BI18" si="22">IF(COUNTA(G15,K15,O15,S15,W15,AA15,AE15,AI15,AM15,AQ15,AU15,AY15)&gt;0,IF(BH15&lt;0,"V","H"),"")</f>
        <v>H</v>
      </c>
      <c r="BJ15" s="102" t="s">
        <v>0</v>
      </c>
      <c r="BK15" s="103">
        <f t="shared" ref="BK15:BK18" si="23">IF(BI15="","",IF(ABS(BH15)&lt;(COUNTA(G15,K15,O15,S15,W15,AA15,AE15,AI15,AM15,AQ15,AU15,AY15)/2),1,ROUND(ABS(BH15)/COUNTA(G15,K15,O15,S15,W15,AA15,AE15,AI15,AM15,AQ15,AU15,AY15),0)))</f>
        <v>9</v>
      </c>
      <c r="BL15" s="99">
        <f>IF(OR(BI15="",BK15=""),"",IF($BD15="","",IF(BI15=$BD15,ABS(BK15-$BF15),ABS(BK15+$BF15))+IF(BI15&lt;&gt;$BD15,$BO$7,0)))</f>
        <v>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37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"Rams","Ravens","Browns","Buccaneers"</v>
      </c>
      <c r="DT15" s="6" t="str">
        <f>CONCATENATE(CHAR(34),$E$15,CHAR(34),",",CHAR(34),$E$16,CHAR(34),",",CHAR(34),$E$17,CHAR(34),",",CHAR(34),$E$18,CHAR(34))</f>
        <v>"Packers","Bills","Chiefs","Saints"</v>
      </c>
    </row>
    <row r="16" spans="1:124" s="6" customFormat="1" ht="15" customHeight="1" x14ac:dyDescent="0.2">
      <c r="A16" s="19"/>
      <c r="B16" s="259">
        <v>3</v>
      </c>
      <c r="C16" s="102" t="s">
        <v>217</v>
      </c>
      <c r="D16" s="102" t="s">
        <v>3</v>
      </c>
      <c r="E16" s="253" t="s">
        <v>212</v>
      </c>
      <c r="F16" s="262">
        <v>17</v>
      </c>
      <c r="G16" s="102" t="s">
        <v>9</v>
      </c>
      <c r="H16" s="102" t="s">
        <v>0</v>
      </c>
      <c r="I16" s="106">
        <v>3</v>
      </c>
      <c r="J16" s="98">
        <f>IF(OR(G$2="",G16="",I16=""),"",IF($BD16="","",IF(G16=$BD16,ABS(I16-$BF16),ABS(I16+$BF16))+IF(G16&lt;&gt;$BD16,$BO$7,0)))</f>
        <v>11</v>
      </c>
      <c r="K16" s="255"/>
      <c r="L16" s="102" t="s">
        <v>0</v>
      </c>
      <c r="M16" s="106"/>
      <c r="N16" s="98" t="str">
        <f>IF(OR(K$2="",K16="",M16=""),"",IF($BD16="","",IF(K16=$BD16,ABS(M16-$BF16),ABS(M16+$BF16))+IF(K16&lt;&gt;$BD16,$BO$7,0)))</f>
        <v/>
      </c>
      <c r="O16" s="255" t="s">
        <v>9</v>
      </c>
      <c r="P16" s="102" t="s">
        <v>0</v>
      </c>
      <c r="Q16" s="106">
        <v>3</v>
      </c>
      <c r="R16" s="98">
        <f>IF(OR(O$2="",O16="",Q16=""),"",IF($BD16="","",IF(O16=$BD16,ABS(Q16-$BF16),ABS(Q16+$BF16))+IF(O16&lt;&gt;$BD16,$BO$7,0)))</f>
        <v>11</v>
      </c>
      <c r="S16" s="255" t="s">
        <v>9</v>
      </c>
      <c r="T16" s="102" t="s">
        <v>0</v>
      </c>
      <c r="U16" s="106">
        <v>1</v>
      </c>
      <c r="V16" s="98">
        <f>IF(OR(S$2="",S16="",U16=""),"",IF($BD16="","",IF(S16=$BD16,ABS(U16-$BF16),ABS(U16+$BF16))+IF(S16&lt;&gt;$BD16,$BO$7,0)))</f>
        <v>13</v>
      </c>
      <c r="W16" s="255" t="s">
        <v>9</v>
      </c>
      <c r="X16" s="102" t="s">
        <v>0</v>
      </c>
      <c r="Y16" s="106">
        <v>3</v>
      </c>
      <c r="Z16" s="98">
        <f>IF(OR(W$2="",W16="",Y16=""),"",IF($BD16="","",IF(W16=$BD16,ABS(Y16-$BF16),ABS(Y16+$BF16))+IF(W16&lt;&gt;$BD16,$BO$7,0)))</f>
        <v>11</v>
      </c>
      <c r="AA16" s="255" t="s">
        <v>9</v>
      </c>
      <c r="AB16" s="102" t="s">
        <v>0</v>
      </c>
      <c r="AC16" s="106">
        <v>7</v>
      </c>
      <c r="AD16" s="98">
        <f>IF(OR(AA$2="",AA16="",AC16=""),"",IF($BD16="","",IF(AA16=$BD16,ABS(AC16-$BF16),ABS(AC16+$BF16))+IF(AA16&lt;&gt;$BD16,$BO$7,0)))</f>
        <v>7</v>
      </c>
      <c r="AE16" s="255" t="s">
        <v>9</v>
      </c>
      <c r="AF16" s="102" t="s">
        <v>0</v>
      </c>
      <c r="AG16" s="106">
        <v>4</v>
      </c>
      <c r="AH16" s="98">
        <f>IF(OR(AE$2="",AE16="",AG16=""),"",IF($BD16="","",IF(AE16=$BD16,ABS(AG16-$BF16),ABS(AG16+$BF16))+IF(AE16&lt;&gt;$BD16,$BO$7,0)))</f>
        <v>10</v>
      </c>
      <c r="AI16" s="255" t="s">
        <v>8</v>
      </c>
      <c r="AJ16" s="102" t="s">
        <v>0</v>
      </c>
      <c r="AK16" s="106">
        <v>1</v>
      </c>
      <c r="AL16" s="98">
        <f>IF(OR(AI$2="",AI16="",AK16=""),"",IF($BD16="","",IF(AI16=$BD16,ABS(AK16-$BF16),ABS(AK16+$BF16))+IF(AI16&lt;&gt;$BD16,$BO$7,0)))</f>
        <v>22</v>
      </c>
      <c r="AM16" s="255" t="s">
        <v>9</v>
      </c>
      <c r="AN16" s="102" t="s">
        <v>0</v>
      </c>
      <c r="AO16" s="106">
        <v>3</v>
      </c>
      <c r="AP16" s="98">
        <f>IF(OR(AM$2="",AM16="",AO16=""),"",IF($BD16="","",IF(AM16=$BD16,ABS(AO16-$BF16),ABS(AO16+$BF16))+IF(AM16&lt;&gt;$BD16,$BO$7,0)))</f>
        <v>11</v>
      </c>
      <c r="AQ16" s="255" t="s">
        <v>9</v>
      </c>
      <c r="AR16" s="102" t="s">
        <v>0</v>
      </c>
      <c r="AS16" s="106">
        <v>7</v>
      </c>
      <c r="AT16" s="98">
        <f>IF(OR(AQ$2="",AQ16="",AS16=""),"",IF($BD16="","",IF(AQ16=$BD16,ABS(AS16-$BF16),ABS(AS16+$BF16))+IF(AQ16&lt;&gt;$BD16,$BO$7,0)))</f>
        <v>7</v>
      </c>
      <c r="AU16" s="255" t="s">
        <v>9</v>
      </c>
      <c r="AV16" s="102" t="s">
        <v>0</v>
      </c>
      <c r="AW16" s="106">
        <v>10</v>
      </c>
      <c r="AX16" s="98">
        <f>IF(OR(AU$2="",AU16="",AW16=""),"",IF($BD16="","",IF(AU16=$BD16,ABS(AW16-$BF16),ABS(AW16+$BF16))+IF(AU16&lt;&gt;$BD16,$BO$7,0)))</f>
        <v>4</v>
      </c>
      <c r="AY16" s="255" t="s">
        <v>9</v>
      </c>
      <c r="AZ16" s="102" t="s">
        <v>0</v>
      </c>
      <c r="BA16" s="106">
        <v>3</v>
      </c>
      <c r="BB16" s="105">
        <f>IF(OR(AY$2="",AY16="",BA16=""),"",IF($BD16="","",IF(AY16=$BD16,ABS(BA16-$BF16),ABS(BA16+$BF16))+IF(AY16&lt;&gt;$BD16,$BO$7,0)))</f>
        <v>11</v>
      </c>
      <c r="BC16" s="100"/>
      <c r="BD16" s="101" t="str">
        <f t="shared" si="19"/>
        <v>H</v>
      </c>
      <c r="BE16" s="101" t="s">
        <v>0</v>
      </c>
      <c r="BF16" s="101">
        <f t="shared" si="20"/>
        <v>14</v>
      </c>
      <c r="BG16" s="101"/>
      <c r="BH16" s="187">
        <f t="shared" si="21"/>
        <v>43</v>
      </c>
      <c r="BI16" s="204" t="str">
        <f t="shared" si="22"/>
        <v>H</v>
      </c>
      <c r="BJ16" s="102" t="s">
        <v>0</v>
      </c>
      <c r="BK16" s="106">
        <f t="shared" si="23"/>
        <v>4</v>
      </c>
      <c r="BL16" s="105">
        <f>IF(OR(BI16="",BK16=""),"",IF($BD16="","",IF(BI16=$BD16,ABS(BK16-$BF16),ABS(BK16+$BF16))+IF(BI16&lt;&gt;$BD16,$BO$7,0)))</f>
        <v>10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37" t="str">
        <f>CONCATENATE($DM$5,$G$17,$DN$5)</f>
        <v xml:space="preserve">   "H",</v>
      </c>
      <c r="DM16" s="23"/>
      <c r="DN16" s="23"/>
      <c r="DO16" s="6" t="str">
        <f>CONCATENATE(CHAR(34),$C$23,CHAR(34),",",CHAR(34),$C$24,CHAR(34))</f>
        <v>"",""</v>
      </c>
      <c r="DT16" s="6" t="str">
        <f>CONCATENATE(CHAR(34),$E$23,CHAR(34),",",CHAR(34),$E$24,CHAR(34))</f>
        <v>"",""</v>
      </c>
    </row>
    <row r="17" spans="1:124" s="6" customFormat="1" ht="15" customHeight="1" x14ac:dyDescent="0.2">
      <c r="A17" s="19"/>
      <c r="B17" s="259">
        <v>17</v>
      </c>
      <c r="C17" s="102" t="s">
        <v>221</v>
      </c>
      <c r="D17" s="102" t="s">
        <v>3</v>
      </c>
      <c r="E17" s="253" t="s">
        <v>224</v>
      </c>
      <c r="F17" s="262">
        <v>22</v>
      </c>
      <c r="G17" s="102" t="s">
        <v>9</v>
      </c>
      <c r="H17" s="102" t="s">
        <v>0</v>
      </c>
      <c r="I17" s="106">
        <v>13</v>
      </c>
      <c r="J17" s="98">
        <f>IF(OR(G$2="",G17="",I17=""),"",IF($BD17="","",IF(G17=$BD17,ABS(I17-$BF17),ABS(I17+$BF17))+IF(G17&lt;&gt;$BD17,$BO$7,0)))</f>
        <v>8</v>
      </c>
      <c r="K17" s="255"/>
      <c r="L17" s="102" t="s">
        <v>0</v>
      </c>
      <c r="M17" s="106"/>
      <c r="N17" s="98" t="str">
        <f>IF(OR(K$2="",K17="",M17=""),"",IF($BD17="","",IF(K17=$BD17,ABS(M17-$BF17),ABS(M17+$BF17))+IF(K17&lt;&gt;$BD17,$BO$7,0)))</f>
        <v/>
      </c>
      <c r="O17" s="255" t="s">
        <v>9</v>
      </c>
      <c r="P17" s="102" t="s">
        <v>0</v>
      </c>
      <c r="Q17" s="106">
        <v>9</v>
      </c>
      <c r="R17" s="98">
        <f>IF(OR(O$2="",O17="",Q17=""),"",IF($BD17="","",IF(O17=$BD17,ABS(Q17-$BF17),ABS(Q17+$BF17))+IF(O17&lt;&gt;$BD17,$BO$7,0)))</f>
        <v>4</v>
      </c>
      <c r="S17" s="255" t="s">
        <v>9</v>
      </c>
      <c r="T17" s="102" t="s">
        <v>0</v>
      </c>
      <c r="U17" s="106">
        <v>17</v>
      </c>
      <c r="V17" s="98">
        <f>IF(OR(S$2="",S17="",U17=""),"",IF($BD17="","",IF(S17=$BD17,ABS(U17-$BF17),ABS(U17+$BF17))+IF(S17&lt;&gt;$BD17,$BO$7,0)))</f>
        <v>12</v>
      </c>
      <c r="W17" s="255" t="s">
        <v>9</v>
      </c>
      <c r="X17" s="102" t="s">
        <v>0</v>
      </c>
      <c r="Y17" s="106">
        <v>17</v>
      </c>
      <c r="Z17" s="98">
        <f>IF(OR(W$2="",W17="",Y17=""),"",IF($BD17="","",IF(W17=$BD17,ABS(Y17-$BF17),ABS(Y17+$BF17))+IF(W17&lt;&gt;$BD17,$BO$7,0)))</f>
        <v>12</v>
      </c>
      <c r="AA17" s="255" t="s">
        <v>9</v>
      </c>
      <c r="AB17" s="102" t="s">
        <v>0</v>
      </c>
      <c r="AC17" s="106">
        <v>14</v>
      </c>
      <c r="AD17" s="98">
        <f>IF(OR(AA$2="",AA17="",AC17=""),"",IF($BD17="","",IF(AA17=$BD17,ABS(AC17-$BF17),ABS(AC17+$BF17))+IF(AA17&lt;&gt;$BD17,$BO$7,0)))</f>
        <v>9</v>
      </c>
      <c r="AE17" s="255" t="s">
        <v>9</v>
      </c>
      <c r="AF17" s="102" t="s">
        <v>0</v>
      </c>
      <c r="AG17" s="106">
        <v>8</v>
      </c>
      <c r="AH17" s="98">
        <f>IF(OR(AE$2="",AE17="",AG17=""),"",IF($BD17="","",IF(AE17=$BD17,ABS(AG17-$BF17),ABS(AG17+$BF17))+IF(AE17&lt;&gt;$BD17,$BO$7,0)))</f>
        <v>3</v>
      </c>
      <c r="AI17" s="255" t="s">
        <v>9</v>
      </c>
      <c r="AJ17" s="102" t="s">
        <v>0</v>
      </c>
      <c r="AK17" s="106">
        <v>6</v>
      </c>
      <c r="AL17" s="98">
        <f>IF(OR(AI$2="",AI17="",AK17=""),"",IF($BD17="","",IF(AI17=$BD17,ABS(AK17-$BF17),ABS(AK17+$BF17))+IF(AI17&lt;&gt;$BD17,$BO$7,0)))</f>
        <v>1</v>
      </c>
      <c r="AM17" s="255" t="s">
        <v>9</v>
      </c>
      <c r="AN17" s="102" t="s">
        <v>0</v>
      </c>
      <c r="AO17" s="106">
        <v>10</v>
      </c>
      <c r="AP17" s="98">
        <f>IF(OR(AM$2="",AM17="",AO17=""),"",IF($BD17="","",IF(AM17=$BD17,ABS(AO17-$BF17),ABS(AO17+$BF17))+IF(AM17&lt;&gt;$BD17,$BO$7,0)))</f>
        <v>5</v>
      </c>
      <c r="AQ17" s="255" t="s">
        <v>9</v>
      </c>
      <c r="AR17" s="102" t="s">
        <v>0</v>
      </c>
      <c r="AS17" s="106">
        <v>14</v>
      </c>
      <c r="AT17" s="98">
        <f>IF(OR(AQ$2="",AQ17="",AS17=""),"",IF($BD17="","",IF(AQ17=$BD17,ABS(AS17-$BF17),ABS(AS17+$BF17))+IF(AQ17&lt;&gt;$BD17,$BO$7,0)))</f>
        <v>9</v>
      </c>
      <c r="AU17" s="255" t="s">
        <v>9</v>
      </c>
      <c r="AV17" s="102" t="s">
        <v>0</v>
      </c>
      <c r="AW17" s="106">
        <v>4</v>
      </c>
      <c r="AX17" s="98">
        <f>IF(OR(AU$2="",AU17="",AW17=""),"",IF($BD17="","",IF(AU17=$BD17,ABS(AW17-$BF17),ABS(AW17+$BF17))+IF(AU17&lt;&gt;$BD17,$BO$7,0)))</f>
        <v>1</v>
      </c>
      <c r="AY17" s="255" t="s">
        <v>9</v>
      </c>
      <c r="AZ17" s="102" t="s">
        <v>0</v>
      </c>
      <c r="BA17" s="106">
        <v>9</v>
      </c>
      <c r="BB17" s="105">
        <f>IF(OR(AY$2="",AY17="",BA17=""),"",IF($BD17="","",IF(AY17=$BD17,ABS(BA17-$BF17),ABS(BA17+$BF17))+IF(AY17&lt;&gt;$BD17,$BO$7,0)))</f>
        <v>4</v>
      </c>
      <c r="BC17" s="100"/>
      <c r="BD17" s="101" t="str">
        <f t="shared" si="19"/>
        <v>H</v>
      </c>
      <c r="BE17" s="101" t="s">
        <v>0</v>
      </c>
      <c r="BF17" s="101">
        <f t="shared" si="20"/>
        <v>5</v>
      </c>
      <c r="BG17" s="101"/>
      <c r="BH17" s="187">
        <f t="shared" si="21"/>
        <v>121</v>
      </c>
      <c r="BI17" s="204" t="str">
        <f t="shared" si="22"/>
        <v>H</v>
      </c>
      <c r="BJ17" s="102" t="s">
        <v>0</v>
      </c>
      <c r="BK17" s="106">
        <f t="shared" si="23"/>
        <v>11</v>
      </c>
      <c r="BL17" s="105">
        <f>IF(OR(BI17="",BK17=""),"",IF($BD17="","",IF(BI17=$BD17,ABS(BK17-$BF17),ABS(BK17+$BF17))+IF(BI17&lt;&gt;$BD17,$BO$7,0)))</f>
        <v>6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37" t="str">
        <f>CONCATENATE($DM$5,$G$18,$DN$5)</f>
        <v xml:space="preserve">   "H",</v>
      </c>
      <c r="DM17" s="23"/>
      <c r="DN17" s="23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9"/>
      <c r="B18" s="260">
        <v>30</v>
      </c>
      <c r="C18" s="109" t="s">
        <v>215</v>
      </c>
      <c r="D18" s="109" t="s">
        <v>3</v>
      </c>
      <c r="E18" s="254" t="s">
        <v>220</v>
      </c>
      <c r="F18" s="263">
        <v>20</v>
      </c>
      <c r="G18" s="109" t="s">
        <v>9</v>
      </c>
      <c r="H18" s="109" t="s">
        <v>0</v>
      </c>
      <c r="I18" s="116">
        <v>3</v>
      </c>
      <c r="J18" s="114">
        <f>IF(OR(G$2="",G18="",I18=""),"",IF($BD18="","",IF(G18=$BD18,ABS(I18-$BF18),ABS(I18+$BF18))+IF(G18&lt;&gt;$BD18,$BO$7,0)))</f>
        <v>20</v>
      </c>
      <c r="K18" s="256"/>
      <c r="L18" s="109" t="s">
        <v>0</v>
      </c>
      <c r="M18" s="116"/>
      <c r="N18" s="114" t="str">
        <f>IF(OR(K$2="",K18="",M18=""),"",IF($BD18="","",IF(K18=$BD18,ABS(M18-$BF18),ABS(M18+$BF18))+IF(K18&lt;&gt;$BD18,$BO$7,0)))</f>
        <v/>
      </c>
      <c r="O18" s="256" t="s">
        <v>9</v>
      </c>
      <c r="P18" s="109" t="s">
        <v>0</v>
      </c>
      <c r="Q18" s="116">
        <v>3</v>
      </c>
      <c r="R18" s="114">
        <f>IF(OR(O$2="",O18="",Q18=""),"",IF($BD18="","",IF(O18=$BD18,ABS(Q18-$BF18),ABS(Q18+$BF18))+IF(O18&lt;&gt;$BD18,$BO$7,0)))</f>
        <v>20</v>
      </c>
      <c r="S18" s="256" t="s">
        <v>9</v>
      </c>
      <c r="T18" s="109" t="s">
        <v>0</v>
      </c>
      <c r="U18" s="116">
        <v>1</v>
      </c>
      <c r="V18" s="114">
        <f>IF(OR(S$2="",S18="",U18=""),"",IF($BD18="","",IF(S18=$BD18,ABS(U18-$BF18),ABS(U18+$BF18))+IF(S18&lt;&gt;$BD18,$BO$7,0)))</f>
        <v>18</v>
      </c>
      <c r="W18" s="256" t="s">
        <v>8</v>
      </c>
      <c r="X18" s="109" t="s">
        <v>0</v>
      </c>
      <c r="Y18" s="116">
        <v>3</v>
      </c>
      <c r="Z18" s="114">
        <f>IF(OR(W$2="",W18="",Y18=""),"",IF($BD18="","",IF(W18=$BD18,ABS(Y18-$BF18),ABS(Y18+$BF18))+IF(W18&lt;&gt;$BD18,$BO$7,0)))</f>
        <v>7</v>
      </c>
      <c r="AA18" s="256" t="s">
        <v>8</v>
      </c>
      <c r="AB18" s="109" t="s">
        <v>0</v>
      </c>
      <c r="AC18" s="116">
        <v>3</v>
      </c>
      <c r="AD18" s="114">
        <f>IF(OR(AA$2="",AA18="",AC18=""),"",IF($BD18="","",IF(AA18=$BD18,ABS(AC18-$BF18),ABS(AC18+$BF18))+IF(AA18&lt;&gt;$BD18,$BO$7,0)))</f>
        <v>7</v>
      </c>
      <c r="AE18" s="256" t="s">
        <v>9</v>
      </c>
      <c r="AF18" s="109" t="s">
        <v>0</v>
      </c>
      <c r="AG18" s="116">
        <v>4</v>
      </c>
      <c r="AH18" s="114">
        <f>IF(OR(AE$2="",AE18="",AG18=""),"",IF($BD18="","",IF(AE18=$BD18,ABS(AG18-$BF18),ABS(AG18+$BF18))+IF(AE18&lt;&gt;$BD18,$BO$7,0)))</f>
        <v>21</v>
      </c>
      <c r="AI18" s="256" t="s">
        <v>9</v>
      </c>
      <c r="AJ18" s="109" t="s">
        <v>0</v>
      </c>
      <c r="AK18" s="116">
        <v>1</v>
      </c>
      <c r="AL18" s="114">
        <f>IF(OR(AI$2="",AI18="",AK18=""),"",IF($BD18="","",IF(AI18=$BD18,ABS(AK18-$BF18),ABS(AK18+$BF18))+IF(AI18&lt;&gt;$BD18,$BO$7,0)))</f>
        <v>18</v>
      </c>
      <c r="AM18" s="256" t="s">
        <v>9</v>
      </c>
      <c r="AN18" s="109" t="s">
        <v>0</v>
      </c>
      <c r="AO18" s="116">
        <v>3</v>
      </c>
      <c r="AP18" s="114">
        <f>IF(OR(AM$2="",AM18="",AO18=""),"",IF($BD18="","",IF(AM18=$BD18,ABS(AO18-$BF18),ABS(AO18+$BF18))+IF(AM18&lt;&gt;$BD18,$BO$7,0)))</f>
        <v>20</v>
      </c>
      <c r="AQ18" s="256" t="s">
        <v>9</v>
      </c>
      <c r="AR18" s="109" t="s">
        <v>0</v>
      </c>
      <c r="AS18" s="116">
        <v>7</v>
      </c>
      <c r="AT18" s="114">
        <f>IF(OR(AQ$2="",AQ18="",AS18=""),"",IF($BD18="","",IF(AQ18=$BD18,ABS(AS18-$BF18),ABS(AS18+$BF18))+IF(AQ18&lt;&gt;$BD18,$BO$7,0)))</f>
        <v>24</v>
      </c>
      <c r="AU18" s="256" t="s">
        <v>9</v>
      </c>
      <c r="AV18" s="109" t="s">
        <v>0</v>
      </c>
      <c r="AW18" s="116">
        <v>6</v>
      </c>
      <c r="AX18" s="114">
        <f>IF(OR(AU$2="",AU18="",AW18=""),"",IF($BD18="","",IF(AU18=$BD18,ABS(AW18-$BF18),ABS(AW18+$BF18))+IF(AU18&lt;&gt;$BD18,$BO$7,0)))</f>
        <v>23</v>
      </c>
      <c r="AY18" s="256" t="s">
        <v>9</v>
      </c>
      <c r="AZ18" s="109" t="s">
        <v>0</v>
      </c>
      <c r="BA18" s="116">
        <v>3</v>
      </c>
      <c r="BB18" s="115">
        <f>IF(OR(AY$2="",AY18="",BA18=""),"",IF($BD18="","",IF(AY18=$BD18,ABS(BA18-$BF18),ABS(BA18+$BF18))+IF(AY18&lt;&gt;$BD18,$BO$7,0)))</f>
        <v>20</v>
      </c>
      <c r="BC18" s="100"/>
      <c r="BD18" s="101" t="str">
        <f t="shared" si="19"/>
        <v>V</v>
      </c>
      <c r="BE18" s="101" t="s">
        <v>0</v>
      </c>
      <c r="BF18" s="101">
        <f t="shared" si="20"/>
        <v>10</v>
      </c>
      <c r="BG18" s="101"/>
      <c r="BH18" s="187">
        <f t="shared" si="21"/>
        <v>25</v>
      </c>
      <c r="BI18" s="205" t="str">
        <f t="shared" si="22"/>
        <v>H</v>
      </c>
      <c r="BJ18" s="109" t="s">
        <v>0</v>
      </c>
      <c r="BK18" s="116">
        <f t="shared" si="23"/>
        <v>2</v>
      </c>
      <c r="BL18" s="115">
        <f>IF(OR(BI18="",BK18=""),"",IF($BD18="","",IF(BI18=$BD18,ABS(BK18-$BF18),ABS(BK18+$BF18))+IF(BI18&lt;&gt;$BD18,$BO$7,0)))</f>
        <v>19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37" t="str">
        <f>CONCATENATE($DM$5,$G$23,$DN$5)</f>
        <v xml:space="preserve">   "",</v>
      </c>
      <c r="DM18" s="23"/>
      <c r="DN18" s="23"/>
    </row>
    <row r="19" spans="1:124" s="6" customFormat="1" ht="12" customHeight="1" x14ac:dyDescent="0.2">
      <c r="A19" s="19"/>
      <c r="B19" s="78"/>
      <c r="C19" s="79"/>
      <c r="D19" s="80"/>
      <c r="E19" s="81" t="s">
        <v>97</v>
      </c>
      <c r="F19" s="82">
        <f>IF(SUM(B18,F18)=0,"",SUM(B18,F18))</f>
        <v>50</v>
      </c>
      <c r="G19" s="79"/>
      <c r="H19" s="80" t="s">
        <v>61</v>
      </c>
      <c r="I19" s="86">
        <v>51</v>
      </c>
      <c r="J19" s="89" t="str">
        <f>IF(OR($F19="",I19="",J20=""),"",IF(AND(COUNTIF($J41:$BB41,J41)&gt;1,RANK(J41,$J41:$BB41,1)=1),$F19-I19,""))</f>
        <v/>
      </c>
      <c r="K19" s="257"/>
      <c r="L19" s="80" t="s">
        <v>61</v>
      </c>
      <c r="M19" s="86"/>
      <c r="N19" s="89" t="str">
        <f>IF(OR($F19="",M19="",N20=""),"",IF(AND(COUNTIF($J41:$BB41,N41)&gt;1,RANK(N41,$J41:$BB41,1)=1),$F19-M19,""))</f>
        <v/>
      </c>
      <c r="O19" s="257"/>
      <c r="P19" s="80" t="s">
        <v>61</v>
      </c>
      <c r="Q19" s="86">
        <v>52</v>
      </c>
      <c r="R19" s="89" t="str">
        <f>IF(OR($F19="",Q19="",R20=""),"",IF(AND(COUNTIF($J41:$BB41,R41)&gt;1,RANK(R41,$J41:$BB41,1)=1),$F19-Q19,""))</f>
        <v/>
      </c>
      <c r="S19" s="257"/>
      <c r="T19" s="80" t="s">
        <v>61</v>
      </c>
      <c r="U19" s="86">
        <v>58</v>
      </c>
      <c r="V19" s="89" t="str">
        <f>IF(OR($F19="",U19="",V20=""),"",IF(AND(COUNTIF($J41:$BB41,V41)&gt;1,RANK(V41,$J41:$BB41,1)=1),$F19-U19,""))</f>
        <v/>
      </c>
      <c r="W19" s="257"/>
      <c r="X19" s="80" t="s">
        <v>61</v>
      </c>
      <c r="Y19" s="86">
        <v>57</v>
      </c>
      <c r="Z19" s="89" t="str">
        <f>IF(OR($F19="",Y19="",Z20=""),"",IF(AND(COUNTIF($J41:$BB41,Z41)&gt;1,RANK(Z41,$J41:$BB41,1)=1),$F19-Y19,""))</f>
        <v/>
      </c>
      <c r="AA19" s="257"/>
      <c r="AB19" s="80" t="s">
        <v>61</v>
      </c>
      <c r="AC19" s="86">
        <v>38</v>
      </c>
      <c r="AD19" s="89" t="str">
        <f>IF(OR($F19="",AC19="",AD20=""),"",IF(AND(COUNTIF($J41:$BB41,AD41)&gt;1,RANK(AD41,$J41:$BB41,1)=1),$F19-AC19,""))</f>
        <v/>
      </c>
      <c r="AE19" s="257"/>
      <c r="AF19" s="80" t="s">
        <v>61</v>
      </c>
      <c r="AG19" s="86">
        <v>51</v>
      </c>
      <c r="AH19" s="89" t="str">
        <f>IF(OR($F19="",AG19="",AH20=""),"",IF(AND(COUNTIF($J41:$BB41,AH41)&gt;1,RANK(AH41,$J41:$BB41,1)=1),$F19-AG19,""))</f>
        <v/>
      </c>
      <c r="AI19" s="257"/>
      <c r="AJ19" s="80" t="s">
        <v>61</v>
      </c>
      <c r="AK19" s="86">
        <v>54</v>
      </c>
      <c r="AL19" s="89" t="str">
        <f>IF(OR($F19="",AK19="",AL20=""),"",IF(AND(COUNTIF($J41:$BB41,AL41)&gt;1,RANK(AL41,$J41:$BB41,1)=1),$F19-AK19,""))</f>
        <v/>
      </c>
      <c r="AM19" s="257"/>
      <c r="AN19" s="80" t="s">
        <v>61</v>
      </c>
      <c r="AO19" s="86">
        <v>52</v>
      </c>
      <c r="AP19" s="89" t="str">
        <f>IF(OR($F19="",AO19="",AP20=""),"",IF(AND(COUNTIF($J41:$BB41,AP41)&gt;1,RANK(AP41,$J41:$BB41,1)=1),$F19-AO19,""))</f>
        <v/>
      </c>
      <c r="AQ19" s="257"/>
      <c r="AR19" s="80" t="s">
        <v>61</v>
      </c>
      <c r="AS19" s="86">
        <v>52</v>
      </c>
      <c r="AT19" s="89" t="str">
        <f>IF(OR($F19="",AS19="",AT20=""),"",IF(AND(COUNTIF($J41:$BB41,AT41)&gt;1,RANK(AT41,$J41:$BB41,1)=1),$F19-AS19,""))</f>
        <v/>
      </c>
      <c r="AU19" s="257"/>
      <c r="AV19" s="80" t="s">
        <v>61</v>
      </c>
      <c r="AW19" s="86">
        <v>42</v>
      </c>
      <c r="AX19" s="89" t="str">
        <f>IF(OR($F19="",AW19="",AX20=""),"",IF(AND(COUNTIF($J41:$BB41,AX41)&gt;1,RANK(AX41,$J41:$BB41,1)=1),$F19-AW19,""))</f>
        <v/>
      </c>
      <c r="AY19" s="257"/>
      <c r="AZ19" s="80" t="s">
        <v>61</v>
      </c>
      <c r="BA19" s="86">
        <v>52</v>
      </c>
      <c r="BB19" s="90" t="str">
        <f>IF(OR($F19="",BA19="",BB20=""),"",IF(AND(COUNTIF($J41:$BB41,BB41)&gt;1,RANK(BB41,$J41:$BB41,1)=1),$F19-BA19,""))</f>
        <v/>
      </c>
      <c r="BC19" s="124"/>
      <c r="BD19" s="101"/>
      <c r="BE19" s="101"/>
      <c r="BF19" s="101"/>
      <c r="BG19" s="101"/>
      <c r="BH19" s="188"/>
      <c r="BI19" s="78"/>
      <c r="BJ19" s="80" t="s">
        <v>61</v>
      </c>
      <c r="BK19" s="86">
        <f>IF(SUM(I19,M19,Q19,U19,Y19,AC19,AG19,AK19,AO19,AS19,AW19,BA19)=0,"",ROUND(AVERAGE(I19,M19,Q19,U19,Y19,AC19,AG19,AK19,AO19,AS19,AW19,BA19),0))</f>
        <v>51</v>
      </c>
      <c r="BL19" s="90">
        <f>IF(OR($F19="",BK19=""),"",$F19-BK19)</f>
        <v>-1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37" t="str">
        <f>CONCATENATE($DM$5,$G$24,$DN$5)</f>
        <v xml:space="preserve">   "",</v>
      </c>
      <c r="DM19" s="23"/>
      <c r="DN19" s="23"/>
    </row>
    <row r="20" spans="1:124" s="6" customFormat="1" ht="18" customHeight="1" thickBot="1" x14ac:dyDescent="0.25">
      <c r="A20" s="19"/>
      <c r="B20" s="142"/>
      <c r="C20" s="141"/>
      <c r="D20" s="141"/>
      <c r="E20" s="143"/>
      <c r="F20" s="192" t="s">
        <v>77</v>
      </c>
      <c r="G20" s="148"/>
      <c r="H20" s="127" t="s">
        <v>2</v>
      </c>
      <c r="I20" s="128">
        <f>IF(J20="","",IF(OR(RANK(J41,$J41:$BB41,1)&gt;1,AND(RANK(J41,$J41:$BB41,1)=1,COUNTIF($J41:$BB41,J41)=1)),RANK(J41,$J41:$BB41,1),IF(MIN($J62:$BB62)=J62,1,COUNTIF($J62:$BB62,MIN($J62:$BB62))+1)))</f>
        <v>5</v>
      </c>
      <c r="J20" s="247">
        <f>IF(G$2="","",(IF(AND(COUNTBLANK(G15:G18)=0,COUNTBLANK(I15:I18)=0),(SUM(J15:J18))*$BO$20,"")))</f>
        <v>63</v>
      </c>
      <c r="K20" s="126"/>
      <c r="L20" s="127" t="s">
        <v>2</v>
      </c>
      <c r="M20" s="128" t="str">
        <f>IF(N20="","",IF(OR(RANK(N41,$J41:$BB41,1)&gt;1,AND(RANK(N41,$J41:$BB41,1)=1,COUNTIF($J41:$BB41,N41)=1)),RANK(N41,$J41:$BB41,1),IF(MIN($J62:$BB62)=N62,1,COUNTIF($J62:$BB62,MIN($J62:$BB62))+1)))</f>
        <v/>
      </c>
      <c r="N20" s="247" t="str">
        <f>IF(K$2="","",(IF(AND(COUNTBLANK(K15:K18)=0,COUNTBLANK(M15:M18)=0),(SUM(N15:N18))*$BO$20,"")))</f>
        <v/>
      </c>
      <c r="O20" s="126"/>
      <c r="P20" s="127" t="s">
        <v>2</v>
      </c>
      <c r="Q20" s="128">
        <f>IF(R20="","",IF(OR(RANK(R41,$J41:$BB41,1)&gt;1,AND(RANK(R41,$J41:$BB41,1)=1,COUNTIF($J41:$BB41,R41)=1)),RANK(R41,$J41:$BB41,1),IF(MIN($J62:$BB62)=R62,1,COUNTIF($J62:$BB62,MIN($J62:$BB62))+1)))</f>
        <v>5</v>
      </c>
      <c r="R20" s="247">
        <f>IF(O$2="","",(IF(AND(COUNTBLANK(O15:O18)=0,COUNTBLANK(Q15:Q18)=0),(SUM(R15:R18))*$BO$20,"")))</f>
        <v>63</v>
      </c>
      <c r="S20" s="126"/>
      <c r="T20" s="127" t="s">
        <v>2</v>
      </c>
      <c r="U20" s="128">
        <f>IF(V20="","",IF(OR(RANK(V41,$J41:$BB41,1)&gt;1,AND(RANK(V41,$J41:$BB41,1)=1,COUNTIF($J41:$BB41,V41)=1)),RANK(V41,$J41:$BB41,1),IF(MIN($J62:$BB62)=V62,1,COUNTIF($J62:$BB62,MIN($J62:$BB62))+1)))</f>
        <v>10</v>
      </c>
      <c r="V20" s="247">
        <f>IF(S$2="","",(IF(AND(COUNTBLANK(S15:S18)=0,COUNTBLANK(U15:U18)=0),(SUM(V15:V18))*$BO$20,"")))</f>
        <v>67.5</v>
      </c>
      <c r="W20" s="126"/>
      <c r="X20" s="127" t="s">
        <v>2</v>
      </c>
      <c r="Y20" s="128">
        <f>IF(Z20="","",IF(OR(RANK(Z41,$J41:$BB41,1)&gt;1,AND(RANK(Z41,$J41:$BB41,1)=1,COUNTIF($J41:$BB41,Z41)=1)),RANK(Z41,$J41:$BB41,1),IF(MIN($J62:$BB62)=Z62,1,COUNTIF($J62:$BB62,MIN($J62:$BB62))+1)))</f>
        <v>2</v>
      </c>
      <c r="Z20" s="247">
        <f>IF(W$2="","",(IF(AND(COUNTBLANK(W15:W18)=0,COUNTBLANK(Y15:Y18)=0),(SUM(Z15:Z18))*$BO$20,"")))</f>
        <v>51</v>
      </c>
      <c r="AA20" s="126"/>
      <c r="AB20" s="127" t="s">
        <v>2</v>
      </c>
      <c r="AC20" s="128">
        <f>IF(AD20="","",IF(OR(RANK(AD41,$J41:$BB41,1)&gt;1,AND(RANK(AD41,$J41:$BB41,1)=1,COUNTIF($J41:$BB41,AD41)=1)),RANK(AD41,$J41:$BB41,1),IF(MIN($J62:$BB62)=AD62,1,COUNTIF($J62:$BB62,MIN($J62:$BB62))+1)))</f>
        <v>2</v>
      </c>
      <c r="AD20" s="247">
        <f>IF(AA$2="","",(IF(AND(COUNTBLANK(AA15:AA18)=0,COUNTBLANK(AC15:AC18)=0),(SUM(AD15:AD18))*$BO$20,"")))</f>
        <v>51</v>
      </c>
      <c r="AE20" s="126"/>
      <c r="AF20" s="127" t="s">
        <v>2</v>
      </c>
      <c r="AG20" s="128">
        <f>IF(AH20="","",IF(OR(RANK(AH41,$J41:$BB41,1)&gt;1,AND(RANK(AH41,$J41:$BB41,1)=1,COUNTIF($J41:$BB41,AH41)=1)),RANK(AH41,$J41:$BB41,1),IF(MIN($J62:$BB62)=AH62,1,COUNTIF($J62:$BB62,MIN($J62:$BB62))+1)))</f>
        <v>4</v>
      </c>
      <c r="AH20" s="247">
        <f>IF(AE$2="","",(IF(AND(COUNTBLANK(AE15:AE18)=0,COUNTBLANK(AG15:AG18)=0),(SUM(AH15:AH18))*$BO$20,"")))</f>
        <v>57</v>
      </c>
      <c r="AI20" s="126"/>
      <c r="AJ20" s="127" t="s">
        <v>2</v>
      </c>
      <c r="AK20" s="128">
        <f>IF(AL20="","",IF(OR(RANK(AL41,$J41:$BB41,1)&gt;1,AND(RANK(AL41,$J41:$BB41,1)=1,COUNTIF($J41:$BB41,AL41)=1)),RANK(AL41,$J41:$BB41,1),IF(MIN($J62:$BB62)=AL62,1,COUNTIF($J62:$BB62,MIN($J62:$BB62))+1)))</f>
        <v>11</v>
      </c>
      <c r="AL20" s="247">
        <f>IF(AI$2="","",(IF(AND(COUNTBLANK(AI15:AI18)=0,COUNTBLANK(AK15:AK18)=0),(SUM(AL15:AL18))*$BO$20,"")))</f>
        <v>76.5</v>
      </c>
      <c r="AM20" s="126"/>
      <c r="AN20" s="127" t="s">
        <v>2</v>
      </c>
      <c r="AO20" s="128">
        <f>IF(AP20="","",IF(OR(RANK(AP41,$J41:$BB41,1)&gt;1,AND(RANK(AP41,$J41:$BB41,1)=1,COUNTIF($J41:$BB41,AP41)=1)),RANK(AP41,$J41:$BB41,1),IF(MIN($J62:$BB62)=AP62,1,COUNTIF($J62:$BB62,MIN($J62:$BB62))+1)))</f>
        <v>8</v>
      </c>
      <c r="AP20" s="247">
        <f>IF(AM$2="","",(IF(AND(COUNTBLANK(AM15:AM18)=0,COUNTBLANK(AO15:AO18)=0),(SUM(AP15:AP18))*$BO$20,"")))</f>
        <v>64.5</v>
      </c>
      <c r="AQ20" s="126"/>
      <c r="AR20" s="127" t="s">
        <v>2</v>
      </c>
      <c r="AS20" s="128">
        <f>IF(AT20="","",IF(OR(RANK(AT41,$J41:$BB41,1)&gt;1,AND(RANK(AT41,$J41:$BB41,1)=1,COUNTIF($J41:$BB41,AT41)=1)),RANK(AT41,$J41:$BB41,1),IF(MIN($J62:$BB62)=AT62,1,COUNTIF($J62:$BB62,MIN($J62:$BB62))+1)))</f>
        <v>9</v>
      </c>
      <c r="AT20" s="247">
        <f>IF(AQ$2="","",(IF(AND(COUNTBLANK(AQ15:AQ18)=0,COUNTBLANK(AS15:AS18)=0),(SUM(AT15:AT18))*$BO$20,"")))</f>
        <v>66</v>
      </c>
      <c r="AU20" s="126"/>
      <c r="AV20" s="127" t="s">
        <v>2</v>
      </c>
      <c r="AW20" s="128">
        <f>IF(AX20="","",IF(OR(RANK(AX41,$J41:$BB41,1)&gt;1,AND(RANK(AX41,$J41:$BB41,1)=1,COUNTIF($J41:$BB41,AX41)=1)),RANK(AX41,$J41:$BB41,1),IF(MIN($J62:$BB62)=AX62,1,COUNTIF($J62:$BB62,MIN($J62:$BB62))+1)))</f>
        <v>1</v>
      </c>
      <c r="AX20" s="247">
        <f>IF(AU$2="","",(IF(AND(COUNTBLANK(AU15:AU18)=0,COUNTBLANK(AW15:AW18)=0),(SUM(AX15:AX18))*$BO$20,"")))</f>
        <v>42</v>
      </c>
      <c r="AY20" s="131"/>
      <c r="AZ20" s="129" t="s">
        <v>2</v>
      </c>
      <c r="BA20" s="130">
        <f>IF(BB20="","",IF(OR(RANK(BB41,$J41:$BB41,1)&gt;1,AND(RANK(BB41,$J41:$BB41,1)=1,COUNTIF($J41:$BB41,BB41)=1)),RANK(BB41,$J41:$BB41,1),IF(MIN($J62:$BB62)=BB62,1,COUNTIF($J62:$BB62,MIN($J62:$BB62))+1)))</f>
        <v>5</v>
      </c>
      <c r="BB20" s="246">
        <f>IF(AY$2="","",(IF(AND(COUNTBLANK(AY15:AY18)=0,COUNTBLANK(BA15:BA18)=0),(SUM(BB15:BB18))*$BO$20,"")))</f>
        <v>63</v>
      </c>
      <c r="BC20" s="100"/>
      <c r="BD20" s="100"/>
      <c r="BE20" s="100"/>
      <c r="BF20" s="100"/>
      <c r="BG20" s="100"/>
      <c r="BH20" s="188"/>
      <c r="BI20" s="207"/>
      <c r="BJ20" s="129" t="s">
        <v>2</v>
      </c>
      <c r="BK20" s="130">
        <f>IF(BL20="","",RANK(BL41,$J41:$BL41,1))</f>
        <v>5</v>
      </c>
      <c r="BL20" s="246">
        <f>IF(AND(COUNTBLANK(BI15:BI18)=0,COUNTBLANK(BK15:BK18)=0),(SUM(BL15:BL18))*$BO$20,"")</f>
        <v>60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37" t="str">
        <f>CONCATENATE($DM$5,$G$29,$DN$6)</f>
        <v xml:space="preserve">   ""</v>
      </c>
      <c r="DM20" s="23"/>
      <c r="DN20" s="23"/>
    </row>
    <row r="21" spans="1:124" s="6" customFormat="1" ht="8.1" customHeight="1" thickBot="1" x14ac:dyDescent="0.25">
      <c r="A21" s="19"/>
      <c r="B21" s="153"/>
      <c r="C21" s="87"/>
      <c r="D21" s="87"/>
      <c r="E21" s="144"/>
      <c r="F21" s="154"/>
      <c r="G21" s="149"/>
      <c r="H21" s="132"/>
      <c r="I21" s="149"/>
      <c r="J21" s="155"/>
      <c r="K21" s="149"/>
      <c r="L21" s="132"/>
      <c r="M21" s="149"/>
      <c r="N21" s="155"/>
      <c r="O21" s="149"/>
      <c r="P21" s="132"/>
      <c r="Q21" s="149"/>
      <c r="R21" s="155"/>
      <c r="S21" s="149"/>
      <c r="T21" s="132"/>
      <c r="U21" s="149"/>
      <c r="V21" s="155"/>
      <c r="W21" s="149"/>
      <c r="X21" s="132"/>
      <c r="Y21" s="149"/>
      <c r="Z21" s="155"/>
      <c r="AA21" s="149"/>
      <c r="AB21" s="132"/>
      <c r="AC21" s="149"/>
      <c r="AD21" s="155"/>
      <c r="AE21" s="149"/>
      <c r="AF21" s="132"/>
      <c r="AG21" s="149"/>
      <c r="AH21" s="155"/>
      <c r="AI21" s="149"/>
      <c r="AJ21" s="132"/>
      <c r="AK21" s="149"/>
      <c r="AL21" s="155"/>
      <c r="AM21" s="149"/>
      <c r="AN21" s="132"/>
      <c r="AO21" s="149"/>
      <c r="AP21" s="155"/>
      <c r="AQ21" s="149"/>
      <c r="AR21" s="132"/>
      <c r="AS21" s="149"/>
      <c r="AT21" s="155"/>
      <c r="AU21" s="149"/>
      <c r="AV21" s="132"/>
      <c r="AW21" s="149"/>
      <c r="AX21" s="155"/>
      <c r="AY21" s="149"/>
      <c r="AZ21" s="132"/>
      <c r="BA21" s="149"/>
      <c r="BB21" s="133"/>
      <c r="BC21" s="100"/>
      <c r="BD21" s="100"/>
      <c r="BE21" s="100"/>
      <c r="BF21" s="100"/>
      <c r="BG21" s="100"/>
      <c r="BH21" s="189"/>
      <c r="BI21" s="202"/>
      <c r="BJ21" s="132"/>
      <c r="BK21" s="149"/>
      <c r="BL21" s="133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37" t="s">
        <v>28</v>
      </c>
      <c r="DM21" s="23"/>
      <c r="DN21" s="23"/>
    </row>
    <row r="22" spans="1:124" s="6" customFormat="1" ht="18" customHeight="1" thickBot="1" x14ac:dyDescent="0.25">
      <c r="A22" s="19"/>
      <c r="B22" s="287" t="s">
        <v>124</v>
      </c>
      <c r="C22" s="288"/>
      <c r="D22" s="288"/>
      <c r="E22" s="288"/>
      <c r="F22" s="289"/>
      <c r="G22" s="193"/>
      <c r="H22" s="193" t="s">
        <v>126</v>
      </c>
      <c r="I22" s="194"/>
      <c r="J22" s="195" t="s">
        <v>1</v>
      </c>
      <c r="K22" s="196"/>
      <c r="L22" s="193" t="s">
        <v>126</v>
      </c>
      <c r="M22" s="194"/>
      <c r="N22" s="195" t="s">
        <v>1</v>
      </c>
      <c r="O22" s="196"/>
      <c r="P22" s="193" t="s">
        <v>126</v>
      </c>
      <c r="Q22" s="194"/>
      <c r="R22" s="195" t="s">
        <v>1</v>
      </c>
      <c r="S22" s="196"/>
      <c r="T22" s="193" t="s">
        <v>126</v>
      </c>
      <c r="U22" s="194"/>
      <c r="V22" s="195" t="s">
        <v>1</v>
      </c>
      <c r="W22" s="196"/>
      <c r="X22" s="193" t="s">
        <v>126</v>
      </c>
      <c r="Y22" s="194"/>
      <c r="Z22" s="195" t="s">
        <v>1</v>
      </c>
      <c r="AA22" s="196"/>
      <c r="AB22" s="193" t="s">
        <v>126</v>
      </c>
      <c r="AC22" s="194"/>
      <c r="AD22" s="195" t="s">
        <v>1</v>
      </c>
      <c r="AE22" s="196"/>
      <c r="AF22" s="193" t="s">
        <v>126</v>
      </c>
      <c r="AG22" s="194"/>
      <c r="AH22" s="195" t="s">
        <v>1</v>
      </c>
      <c r="AI22" s="196"/>
      <c r="AJ22" s="193" t="s">
        <v>126</v>
      </c>
      <c r="AK22" s="194"/>
      <c r="AL22" s="195" t="s">
        <v>1</v>
      </c>
      <c r="AM22" s="196"/>
      <c r="AN22" s="193" t="s">
        <v>126</v>
      </c>
      <c r="AO22" s="194"/>
      <c r="AP22" s="195" t="s">
        <v>1</v>
      </c>
      <c r="AQ22" s="196"/>
      <c r="AR22" s="193" t="s">
        <v>126</v>
      </c>
      <c r="AS22" s="194"/>
      <c r="AT22" s="195" t="s">
        <v>1</v>
      </c>
      <c r="AU22" s="196"/>
      <c r="AV22" s="193" t="s">
        <v>126</v>
      </c>
      <c r="AW22" s="194"/>
      <c r="AX22" s="195" t="s">
        <v>1</v>
      </c>
      <c r="AY22" s="196"/>
      <c r="AZ22" s="193" t="s">
        <v>126</v>
      </c>
      <c r="BA22" s="194"/>
      <c r="BB22" s="197" t="s">
        <v>1</v>
      </c>
      <c r="BC22" s="100"/>
      <c r="BD22" s="125"/>
      <c r="BE22" s="125"/>
      <c r="BF22" s="125"/>
      <c r="BG22" s="125"/>
      <c r="BH22" s="189"/>
      <c r="BI22" s="203"/>
      <c r="BJ22" s="193" t="s">
        <v>126</v>
      </c>
      <c r="BK22" s="194"/>
      <c r="BL22" s="197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37"/>
      <c r="DM22" s="23"/>
      <c r="DN22" s="23"/>
    </row>
    <row r="23" spans="1:124" s="6" customFormat="1" ht="15" customHeight="1" x14ac:dyDescent="0.2">
      <c r="A23" s="19"/>
      <c r="B23" s="91"/>
      <c r="C23" s="92"/>
      <c r="D23" s="93" t="s">
        <v>3</v>
      </c>
      <c r="E23" s="94"/>
      <c r="F23" s="104"/>
      <c r="G23" s="96"/>
      <c r="H23" s="96" t="s">
        <v>0</v>
      </c>
      <c r="I23" s="97"/>
      <c r="J23" s="98" t="str">
        <f>IF(OR(G$2="",G23="",I23=""),"",IF($BD23="","",IF(G23=$BD23,ABS(I23-$BF23),ABS(I23+$BF23))+IF(G23&lt;&gt;$BD23,$BO$7,0)))</f>
        <v/>
      </c>
      <c r="K23" s="95"/>
      <c r="L23" s="96" t="s">
        <v>0</v>
      </c>
      <c r="M23" s="97"/>
      <c r="N23" s="98" t="str">
        <f>IF(OR(K$2="",K23="",M23=""),"",IF($BD23="","",IF(K23=$BD23,ABS(M23-$BF23),ABS(M23+$BF23))+IF(K23&lt;&gt;$BD23,$BO$7,0)))</f>
        <v/>
      </c>
      <c r="O23" s="95"/>
      <c r="P23" s="96" t="s">
        <v>0</v>
      </c>
      <c r="Q23" s="97"/>
      <c r="R23" s="98" t="str">
        <f>IF(OR(O$2="",O23="",Q23=""),"",IF($BD23="","",IF(O23=$BD23,ABS(Q23-$BF23),ABS(Q23+$BF23))+IF(O23&lt;&gt;$BD23,$BO$7,0)))</f>
        <v/>
      </c>
      <c r="S23" s="95"/>
      <c r="T23" s="96" t="s">
        <v>0</v>
      </c>
      <c r="U23" s="97"/>
      <c r="V23" s="98" t="str">
        <f>IF(OR(S$2="",S23="",U23=""),"",IF($BD23="","",IF(S23=$BD23,ABS(U23-$BF23),ABS(U23+$BF23))+IF(S23&lt;&gt;$BD23,$BO$7,0)))</f>
        <v/>
      </c>
      <c r="W23" s="95"/>
      <c r="X23" s="96" t="s">
        <v>0</v>
      </c>
      <c r="Y23" s="97"/>
      <c r="Z23" s="98" t="str">
        <f>IF(OR(W$2="",W23="",Y23=""),"",IF($BD23="","",IF(W23=$BD23,ABS(Y23-$BF23),ABS(Y23+$BF23))+IF(W23&lt;&gt;$BD23,$BO$7,0)))</f>
        <v/>
      </c>
      <c r="AA23" s="95"/>
      <c r="AB23" s="96" t="s">
        <v>0</v>
      </c>
      <c r="AC23" s="97"/>
      <c r="AD23" s="98" t="str">
        <f>IF(OR(AA$2="",AA23="",AC23=""),"",IF($BD23="","",IF(AA23=$BD23,ABS(AC23-$BF23),ABS(AC23+$BF23))+IF(AA23&lt;&gt;$BD23,$BO$7,0)))</f>
        <v/>
      </c>
      <c r="AE23" s="95"/>
      <c r="AF23" s="96" t="s">
        <v>0</v>
      </c>
      <c r="AG23" s="97"/>
      <c r="AH23" s="98" t="str">
        <f>IF(OR(AE$2="",AE23="",AG23=""),"",IF($BD23="","",IF(AE23=$BD23,ABS(AG23-$BF23),ABS(AG23+$BF23))+IF(AE23&lt;&gt;$BD23,$BO$7,0)))</f>
        <v/>
      </c>
      <c r="AI23" s="95"/>
      <c r="AJ23" s="96" t="s">
        <v>0</v>
      </c>
      <c r="AK23" s="97"/>
      <c r="AL23" s="98" t="str">
        <f>IF(OR(AI$2="",AI23="",AK23=""),"",IF($BD23="","",IF(AI23=$BD23,ABS(AK23-$BF23),ABS(AK23+$BF23))+IF(AI23&lt;&gt;$BD23,$BO$7,0)))</f>
        <v/>
      </c>
      <c r="AM23" s="95"/>
      <c r="AN23" s="96" t="s">
        <v>0</v>
      </c>
      <c r="AO23" s="97"/>
      <c r="AP23" s="98" t="str">
        <f>IF(OR(AM$2="",AM23="",AO23=""),"",IF($BD23="","",IF(AM23=$BD23,ABS(AO23-$BF23),ABS(AO23+$BF23))+IF(AM23&lt;&gt;$BD23,$BO$7,0)))</f>
        <v/>
      </c>
      <c r="AQ23" s="95"/>
      <c r="AR23" s="96" t="s">
        <v>0</v>
      </c>
      <c r="AS23" s="97"/>
      <c r="AT23" s="98" t="str">
        <f>IF(OR(AQ$2="",AQ23="",AS23=""),"",IF($BD23="","",IF(AQ23=$BD23,ABS(AS23-$BF23),ABS(AS23+$BF23))+IF(AQ23&lt;&gt;$BD23,$BO$7,0)))</f>
        <v/>
      </c>
      <c r="AU23" s="95"/>
      <c r="AV23" s="96" t="s">
        <v>0</v>
      </c>
      <c r="AW23" s="97"/>
      <c r="AX23" s="98" t="str">
        <f>IF(OR(AU$2="",AU23="",AW23=""),"",IF($BD23="","",IF(AU23=$BD23,ABS(AW23-$BF23),ABS(AW23+$BF23))+IF(AU23&lt;&gt;$BD23,$BO$7,0)))</f>
        <v/>
      </c>
      <c r="AY23" s="95"/>
      <c r="AZ23" s="96" t="s">
        <v>0</v>
      </c>
      <c r="BA23" s="97"/>
      <c r="BB23" s="105" t="str">
        <f>IF(OR(AY$2="",AY23="",BA23=""),"",IF($BD23="","",IF(AY23=$BD23,ABS(BA23-$BF23),ABS(BA23+$BF23))+IF(AY23&lt;&gt;$BD23,$BO$7,0)))</f>
        <v/>
      </c>
      <c r="BC23" s="100"/>
      <c r="BD23" s="101" t="str">
        <f t="shared" ref="BD23:BD24" si="24">IF(OR(B23="",F23="",B23=F23),"",IF(B23&gt;F23,"V","H"))</f>
        <v/>
      </c>
      <c r="BE23" s="101" t="s">
        <v>0</v>
      </c>
      <c r="BF23" s="101" t="str">
        <f t="shared" ref="BF23:BF24" si="25">IF(OR(B23="",F23="",B23=F23),"",ABS(B23-F23))</f>
        <v/>
      </c>
      <c r="BG23" s="101"/>
      <c r="BH23" s="187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0</v>
      </c>
      <c r="BI23" s="204" t="str">
        <f t="shared" ref="BI23:BI24" si="27">IF(COUNTA(G23,K23,O23,S23,W23,AA23,AE23,AI23,AM23,AQ23,AU23,AY23)&gt;0,IF(BH23&lt;0,"V","H"),"")</f>
        <v/>
      </c>
      <c r="BJ23" s="102" t="s">
        <v>0</v>
      </c>
      <c r="BK23" s="103" t="str">
        <f t="shared" ref="BK23:BK24" si="28">IF(BI23="","",IF(ABS(BH23)&lt;(COUNTA(G23,K23,O23,S23,W23,AA23,AE23,AI23,AM23,AQ23,AU23,AY23)/2),1,ROUND(ABS(BH23)/COUNTA(G23,K23,O23,S23,W23,AA23,AE23,AI23,AM23,AQ23,AU23,AY23),0)))</f>
        <v/>
      </c>
      <c r="BL23" s="105" t="str">
        <f>IF(OR(BI23="",BK23=""),"",IF($BD23="","",IF(BI23=$BD23,ABS(BK23-$BF23),ABS(BK23+$BF23))+IF(BI23&lt;&gt;$BD23,$BO$7,0)))</f>
        <v/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37" t="s">
        <v>29</v>
      </c>
      <c r="DM23" s="23"/>
      <c r="DN23" s="23"/>
    </row>
    <row r="24" spans="1:124" s="6" customFormat="1" ht="15" customHeight="1" x14ac:dyDescent="0.2">
      <c r="A24" s="19"/>
      <c r="B24" s="107"/>
      <c r="C24" s="108"/>
      <c r="D24" s="109" t="s">
        <v>3</v>
      </c>
      <c r="E24" s="110"/>
      <c r="F24" s="111"/>
      <c r="G24" s="108"/>
      <c r="H24" s="108" t="s">
        <v>0</v>
      </c>
      <c r="I24" s="113"/>
      <c r="J24" s="114" t="str">
        <f>IF(OR(G$2="",G24="",I24=""),"",IF($BD24="","",IF(G24=$BD24,ABS(I24-$BF24),ABS(I24+$BF24))+IF(G24&lt;&gt;$BD24,$BO$7,0)))</f>
        <v/>
      </c>
      <c r="K24" s="112"/>
      <c r="L24" s="108" t="s">
        <v>0</v>
      </c>
      <c r="M24" s="113"/>
      <c r="N24" s="114" t="str">
        <f>IF(OR(K$2="",K24="",M24=""),"",IF($BD24="","",IF(K24=$BD24,ABS(M24-$BF24),ABS(M24+$BF24))+IF(K24&lt;&gt;$BD24,$BO$7,0)))</f>
        <v/>
      </c>
      <c r="O24" s="112"/>
      <c r="P24" s="108" t="s">
        <v>0</v>
      </c>
      <c r="Q24" s="113"/>
      <c r="R24" s="114" t="str">
        <f>IF(OR(O$2="",O24="",Q24=""),"",IF($BD24="","",IF(O24=$BD24,ABS(Q24-$BF24),ABS(Q24+$BF24))+IF(O24&lt;&gt;$BD24,$BO$7,0)))</f>
        <v/>
      </c>
      <c r="S24" s="112"/>
      <c r="T24" s="108" t="s">
        <v>0</v>
      </c>
      <c r="U24" s="113"/>
      <c r="V24" s="114" t="str">
        <f>IF(OR(S$2="",S24="",U24=""),"",IF($BD24="","",IF(S24=$BD24,ABS(U24-$BF24),ABS(U24+$BF24))+IF(S24&lt;&gt;$BD24,$BO$7,0)))</f>
        <v/>
      </c>
      <c r="W24" s="112"/>
      <c r="X24" s="108" t="s">
        <v>0</v>
      </c>
      <c r="Y24" s="113"/>
      <c r="Z24" s="114" t="str">
        <f>IF(OR(W$2="",W24="",Y24=""),"",IF($BD24="","",IF(W24=$BD24,ABS(Y24-$BF24),ABS(Y24+$BF24))+IF(W24&lt;&gt;$BD24,$BO$7,0)))</f>
        <v/>
      </c>
      <c r="AA24" s="112"/>
      <c r="AB24" s="108" t="s">
        <v>0</v>
      </c>
      <c r="AC24" s="113"/>
      <c r="AD24" s="114" t="str">
        <f>IF(OR(AA$2="",AA24="",AC24=""),"",IF($BD24="","",IF(AA24=$BD24,ABS(AC24-$BF24),ABS(AC24+$BF24))+IF(AA24&lt;&gt;$BD24,$BO$7,0)))</f>
        <v/>
      </c>
      <c r="AE24" s="112"/>
      <c r="AF24" s="108" t="s">
        <v>0</v>
      </c>
      <c r="AG24" s="113"/>
      <c r="AH24" s="114" t="str">
        <f>IF(OR(AE$2="",AE24="",AG24=""),"",IF($BD24="","",IF(AE24=$BD24,ABS(AG24-$BF24),ABS(AG24+$BF24))+IF(AE24&lt;&gt;$BD24,$BO$7,0)))</f>
        <v/>
      </c>
      <c r="AI24" s="112"/>
      <c r="AJ24" s="108" t="s">
        <v>0</v>
      </c>
      <c r="AK24" s="113"/>
      <c r="AL24" s="114" t="str">
        <f>IF(OR(AI$2="",AI24="",AK24=""),"",IF($BD24="","",IF(AI24=$BD24,ABS(AK24-$BF24),ABS(AK24+$BF24))+IF(AI24&lt;&gt;$BD24,$BO$7,0)))</f>
        <v/>
      </c>
      <c r="AM24" s="112"/>
      <c r="AN24" s="108" t="s">
        <v>0</v>
      </c>
      <c r="AO24" s="113"/>
      <c r="AP24" s="114" t="str">
        <f>IF(OR(AM$2="",AM24="",AO24=""),"",IF($BD24="","",IF(AM24=$BD24,ABS(AO24-$BF24),ABS(AO24+$BF24))+IF(AM24&lt;&gt;$BD24,$BO$7,0)))</f>
        <v/>
      </c>
      <c r="AQ24" s="112"/>
      <c r="AR24" s="108" t="s">
        <v>0</v>
      </c>
      <c r="AS24" s="113"/>
      <c r="AT24" s="114" t="str">
        <f>IF(OR(AQ$2="",AQ24="",AS24=""),"",IF($BD24="","",IF(AQ24=$BD24,ABS(AS24-$BF24),ABS(AS24+$BF24))+IF(AQ24&lt;&gt;$BD24,$BO$7,0)))</f>
        <v/>
      </c>
      <c r="AU24" s="112"/>
      <c r="AV24" s="108" t="s">
        <v>0</v>
      </c>
      <c r="AW24" s="113"/>
      <c r="AX24" s="114" t="str">
        <f>IF(OR(AU$2="",AU24="",AW24=""),"",IF($BD24="","",IF(AU24=$BD24,ABS(AW24-$BF24),ABS(AW24+$BF24))+IF(AU24&lt;&gt;$BD24,$BO$7,0)))</f>
        <v/>
      </c>
      <c r="AY24" s="112"/>
      <c r="AZ24" s="108" t="s">
        <v>0</v>
      </c>
      <c r="BA24" s="113"/>
      <c r="BB24" s="115" t="str">
        <f>IF(OR(AY$2="",AY24="",BA24=""),"",IF($BD24="","",IF(AY24=$BD24,ABS(BA24-$BF24),ABS(BA24+$BF24))+IF(AY24&lt;&gt;$BD24,$BO$7,0)))</f>
        <v/>
      </c>
      <c r="BC24" s="100"/>
      <c r="BD24" s="101" t="str">
        <f t="shared" si="24"/>
        <v/>
      </c>
      <c r="BE24" s="101" t="s">
        <v>0</v>
      </c>
      <c r="BF24" s="101" t="str">
        <f t="shared" si="25"/>
        <v/>
      </c>
      <c r="BG24" s="101"/>
      <c r="BH24" s="187">
        <f t="shared" si="26"/>
        <v>0</v>
      </c>
      <c r="BI24" s="205" t="str">
        <f t="shared" si="27"/>
        <v/>
      </c>
      <c r="BJ24" s="109" t="s">
        <v>0</v>
      </c>
      <c r="BK24" s="116" t="str">
        <f t="shared" si="28"/>
        <v/>
      </c>
      <c r="BL24" s="115" t="str">
        <f>IF(OR(BI24="",BK24=""),"",IF($BD24="","",IF(BI24=$BD24,ABS(BK24-$BF24),ABS(BK24+$BF24))+IF(BI24&lt;&gt;$BD24,$BO$7,0)))</f>
        <v/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37" t="str">
        <f>CONCATENATE($DM$5,$I$5,$DN$5)</f>
        <v xml:space="preserve">   "9",</v>
      </c>
      <c r="DM24" s="23"/>
      <c r="DN24" s="23"/>
    </row>
    <row r="25" spans="1:124" s="6" customFormat="1" ht="12" customHeight="1" x14ac:dyDescent="0.2">
      <c r="A25" s="19"/>
      <c r="B25" s="78"/>
      <c r="C25" s="79"/>
      <c r="D25" s="80"/>
      <c r="E25" s="81" t="s">
        <v>97</v>
      </c>
      <c r="F25" s="82" t="str">
        <f>IF(SUM(B24,F24)=0,"",SUM(B24,F24))</f>
        <v/>
      </c>
      <c r="G25" s="147"/>
      <c r="H25" s="84" t="s">
        <v>61</v>
      </c>
      <c r="I25" s="85"/>
      <c r="J25" s="89" t="str">
        <f>IF(OR($F25="",I25="",J26=""),"",IF(AND(COUNTIF($J43:$BB43,J43)&gt;1,RANK(J43,$J43:$BB43,1)=1),$F25-I25,""))</f>
        <v/>
      </c>
      <c r="K25" s="83"/>
      <c r="L25" s="84" t="s">
        <v>61</v>
      </c>
      <c r="M25" s="85"/>
      <c r="N25" s="89" t="str">
        <f>IF(OR($F25="",M25="",N26=""),"",IF(AND(COUNTIF($J43:$BB43,N43)&gt;1,RANK(N43,$J43:$BB43,1)=1),$F25-M25,""))</f>
        <v/>
      </c>
      <c r="O25" s="83"/>
      <c r="P25" s="84" t="s">
        <v>61</v>
      </c>
      <c r="Q25" s="85"/>
      <c r="R25" s="89" t="str">
        <f>IF(OR($F25="",Q25="",R26=""),"",IF(AND(COUNTIF($J43:$BB43,R43)&gt;1,RANK(R43,$J43:$BB43,1)=1),$F25-Q25,""))</f>
        <v/>
      </c>
      <c r="S25" s="83"/>
      <c r="T25" s="84" t="s">
        <v>61</v>
      </c>
      <c r="U25" s="85"/>
      <c r="V25" s="89" t="str">
        <f>IF(OR($F25="",U25="",V26=""),"",IF(AND(COUNTIF($J43:$BB43,V43)&gt;1,RANK(V43,$J43:$BB43,1)=1),$F25-U25,""))</f>
        <v/>
      </c>
      <c r="W25" s="83"/>
      <c r="X25" s="84" t="s">
        <v>61</v>
      </c>
      <c r="Y25" s="85"/>
      <c r="Z25" s="89" t="str">
        <f>IF(OR($F25="",Y25="",Z26=""),"",IF(AND(COUNTIF($J43:$BB43,Z43)&gt;1,RANK(Z43,$J43:$BB43,1)=1),$F25-Y25,""))</f>
        <v/>
      </c>
      <c r="AA25" s="83"/>
      <c r="AB25" s="84" t="s">
        <v>61</v>
      </c>
      <c r="AC25" s="85"/>
      <c r="AD25" s="89" t="str">
        <f>IF(OR($F25="",AC25="",AD26=""),"",IF(AND(COUNTIF($J43:$BB43,AD43)&gt;1,RANK(AD43,$J43:$BB43,1)=1),$F25-AC25,""))</f>
        <v/>
      </c>
      <c r="AE25" s="83"/>
      <c r="AF25" s="84" t="s">
        <v>61</v>
      </c>
      <c r="AG25" s="85"/>
      <c r="AH25" s="89" t="str">
        <f>IF(OR($F25="",AG25="",AH26=""),"",IF(AND(COUNTIF($J43:$BB43,AH43)&gt;1,RANK(AH43,$J43:$BB43,1)=1),$F25-AG25,""))</f>
        <v/>
      </c>
      <c r="AI25" s="83"/>
      <c r="AJ25" s="84" t="s">
        <v>61</v>
      </c>
      <c r="AK25" s="85"/>
      <c r="AL25" s="89" t="str">
        <f>IF(OR($F25="",AK25="",AL26=""),"",IF(AND(COUNTIF($J43:$BB43,AL43)&gt;1,RANK(AL43,$J43:$BB43,1)=1),$F25-AK25,""))</f>
        <v/>
      </c>
      <c r="AM25" s="83"/>
      <c r="AN25" s="84" t="s">
        <v>61</v>
      </c>
      <c r="AO25" s="85"/>
      <c r="AP25" s="89" t="str">
        <f>IF(OR($F25="",AO25="",AP26=""),"",IF(AND(COUNTIF($J43:$BB43,AP43)&gt;1,RANK(AP43,$J43:$BB43,1)=1),$F25-AO25,""))</f>
        <v/>
      </c>
      <c r="AQ25" s="83"/>
      <c r="AR25" s="84" t="s">
        <v>61</v>
      </c>
      <c r="AS25" s="85"/>
      <c r="AT25" s="89" t="str">
        <f>IF(OR($F25="",AS25="",AT26=""),"",IF(AND(COUNTIF($J43:$BB43,AT43)&gt;1,RANK(AT43,$J43:$BB43,1)=1),$F25-AS25,""))</f>
        <v/>
      </c>
      <c r="AU25" s="83"/>
      <c r="AV25" s="84" t="s">
        <v>61</v>
      </c>
      <c r="AW25" s="85"/>
      <c r="AX25" s="89" t="str">
        <f>IF(OR($F25="",AW25="",AX26=""),"",IF(AND(COUNTIF($J43:$BB43,AX43)&gt;1,RANK(AX43,$J43:$BB43,1)=1),$F25-AW25,""))</f>
        <v/>
      </c>
      <c r="AY25" s="83"/>
      <c r="AZ25" s="84" t="s">
        <v>61</v>
      </c>
      <c r="BA25" s="85"/>
      <c r="BB25" s="90" t="str">
        <f>IF(OR($F25="",BA25="",BB26=""),"",IF(AND(COUNTIF($J43:$BB43,BB43)&gt;1,RANK(BB43,$J43:$BB43,1)=1),$F25-BA25,""))</f>
        <v/>
      </c>
      <c r="BC25" s="100"/>
      <c r="BD25" s="101"/>
      <c r="BE25" s="101"/>
      <c r="BF25" s="101"/>
      <c r="BG25" s="101"/>
      <c r="BH25" s="188"/>
      <c r="BI25" s="78"/>
      <c r="BJ25" s="80" t="s">
        <v>61</v>
      </c>
      <c r="BK25" s="86" t="str">
        <f>IF(SUM(I25,M25,Q25,U25,Y25,AC25,AG25,AK25,AO25,AS25,AW25,BA25)=0,"",ROUND(AVERAGE(I25,M25,Q25,U25,Y25,AC25,AG25,AK25,AO25,AS25,AW25,BA25),0))</f>
        <v/>
      </c>
      <c r="BL25" s="90" t="str">
        <f>IF(OR($F25="",BK25=""),"",$F25-BK25)</f>
        <v/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37" t="str">
        <f>CONCATENATE($DM$5,$I$6,$DN$5)</f>
        <v xml:space="preserve">   "2",</v>
      </c>
      <c r="DM25" s="23"/>
      <c r="DN25" s="23"/>
    </row>
    <row r="26" spans="1:124" s="6" customFormat="1" ht="18" customHeight="1" thickBot="1" x14ac:dyDescent="0.25">
      <c r="A26" s="19"/>
      <c r="B26" s="142"/>
      <c r="C26" s="141"/>
      <c r="D26" s="141"/>
      <c r="E26" s="143"/>
      <c r="F26" s="192" t="s">
        <v>79</v>
      </c>
      <c r="G26" s="148"/>
      <c r="H26" s="127" t="s">
        <v>2</v>
      </c>
      <c r="I26" s="128" t="str">
        <f>IF(J26="","",IF(OR(RANK(J43,$J43:$BB43,1)&gt;1,AND(RANK(J43,$J43:$BB43,1)=1,COUNTIF($J43:$BB43,J43)=1)),RANK(J43,$J43:$BB43,1),IF(MIN($J63:$BB63)=J63,1,COUNTIF($J63:$BB63,MIN($J63:$BB63))+1)))</f>
        <v/>
      </c>
      <c r="J26" s="247" t="str">
        <f>IF(G$2="","",(IF(AND(COUNTBLANK(G23:G24)=0,COUNTBLANK(I23:I24)=0),(SUM(J23:J24))*$BO$26,"")))</f>
        <v/>
      </c>
      <c r="K26" s="126"/>
      <c r="L26" s="127" t="s">
        <v>2</v>
      </c>
      <c r="M26" s="128" t="str">
        <f>IF(N26="","",IF(OR(RANK(N43,$J43:$BB43,1)&gt;1,AND(RANK(N43,$J43:$BB43,1)=1,COUNTIF($J43:$BB43,N43)=1)),RANK(N43,$J43:$BB43,1),IF(MIN($J63:$BB63)=N63,1,COUNTIF($J63:$BB63,MIN($J63:$BB63))+1)))</f>
        <v/>
      </c>
      <c r="N26" s="247" t="str">
        <f>IF(K$2="","",(IF(AND(COUNTBLANK(K23:K24)=0,COUNTBLANK(M23:M24)=0),(SUM(N23:N24))*$BO$26,"")))</f>
        <v/>
      </c>
      <c r="O26" s="126"/>
      <c r="P26" s="127" t="s">
        <v>2</v>
      </c>
      <c r="Q26" s="128" t="str">
        <f>IF(R26="","",IF(OR(RANK(R43,$J43:$BB43,1)&gt;1,AND(RANK(R43,$J43:$BB43,1)=1,COUNTIF($J43:$BB43,R43)=1)),RANK(R43,$J43:$BB43,1),IF(MIN($J63:$BB63)=R63,1,COUNTIF($J63:$BB63,MIN($J63:$BB63))+1)))</f>
        <v/>
      </c>
      <c r="R26" s="247" t="str">
        <f>IF(O$2="","",(IF(AND(COUNTBLANK(O23:O24)=0,COUNTBLANK(Q23:Q24)=0),(SUM(R23:R24))*$BO$26,"")))</f>
        <v/>
      </c>
      <c r="S26" s="126"/>
      <c r="T26" s="127" t="s">
        <v>2</v>
      </c>
      <c r="U26" s="128" t="str">
        <f>IF(V26="","",IF(OR(RANK(V43,$J43:$BB43,1)&gt;1,AND(RANK(V43,$J43:$BB43,1)=1,COUNTIF($J43:$BB43,V43)=1)),RANK(V43,$J43:$BB43,1),IF(MIN($J63:$BB63)=V63,1,COUNTIF($J63:$BB63,MIN($J63:$BB63))+1)))</f>
        <v/>
      </c>
      <c r="V26" s="247" t="str">
        <f>IF(S$2="","",(IF(AND(COUNTBLANK(S23:S24)=0,COUNTBLANK(U23:U24)=0),(SUM(V23:V24))*$BO$26,"")))</f>
        <v/>
      </c>
      <c r="W26" s="126"/>
      <c r="X26" s="127" t="s">
        <v>2</v>
      </c>
      <c r="Y26" s="128" t="str">
        <f>IF(Z26="","",IF(OR(RANK(Z43,$J43:$BB43,1)&gt;1,AND(RANK(Z43,$J43:$BB43,1)=1,COUNTIF($J43:$BB43,Z43)=1)),RANK(Z43,$J43:$BB43,1),IF(MIN($J63:$BB63)=Z63,1,COUNTIF($J63:$BB63,MIN($J63:$BB63))+1)))</f>
        <v/>
      </c>
      <c r="Z26" s="247" t="str">
        <f>IF(W$2="","",(IF(AND(COUNTBLANK(W23:W24)=0,COUNTBLANK(Y23:Y24)=0),(SUM(Z23:Z24))*$BO$26,"")))</f>
        <v/>
      </c>
      <c r="AA26" s="126"/>
      <c r="AB26" s="127" t="s">
        <v>2</v>
      </c>
      <c r="AC26" s="128" t="str">
        <f>IF(AD26="","",IF(OR(RANK(AD43,$J43:$BB43,1)&gt;1,AND(RANK(AD43,$J43:$BB43,1)=1,COUNTIF($J43:$BB43,AD43)=1)),RANK(AD43,$J43:$BB43,1),IF(MIN($J63:$BB63)=AD63,1,COUNTIF($J63:$BB63,MIN($J63:$BB63))+1)))</f>
        <v/>
      </c>
      <c r="AD26" s="247" t="str">
        <f>IF(AA$2="","",(IF(AND(COUNTBLANK(AA23:AA24)=0,COUNTBLANK(AC23:AC24)=0),(SUM(AD23:AD24))*$BO$26,"")))</f>
        <v/>
      </c>
      <c r="AE26" s="126"/>
      <c r="AF26" s="127" t="s">
        <v>2</v>
      </c>
      <c r="AG26" s="128" t="str">
        <f>IF(AH26="","",IF(OR(RANK(AH43,$J43:$BB43,1)&gt;1,AND(RANK(AH43,$J43:$BB43,1)=1,COUNTIF($J43:$BB43,AH43)=1)),RANK(AH43,$J43:$BB43,1),IF(MIN($J63:$BB63)=AH63,1,COUNTIF($J63:$BB63,MIN($J63:$BB63))+1)))</f>
        <v/>
      </c>
      <c r="AH26" s="247" t="str">
        <f>IF(AE$2="","",(IF(AND(COUNTBLANK(AE23:AE24)=0,COUNTBLANK(AG23:AG24)=0),(SUM(AH23:AH24))*$BO$26,"")))</f>
        <v/>
      </c>
      <c r="AI26" s="126"/>
      <c r="AJ26" s="127" t="s">
        <v>2</v>
      </c>
      <c r="AK26" s="128" t="str">
        <f>IF(AL26="","",IF(OR(RANK(AL43,$J43:$BB43,1)&gt;1,AND(RANK(AL43,$J43:$BB43,1)=1,COUNTIF($J43:$BB43,AL43)=1)),RANK(AL43,$J43:$BB43,1),IF(MIN($J63:$BB63)=AL63,1,COUNTIF($J63:$BB63,MIN($J63:$BB63))+1)))</f>
        <v/>
      </c>
      <c r="AL26" s="247" t="str">
        <f>IF(AI$2="","",(IF(AND(COUNTBLANK(AI23:AI24)=0,COUNTBLANK(AK23:AK24)=0),(SUM(AL23:AL24))*$BO$26,"")))</f>
        <v/>
      </c>
      <c r="AM26" s="126"/>
      <c r="AN26" s="127" t="s">
        <v>2</v>
      </c>
      <c r="AO26" s="128" t="str">
        <f>IF(AP26="","",IF(OR(RANK(AP43,$J43:$BB43,1)&gt;1,AND(RANK(AP43,$J43:$BB43,1)=1,COUNTIF($J43:$BB43,AP43)=1)),RANK(AP43,$J43:$BB43,1),IF(MIN($J63:$BB63)=AP63,1,COUNTIF($J63:$BB63,MIN($J63:$BB63))+1)))</f>
        <v/>
      </c>
      <c r="AP26" s="247" t="str">
        <f>IF(AM$2="","",(IF(AND(COUNTBLANK(AM23:AM24)=0,COUNTBLANK(AO23:AO24)=0),(SUM(AP23:AP24))*$BO$26,"")))</f>
        <v/>
      </c>
      <c r="AQ26" s="126"/>
      <c r="AR26" s="127" t="s">
        <v>2</v>
      </c>
      <c r="AS26" s="128" t="str">
        <f>IF(AT26="","",IF(OR(RANK(AT43,$J43:$BB43,1)&gt;1,AND(RANK(AT43,$J43:$BB43,1)=1,COUNTIF($J43:$BB43,AT43)=1)),RANK(AT43,$J43:$BB43,1),IF(MIN($J63:$BB63)=AT63,1,COUNTIF($J63:$BB63,MIN($J63:$BB63))+1)))</f>
        <v/>
      </c>
      <c r="AT26" s="247" t="str">
        <f>IF(AQ$2="","",(IF(AND(COUNTBLANK(AQ23:AQ24)=0,COUNTBLANK(AS23:AS24)=0),(SUM(AT23:AT24))*$BO$26,"")))</f>
        <v/>
      </c>
      <c r="AU26" s="126"/>
      <c r="AV26" s="127" t="s">
        <v>2</v>
      </c>
      <c r="AW26" s="128" t="str">
        <f>IF(AX26="","",IF(OR(RANK(AX43,$J43:$BB43,1)&gt;1,AND(RANK(AX43,$J43:$BB43,1)=1,COUNTIF($J43:$BB43,AX43)=1)),RANK(AX43,$J43:$BB43,1),IF(MIN($J63:$BB63)=AX63,1,COUNTIF($J63:$BB63,MIN($J63:$BB63))+1)))</f>
        <v/>
      </c>
      <c r="AX26" s="247" t="str">
        <f>IF(AU$2="","",(IF(AND(COUNTBLANK(AU23:AU24)=0,COUNTBLANK(AW23:AW24)=0),(SUM(AX23:AX24))*$BO$26,"")))</f>
        <v/>
      </c>
      <c r="AY26" s="131"/>
      <c r="AZ26" s="129" t="s">
        <v>2</v>
      </c>
      <c r="BA26" s="130" t="str">
        <f>IF(BB26="","",IF(OR(RANK(BB43,$J43:$BB43,1)&gt;1,AND(RANK(BB43,$J43:$BB43,1)=1,COUNTIF($J43:$BB43,BB43)=1)),RANK(BB43,$J43:$BB43,1),IF(MIN($J63:$BB63)=BB63,1,COUNTIF($J63:$BB63,MIN($J63:$BB63))+1)))</f>
        <v/>
      </c>
      <c r="BB26" s="246" t="str">
        <f>IF(AY$2="","",(IF(AND(COUNTBLANK(AY23:AY24)=0,COUNTBLANK(BA23:BA24)=0),(SUM(BB23:BB24))*$BO$26,"")))</f>
        <v/>
      </c>
      <c r="BC26" s="100"/>
      <c r="BD26" s="100"/>
      <c r="BE26" s="100"/>
      <c r="BF26" s="100"/>
      <c r="BG26" s="100"/>
      <c r="BH26" s="188"/>
      <c r="BI26" s="207"/>
      <c r="BJ26" s="129" t="s">
        <v>2</v>
      </c>
      <c r="BK26" s="130" t="str">
        <f>IF(BL26="","",RANK(BL43,$J43:$BL43,1))</f>
        <v/>
      </c>
      <c r="BL26" s="246" t="str">
        <f>IF(AND(COUNTBLANK(BI23:BI24)=0,COUNTBLANK(BK23:BK24)=0),(SUM(BL23:BL24))*$BO$26,"")</f>
        <v/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37" t="str">
        <f>CONCATENATE($DM$5,$I$7,$DN$5)</f>
        <v xml:space="preserve">   "7",</v>
      </c>
      <c r="DM26" s="23"/>
      <c r="DN26" s="23"/>
    </row>
    <row r="27" spans="1:124" s="6" customFormat="1" ht="8.1" customHeight="1" thickBot="1" x14ac:dyDescent="0.25">
      <c r="B27" s="153"/>
      <c r="C27" s="87"/>
      <c r="D27" s="87"/>
      <c r="E27" s="144"/>
      <c r="F27" s="154"/>
      <c r="G27" s="149"/>
      <c r="H27" s="132"/>
      <c r="I27" s="149"/>
      <c r="J27" s="155"/>
      <c r="K27" s="149"/>
      <c r="L27" s="132"/>
      <c r="M27" s="149"/>
      <c r="N27" s="155"/>
      <c r="O27" s="149"/>
      <c r="P27" s="132"/>
      <c r="Q27" s="149"/>
      <c r="R27" s="155"/>
      <c r="S27" s="149"/>
      <c r="T27" s="132"/>
      <c r="U27" s="149"/>
      <c r="V27" s="155"/>
      <c r="W27" s="149"/>
      <c r="X27" s="132"/>
      <c r="Y27" s="149"/>
      <c r="Z27" s="155"/>
      <c r="AA27" s="149"/>
      <c r="AB27" s="132"/>
      <c r="AC27" s="149"/>
      <c r="AD27" s="155"/>
      <c r="AE27" s="149"/>
      <c r="AF27" s="132"/>
      <c r="AG27" s="149"/>
      <c r="AH27" s="155"/>
      <c r="AI27" s="149"/>
      <c r="AJ27" s="132"/>
      <c r="AK27" s="149"/>
      <c r="AL27" s="155"/>
      <c r="AM27" s="149"/>
      <c r="AN27" s="132"/>
      <c r="AO27" s="149"/>
      <c r="AP27" s="155"/>
      <c r="AQ27" s="149"/>
      <c r="AR27" s="132"/>
      <c r="AS27" s="149"/>
      <c r="AT27" s="155"/>
      <c r="AU27" s="149"/>
      <c r="AV27" s="132"/>
      <c r="AW27" s="149"/>
      <c r="AX27" s="155"/>
      <c r="AY27" s="149"/>
      <c r="AZ27" s="132"/>
      <c r="BA27" s="149"/>
      <c r="BB27" s="133"/>
      <c r="BC27" s="100"/>
      <c r="BD27" s="100"/>
      <c r="BE27" s="100"/>
      <c r="BF27" s="100"/>
      <c r="BG27" s="100"/>
      <c r="BH27" s="189"/>
      <c r="BI27" s="202"/>
      <c r="BJ27" s="132"/>
      <c r="BK27" s="149"/>
      <c r="BL27" s="133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37" t="str">
        <f>CONCATENATE($DM$5,$I$8,$DN$5)</f>
        <v xml:space="preserve">   "6",</v>
      </c>
      <c r="DM27" s="23"/>
      <c r="DN27" s="23"/>
    </row>
    <row r="28" spans="1:124" s="6" customFormat="1" ht="18" customHeight="1" thickBot="1" x14ac:dyDescent="0.25">
      <c r="A28" s="19"/>
      <c r="B28" s="287" t="s">
        <v>125</v>
      </c>
      <c r="C28" s="288"/>
      <c r="D28" s="288"/>
      <c r="E28" s="288"/>
      <c r="F28" s="289"/>
      <c r="G28" s="193"/>
      <c r="H28" s="193" t="s">
        <v>126</v>
      </c>
      <c r="I28" s="194"/>
      <c r="J28" s="195" t="s">
        <v>1</v>
      </c>
      <c r="K28" s="196"/>
      <c r="L28" s="193" t="s">
        <v>126</v>
      </c>
      <c r="M28" s="194"/>
      <c r="N28" s="195" t="s">
        <v>1</v>
      </c>
      <c r="O28" s="196"/>
      <c r="P28" s="193" t="s">
        <v>126</v>
      </c>
      <c r="Q28" s="194"/>
      <c r="R28" s="195" t="s">
        <v>1</v>
      </c>
      <c r="S28" s="196"/>
      <c r="T28" s="193" t="s">
        <v>126</v>
      </c>
      <c r="U28" s="194"/>
      <c r="V28" s="195" t="s">
        <v>1</v>
      </c>
      <c r="W28" s="196"/>
      <c r="X28" s="193" t="s">
        <v>126</v>
      </c>
      <c r="Y28" s="194"/>
      <c r="Z28" s="195" t="s">
        <v>1</v>
      </c>
      <c r="AA28" s="196"/>
      <c r="AB28" s="193" t="s">
        <v>126</v>
      </c>
      <c r="AC28" s="194"/>
      <c r="AD28" s="195" t="s">
        <v>1</v>
      </c>
      <c r="AE28" s="196"/>
      <c r="AF28" s="193" t="s">
        <v>126</v>
      </c>
      <c r="AG28" s="194"/>
      <c r="AH28" s="195" t="s">
        <v>1</v>
      </c>
      <c r="AI28" s="196"/>
      <c r="AJ28" s="193" t="s">
        <v>126</v>
      </c>
      <c r="AK28" s="194"/>
      <c r="AL28" s="195" t="s">
        <v>1</v>
      </c>
      <c r="AM28" s="196"/>
      <c r="AN28" s="193" t="s">
        <v>126</v>
      </c>
      <c r="AO28" s="194"/>
      <c r="AP28" s="195" t="s">
        <v>1</v>
      </c>
      <c r="AQ28" s="196"/>
      <c r="AR28" s="193" t="s">
        <v>126</v>
      </c>
      <c r="AS28" s="194"/>
      <c r="AT28" s="195" t="s">
        <v>1</v>
      </c>
      <c r="AU28" s="196"/>
      <c r="AV28" s="193" t="s">
        <v>126</v>
      </c>
      <c r="AW28" s="194"/>
      <c r="AX28" s="195" t="s">
        <v>1</v>
      </c>
      <c r="AY28" s="196"/>
      <c r="AZ28" s="193" t="s">
        <v>126</v>
      </c>
      <c r="BA28" s="194"/>
      <c r="BB28" s="197" t="s">
        <v>1</v>
      </c>
      <c r="BC28" s="100"/>
      <c r="BD28" s="125"/>
      <c r="BE28" s="125"/>
      <c r="BF28" s="125"/>
      <c r="BG28" s="125"/>
      <c r="BH28" s="189"/>
      <c r="BI28" s="203"/>
      <c r="BJ28" s="193" t="s">
        <v>126</v>
      </c>
      <c r="BK28" s="194"/>
      <c r="BL28" s="197" t="s">
        <v>1</v>
      </c>
      <c r="BO28" s="16">
        <f>COUNTIF(J42:BB42,1)</f>
        <v>0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37" t="str">
        <f>CONCATENATE($DM$5,$I$9,$DN$5)</f>
        <v xml:space="preserve">   "10",</v>
      </c>
      <c r="DM28" s="23"/>
      <c r="DN28" s="23"/>
    </row>
    <row r="29" spans="1:124" s="6" customFormat="1" ht="15" customHeight="1" x14ac:dyDescent="0.2">
      <c r="A29" s="19"/>
      <c r="B29" s="117"/>
      <c r="C29" s="118"/>
      <c r="D29" s="119" t="s">
        <v>3</v>
      </c>
      <c r="E29" s="120"/>
      <c r="F29" s="111"/>
      <c r="G29" s="118"/>
      <c r="H29" s="108" t="s">
        <v>0</v>
      </c>
      <c r="I29" s="122"/>
      <c r="J29" s="114" t="str">
        <f>IF(OR(G$2="",G29="",I29=""),"",IF($BD29="","",IF(G29=$BD29,ABS(I29-$BF29),ABS(I29+$BF29))+IF(G29&lt;&gt;$BD29,$BO$7,0)))</f>
        <v/>
      </c>
      <c r="K29" s="121"/>
      <c r="L29" s="108" t="s">
        <v>0</v>
      </c>
      <c r="M29" s="122"/>
      <c r="N29" s="114" t="str">
        <f>IF(OR(K$2="",K29="",M29=""),"",IF($BD29="","",IF(K29=$BD29,ABS(M29-$BF29),ABS(M29+$BF29))+IF(K29&lt;&gt;$BD29,$BO$7,0)))</f>
        <v/>
      </c>
      <c r="O29" s="121"/>
      <c r="P29" s="108" t="s">
        <v>0</v>
      </c>
      <c r="Q29" s="122"/>
      <c r="R29" s="114" t="str">
        <f>IF(OR(O$2="",O29="",Q29=""),"",IF($BD29="","",IF(O29=$BD29,ABS(Q29-$BF29),ABS(Q29+$BF29))+IF(O29&lt;&gt;$BD29,$BO$7,0)))</f>
        <v/>
      </c>
      <c r="S29" s="121"/>
      <c r="T29" s="108" t="s">
        <v>0</v>
      </c>
      <c r="U29" s="122"/>
      <c r="V29" s="114" t="str">
        <f>IF(OR(S$2="",S29="",U29=""),"",IF($BD29="","",IF(S29=$BD29,ABS(U29-$BF29),ABS(U29+$BF29))+IF(S29&lt;&gt;$BD29,$BO$7,0)))</f>
        <v/>
      </c>
      <c r="W29" s="121"/>
      <c r="X29" s="108" t="s">
        <v>0</v>
      </c>
      <c r="Y29" s="122"/>
      <c r="Z29" s="114" t="str">
        <f>IF(OR(W$2="",W29="",Y29=""),"",IF($BD29="","",IF(W29=$BD29,ABS(Y29-$BF29),ABS(Y29+$BF29))+IF(W29&lt;&gt;$BD29,$BO$7,0)))</f>
        <v/>
      </c>
      <c r="AA29" s="121"/>
      <c r="AB29" s="108" t="s">
        <v>0</v>
      </c>
      <c r="AC29" s="122"/>
      <c r="AD29" s="114" t="str">
        <f>IF(OR(AA$2="",AA29="",AC29=""),"",IF($BD29="","",IF(AA29=$BD29,ABS(AC29-$BF29),ABS(AC29+$BF29))+IF(AA29&lt;&gt;$BD29,$BO$7,0)))</f>
        <v/>
      </c>
      <c r="AE29" s="121"/>
      <c r="AF29" s="108" t="s">
        <v>0</v>
      </c>
      <c r="AG29" s="122"/>
      <c r="AH29" s="114" t="str">
        <f>IF(OR(AE$2="",AE29="",AG29=""),"",IF($BD29="","",IF(AE29=$BD29,ABS(AG29-$BF29),ABS(AG29+$BF29))+IF(AE29&lt;&gt;$BD29,$BO$7,0)))</f>
        <v/>
      </c>
      <c r="AI29" s="121"/>
      <c r="AJ29" s="108" t="s">
        <v>0</v>
      </c>
      <c r="AK29" s="122"/>
      <c r="AL29" s="114" t="str">
        <f>IF(OR(AI$2="",AI29="",AK29=""),"",IF($BD29="","",IF(AI29=$BD29,ABS(AK29-$BF29),ABS(AK29+$BF29))+IF(AI29&lt;&gt;$BD29,$BO$7,0)))</f>
        <v/>
      </c>
      <c r="AM29" s="121"/>
      <c r="AN29" s="108" t="s">
        <v>0</v>
      </c>
      <c r="AO29" s="122"/>
      <c r="AP29" s="114" t="str">
        <f>IF(OR(AM$2="",AM29="",AO29=""),"",IF($BD29="","",IF(AM29=$BD29,ABS(AO29-$BF29),ABS(AO29+$BF29))+IF(AM29&lt;&gt;$BD29,$BO$7,0)))</f>
        <v/>
      </c>
      <c r="AQ29" s="121"/>
      <c r="AR29" s="108" t="s">
        <v>0</v>
      </c>
      <c r="AS29" s="122"/>
      <c r="AT29" s="114" t="str">
        <f>IF(OR(AQ$2="",AQ29="",AS29=""),"",IF($BD29="","",IF(AQ29=$BD29,ABS(AS29-$BF29),ABS(AS29+$BF29))+IF(AQ29&lt;&gt;$BD29,$BO$7,0)))</f>
        <v/>
      </c>
      <c r="AU29" s="121"/>
      <c r="AV29" s="108" t="s">
        <v>0</v>
      </c>
      <c r="AW29" s="122"/>
      <c r="AX29" s="114" t="str">
        <f>IF(OR(AU$2="",AU29="",AW29=""),"",IF($BD29="","",IF(AU29=$BD29,ABS(AW29-$BF29),ABS(AW29+$BF29))+IF(AU29&lt;&gt;$BD29,$BO$7,0)))</f>
        <v/>
      </c>
      <c r="AY29" s="121"/>
      <c r="AZ29" s="108" t="s">
        <v>0</v>
      </c>
      <c r="BA29" s="122"/>
      <c r="BB29" s="115" t="str">
        <f>IF(OR(AY$2="",AY29="",BA29=""),"",IF($BD29="","",IF(AY29=$BD29,ABS(BA29-$BF29),ABS(BA29+$BF29))+IF(AY29&lt;&gt;$BD29,$BO$7,0)))</f>
        <v/>
      </c>
      <c r="BC29" s="100"/>
      <c r="BD29" s="101" t="str">
        <f>IF(OR(B29="",F29="",B29=F29),"",IF(B29&gt;F29,"V","H"))</f>
        <v/>
      </c>
      <c r="BE29" s="101" t="s">
        <v>0</v>
      </c>
      <c r="BF29" s="101" t="str">
        <f>IF(OR(B29="",F29="",B29=F29),"",ABS(B29-F29))</f>
        <v/>
      </c>
      <c r="BG29" s="101"/>
      <c r="BH29" s="187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208" t="str">
        <f>IF(COUNTA(G29,K29,O29,S29,W29,AA29,AE29,AI29,AM29,AQ29,AU29,AY29)&gt;0,IF(BH29&lt;0,"V","H"),"")</f>
        <v/>
      </c>
      <c r="BJ29" s="109" t="s">
        <v>0</v>
      </c>
      <c r="BK29" s="123" t="str">
        <f>IF(BI29="","",IF(ABS(BH29)&lt;(COUNTA(G29,K29,O29,S29,W29,AA29,AE29,AI29,AM29,AQ29,AU29,AY29)/2),1,ROUND(ABS(BH29)/COUNTA(G29,K29,O29,S29,W29,AA29,AE29,AI29,AM29,AQ29,AU29,AY29),0)))</f>
        <v/>
      </c>
      <c r="BL29" s="115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37" t="str">
        <f>CONCATENATE($DM$5,$I$10,$DN$5)</f>
        <v xml:space="preserve">   "6",</v>
      </c>
      <c r="DM29" s="23"/>
      <c r="DN29" s="23"/>
    </row>
    <row r="30" spans="1:124" s="6" customFormat="1" ht="12" customHeight="1" x14ac:dyDescent="0.2">
      <c r="A30" s="19"/>
      <c r="B30" s="78"/>
      <c r="C30" s="79"/>
      <c r="D30" s="80"/>
      <c r="E30" s="81" t="s">
        <v>97</v>
      </c>
      <c r="F30" s="82" t="str">
        <f>IF(SUM(B29,F29)=0,"",SUM(B29,F29))</f>
        <v/>
      </c>
      <c r="G30" s="147"/>
      <c r="H30" s="84" t="s">
        <v>61</v>
      </c>
      <c r="I30" s="85"/>
      <c r="J30" s="89" t="str">
        <f>IF(OR($F30="",I30="",J31=""),"",IF(AND(COUNTIF($J45:$BB45,J45)&gt;1,RANK(J45,$J45:$BB45,1)=1),$F30-I30,""))</f>
        <v/>
      </c>
      <c r="K30" s="83"/>
      <c r="L30" s="84" t="s">
        <v>61</v>
      </c>
      <c r="M30" s="85"/>
      <c r="N30" s="89" t="str">
        <f>IF(OR($F30="",M30="",N31=""),"",IF(AND(COUNTIF($J45:$BB45,N45)&gt;1,RANK(N45,$J45:$BB45,1)=1),$F30-M30,""))</f>
        <v/>
      </c>
      <c r="O30" s="83"/>
      <c r="P30" s="84" t="s">
        <v>61</v>
      </c>
      <c r="Q30" s="85"/>
      <c r="R30" s="89" t="str">
        <f>IF(OR($F30="",Q30="",R31=""),"",IF(AND(COUNTIF($J45:$BB45,R45)&gt;1,RANK(R45,$J45:$BB45,1)=1),$F30-Q30,""))</f>
        <v/>
      </c>
      <c r="S30" s="83"/>
      <c r="T30" s="84" t="s">
        <v>61</v>
      </c>
      <c r="U30" s="85"/>
      <c r="V30" s="89" t="str">
        <f>IF(OR($F30="",U30="",V31=""),"",IF(AND(COUNTIF($J45:$BB45,V45)&gt;1,RANK(V45,$J45:$BB45,1)=1),$F30-U30,""))</f>
        <v/>
      </c>
      <c r="W30" s="83"/>
      <c r="X30" s="84" t="s">
        <v>61</v>
      </c>
      <c r="Y30" s="85"/>
      <c r="Z30" s="89" t="str">
        <f>IF(OR($F30="",Y30="",Z31=""),"",IF(AND(COUNTIF($J45:$BB45,Z45)&gt;1,RANK(Z45,$J45:$BB45,1)=1),$F30-Y30,""))</f>
        <v/>
      </c>
      <c r="AA30" s="83"/>
      <c r="AB30" s="84" t="s">
        <v>61</v>
      </c>
      <c r="AC30" s="85"/>
      <c r="AD30" s="89" t="str">
        <f>IF(OR($F30="",AC30="",AD31=""),"",IF(AND(COUNTIF($J45:$BB45,AD45)&gt;1,RANK(AD45,$J45:$BB45,1)=1),$F30-AC30,""))</f>
        <v/>
      </c>
      <c r="AE30" s="83"/>
      <c r="AF30" s="84" t="s">
        <v>61</v>
      </c>
      <c r="AG30" s="85"/>
      <c r="AH30" s="89" t="str">
        <f>IF(OR($F30="",AG30="",AH31=""),"",IF(AND(COUNTIF($J45:$BB45,AH45)&gt;1,RANK(AH45,$J45:$BB45,1)=1),$F30-AG30,""))</f>
        <v/>
      </c>
      <c r="AI30" s="83"/>
      <c r="AJ30" s="84" t="s">
        <v>61</v>
      </c>
      <c r="AK30" s="85"/>
      <c r="AL30" s="89" t="str">
        <f>IF(OR($F30="",AK30="",AL31=""),"",IF(AND(COUNTIF($J45:$BB45,AL45)&gt;1,RANK(AL45,$J45:$BB45,1)=1),$F30-AK30,""))</f>
        <v/>
      </c>
      <c r="AM30" s="83"/>
      <c r="AN30" s="84" t="s">
        <v>61</v>
      </c>
      <c r="AO30" s="85"/>
      <c r="AP30" s="89" t="str">
        <f>IF(OR($F30="",AO30="",AP31=""),"",IF(AND(COUNTIF($J45:$BB45,AP45)&gt;1,RANK(AP45,$J45:$BB45,1)=1),$F30-AO30,""))</f>
        <v/>
      </c>
      <c r="AQ30" s="83"/>
      <c r="AR30" s="84" t="s">
        <v>61</v>
      </c>
      <c r="AS30" s="85"/>
      <c r="AT30" s="89" t="str">
        <f>IF(OR($F30="",AS30="",AT31=""),"",IF(AND(COUNTIF($J45:$BB45,AT45)&gt;1,RANK(AT45,$J45:$BB45,1)=1),$F30-AS30,""))</f>
        <v/>
      </c>
      <c r="AU30" s="83"/>
      <c r="AV30" s="84" t="s">
        <v>61</v>
      </c>
      <c r="AW30" s="85"/>
      <c r="AX30" s="89" t="str">
        <f>IF(OR($F30="",AW30="",AX31=""),"",IF(AND(COUNTIF($J45:$BB45,AX45)&gt;1,RANK(AX45,$J45:$BB45,1)=1),$F30-AW30,""))</f>
        <v/>
      </c>
      <c r="AY30" s="83"/>
      <c r="AZ30" s="84" t="s">
        <v>61</v>
      </c>
      <c r="BA30" s="85"/>
      <c r="BB30" s="90" t="str">
        <f>IF(OR($F30="",BA30="",BB31=""),"",IF(AND(COUNTIF($J45:$BB45,BB45)&gt;1,RANK(BB45,$J45:$BB45,1)=1),$F30-BA30,""))</f>
        <v/>
      </c>
      <c r="BC30" s="124"/>
      <c r="BD30" s="101"/>
      <c r="BE30" s="101"/>
      <c r="BF30" s="101"/>
      <c r="BG30" s="101"/>
      <c r="BH30" s="188"/>
      <c r="BI30" s="78"/>
      <c r="BJ30" s="80" t="s">
        <v>61</v>
      </c>
      <c r="BK30" s="86" t="str">
        <f>IF(SUM(I30,M30,Q30,U30,Y30,AC30,AG30,AK30,AO30,AS30,AW30,BA30)=0,"",ROUND(AVERAGE(I30,M30,Q30,U30,Y30,AC30,AG30,AK30,AO30,AS30,AW30,BA30),0))</f>
        <v/>
      </c>
      <c r="BL30" s="90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37" t="str">
        <f>CONCATENATE($DM$5,$I$15,$DN$5)</f>
        <v xml:space="preserve">   "11",</v>
      </c>
      <c r="DM30" s="23"/>
      <c r="DN30" s="23"/>
    </row>
    <row r="31" spans="1:124" s="6" customFormat="1" ht="18" customHeight="1" thickBot="1" x14ac:dyDescent="0.25">
      <c r="B31" s="142"/>
      <c r="C31" s="141"/>
      <c r="D31" s="141"/>
      <c r="E31" s="143"/>
      <c r="F31" s="192" t="s">
        <v>81</v>
      </c>
      <c r="G31" s="148"/>
      <c r="H31" s="127" t="s">
        <v>2</v>
      </c>
      <c r="I31" s="128" t="str">
        <f>IF(J31="","",IF(OR(RANK(J45,$J45:$BB45,1)&gt;1,AND(RANK(J45,$J45:$BB45,1)=1,COUNTIF($J45:$BB45,J45)=1)),RANK(J45,$J45:$BB45,1),IF(MIN($J64:$BB64)=J64,1,COUNTIF($J64:$BB64,MIN($J64:$BB64))+1)))</f>
        <v/>
      </c>
      <c r="J31" s="247" t="str">
        <f>IF(G$2="","",(IF(AND(COUNTBLANK(G29:G29)=0,COUNTBLANK(I29:I29)=0),(SUM(J29:J29))*$BO$31,"")))</f>
        <v/>
      </c>
      <c r="K31" s="126"/>
      <c r="L31" s="127" t="s">
        <v>2</v>
      </c>
      <c r="M31" s="128" t="str">
        <f>IF(N31="","",IF(OR(RANK(N45,$J45:$BB45,1)&gt;1,AND(RANK(N45,$J45:$BB45,1)=1,COUNTIF($J45:$BB45,N45)=1)),RANK(N45,$J45:$BB45,1),IF(MIN($J64:$BB64)=N64,1,COUNTIF($J64:$BB64,MIN($J64:$BB64))+1)))</f>
        <v/>
      </c>
      <c r="N31" s="247" t="str">
        <f>IF(K$2="","",(IF(AND(COUNTBLANK(K29:K29)=0,COUNTBLANK(M29:M29)=0),(SUM(N29:N29))*$BO$31,"")))</f>
        <v/>
      </c>
      <c r="O31" s="126"/>
      <c r="P31" s="127" t="s">
        <v>2</v>
      </c>
      <c r="Q31" s="128" t="str">
        <f>IF(R31="","",IF(OR(RANK(R45,$J45:$BB45,1)&gt;1,AND(RANK(R45,$J45:$BB45,1)=1,COUNTIF($J45:$BB45,R45)=1)),RANK(R45,$J45:$BB45,1),IF(MIN($J64:$BB64)=R64,1,COUNTIF($J64:$BB64,MIN($J64:$BB64))+1)))</f>
        <v/>
      </c>
      <c r="R31" s="247" t="str">
        <f>IF(O$2="","",(IF(AND(COUNTBLANK(O29:O29)=0,COUNTBLANK(Q29:Q29)=0),(SUM(R29:R29))*$BO$31,"")))</f>
        <v/>
      </c>
      <c r="S31" s="126"/>
      <c r="T31" s="127" t="s">
        <v>2</v>
      </c>
      <c r="U31" s="128" t="str">
        <f>IF(V31="","",IF(OR(RANK(V45,$J45:$BB45,1)&gt;1,AND(RANK(V45,$J45:$BB45,1)=1,COUNTIF($J45:$BB45,V45)=1)),RANK(V45,$J45:$BB45,1),IF(MIN($J64:$BB64)=V64,1,COUNTIF($J64:$BB64,MIN($J64:$BB64))+1)))</f>
        <v/>
      </c>
      <c r="V31" s="247" t="str">
        <f>IF(S$2="","",(IF(AND(COUNTBLANK(S29:S29)=0,COUNTBLANK(U29:U29)=0),(SUM(V29:V29))*$BO$31,"")))</f>
        <v/>
      </c>
      <c r="W31" s="126"/>
      <c r="X31" s="127" t="s">
        <v>2</v>
      </c>
      <c r="Y31" s="128" t="str">
        <f>IF(Z31="","",IF(OR(RANK(Z45,$J45:$BB45,1)&gt;1,AND(RANK(Z45,$J45:$BB45,1)=1,COUNTIF($J45:$BB45,Z45)=1)),RANK(Z45,$J45:$BB45,1),IF(MIN($J64:$BB64)=Z64,1,COUNTIF($J64:$BB64,MIN($J64:$BB64))+1)))</f>
        <v/>
      </c>
      <c r="Z31" s="247" t="str">
        <f>IF(W$2="","",(IF(AND(COUNTBLANK(W29:W29)=0,COUNTBLANK(Y29:Y29)=0),(SUM(Z29:Z29))*$BO$31,"")))</f>
        <v/>
      </c>
      <c r="AA31" s="126"/>
      <c r="AB31" s="127" t="s">
        <v>2</v>
      </c>
      <c r="AC31" s="128" t="str">
        <f>IF(AD31="","",IF(OR(RANK(AD45,$J45:$BB45,1)&gt;1,AND(RANK(AD45,$J45:$BB45,1)=1,COUNTIF($J45:$BB45,AD45)=1)),RANK(AD45,$J45:$BB45,1),IF(MIN($J64:$BB64)=AD64,1,COUNTIF($J64:$BB64,MIN($J64:$BB64))+1)))</f>
        <v/>
      </c>
      <c r="AD31" s="247" t="str">
        <f>IF(AA$2="","",(IF(AND(COUNTBLANK(AA29:AA29)=0,COUNTBLANK(AC29:AC29)=0),(SUM(AD29:AD29))*$BO$31,"")))</f>
        <v/>
      </c>
      <c r="AE31" s="126"/>
      <c r="AF31" s="127" t="s">
        <v>2</v>
      </c>
      <c r="AG31" s="128" t="str">
        <f>IF(AH31="","",IF(OR(RANK(AH45,$J45:$BB45,1)&gt;1,AND(RANK(AH45,$J45:$BB45,1)=1,COUNTIF($J45:$BB45,AH45)=1)),RANK(AH45,$J45:$BB45,1),IF(MIN($J64:$BB64)=AH64,1,COUNTIF($J64:$BB64,MIN($J64:$BB64))+1)))</f>
        <v/>
      </c>
      <c r="AH31" s="247" t="str">
        <f>IF(AE$2="","",(IF(AND(COUNTBLANK(AE29:AE29)=0,COUNTBLANK(AG29:AG29)=0),(SUM(AH29:AH29))*$BO$31,"")))</f>
        <v/>
      </c>
      <c r="AI31" s="126"/>
      <c r="AJ31" s="127" t="s">
        <v>2</v>
      </c>
      <c r="AK31" s="128" t="str">
        <f>IF(AL31="","",IF(OR(RANK(AL45,$J45:$BB45,1)&gt;1,AND(RANK(AL45,$J45:$BB45,1)=1,COUNTIF($J45:$BB45,AL45)=1)),RANK(AL45,$J45:$BB45,1),IF(MIN($J64:$BB64)=AL64,1,COUNTIF($J64:$BB64,MIN($J64:$BB64))+1)))</f>
        <v/>
      </c>
      <c r="AL31" s="247" t="str">
        <f>IF(AI$2="","",(IF(AND(COUNTBLANK(AI29:AI29)=0,COUNTBLANK(AK29:AK29)=0),(SUM(AL29:AL29))*$BO$31,"")))</f>
        <v/>
      </c>
      <c r="AM31" s="126"/>
      <c r="AN31" s="127" t="s">
        <v>2</v>
      </c>
      <c r="AO31" s="128" t="str">
        <f>IF(AP31="","",IF(OR(RANK(AP45,$J45:$BB45,1)&gt;1,AND(RANK(AP45,$J45:$BB45,1)=1,COUNTIF($J45:$BB45,AP45)=1)),RANK(AP45,$J45:$BB45,1),IF(MIN($J64:$BB64)=AP64,1,COUNTIF($J64:$BB64,MIN($J64:$BB64))+1)))</f>
        <v/>
      </c>
      <c r="AP31" s="247" t="str">
        <f>IF(AM$2="","",(IF(AND(COUNTBLANK(AM29:AM29)=0,COUNTBLANK(AO29:AO29)=0),(SUM(AP29:AP29))*$BO$31,"")))</f>
        <v/>
      </c>
      <c r="AQ31" s="126"/>
      <c r="AR31" s="127" t="s">
        <v>2</v>
      </c>
      <c r="AS31" s="128" t="str">
        <f>IF(AT31="","",IF(OR(RANK(AT45,$J45:$BB45,1)&gt;1,AND(RANK(AT45,$J45:$BB45,1)=1,COUNTIF($J45:$BB45,AT45)=1)),RANK(AT45,$J45:$BB45,1),IF(MIN($J64:$BB64)=AT64,1,COUNTIF($J64:$BB64,MIN($J64:$BB64))+1)))</f>
        <v/>
      </c>
      <c r="AT31" s="247" t="str">
        <f>IF(AQ$2="","",(IF(AND(COUNTBLANK(AQ29:AQ29)=0,COUNTBLANK(AS29:AS29)=0),(SUM(AT29:AT29))*$BO$31,"")))</f>
        <v/>
      </c>
      <c r="AU31" s="126"/>
      <c r="AV31" s="127" t="s">
        <v>2</v>
      </c>
      <c r="AW31" s="128" t="str">
        <f>IF(AX31="","",IF(OR(RANK(AX45,$J45:$BB45,1)&gt;1,AND(RANK(AX45,$J45:$BB45,1)=1,COUNTIF($J45:$BB45,AX45)=1)),RANK(AX45,$J45:$BB45,1),IF(MIN($J64:$BB64)=AX64,1,COUNTIF($J64:$BB64,MIN($J64:$BB64))+1)))</f>
        <v/>
      </c>
      <c r="AX31" s="247" t="str">
        <f>IF(AU$2="","",(IF(AND(COUNTBLANK(AU29:AU29)=0,COUNTBLANK(AW29:AW29)=0),(SUM(AX29:AX29))*$BO$31,"")))</f>
        <v/>
      </c>
      <c r="AY31" s="131"/>
      <c r="AZ31" s="129" t="s">
        <v>2</v>
      </c>
      <c r="BA31" s="130" t="str">
        <f>IF(BB31="","",IF(OR(RANK(BB45,$J45:$BB45,1)&gt;1,AND(RANK(BB45,$J45:$BB45,1)=1,COUNTIF($J45:$BB45,BB45)=1)),RANK(BB45,$J45:$BB45,1),IF(MIN($J64:$BB64)=BB64,1,COUNTIF($J64:$BB64,MIN($J64:$BB64))+1)))</f>
        <v/>
      </c>
      <c r="BB31" s="246" t="str">
        <f>IF(AY$2="","",(IF(AND(COUNTBLANK(AY29:AY29)=0,COUNTBLANK(BA29:BA29)=0),(SUM(BB29:BB29))*$BO$31,"")))</f>
        <v/>
      </c>
      <c r="BC31" s="100"/>
      <c r="BD31" s="100"/>
      <c r="BE31" s="100"/>
      <c r="BF31" s="100"/>
      <c r="BG31" s="100"/>
      <c r="BH31" s="188"/>
      <c r="BI31" s="207"/>
      <c r="BJ31" s="129" t="s">
        <v>2</v>
      </c>
      <c r="BK31" s="130" t="str">
        <f>IF(BL31="","",RANK(BL45,$J45:$BL45,1))</f>
        <v/>
      </c>
      <c r="BL31" s="246" t="str">
        <f>IF(AND(COUNTBLANK(BI29:BI29)=0,COUNTBLANK(BK29:BK29)=0),(SUM(BL29:BL29))*$BO$31,"")</f>
        <v/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37" t="str">
        <f>CONCATENATE($DM$5,$I$16,$DN$5)</f>
        <v xml:space="preserve">   "3",</v>
      </c>
      <c r="DM31" s="23"/>
      <c r="DN31" s="23"/>
    </row>
    <row r="32" spans="1:124" s="6" customFormat="1" ht="8.1" customHeight="1" thickBot="1" x14ac:dyDescent="0.25">
      <c r="B32" s="153"/>
      <c r="C32" s="87"/>
      <c r="D32" s="87"/>
      <c r="E32" s="144"/>
      <c r="F32" s="154"/>
      <c r="G32" s="149"/>
      <c r="H32" s="132"/>
      <c r="I32" s="149"/>
      <c r="J32" s="155"/>
      <c r="K32" s="149"/>
      <c r="L32" s="132"/>
      <c r="M32" s="149"/>
      <c r="N32" s="155"/>
      <c r="O32" s="149"/>
      <c r="P32" s="132"/>
      <c r="Q32" s="149"/>
      <c r="R32" s="155"/>
      <c r="S32" s="149"/>
      <c r="T32" s="132"/>
      <c r="U32" s="149"/>
      <c r="V32" s="155"/>
      <c r="W32" s="149"/>
      <c r="X32" s="132"/>
      <c r="Y32" s="149"/>
      <c r="Z32" s="155"/>
      <c r="AA32" s="149"/>
      <c r="AB32" s="132"/>
      <c r="AC32" s="149"/>
      <c r="AD32" s="155"/>
      <c r="AE32" s="149"/>
      <c r="AF32" s="132"/>
      <c r="AG32" s="149"/>
      <c r="AH32" s="155"/>
      <c r="AI32" s="149"/>
      <c r="AJ32" s="132"/>
      <c r="AK32" s="149"/>
      <c r="AL32" s="155"/>
      <c r="AM32" s="149"/>
      <c r="AN32" s="132"/>
      <c r="AO32" s="149"/>
      <c r="AP32" s="155"/>
      <c r="AQ32" s="149"/>
      <c r="AR32" s="132"/>
      <c r="AS32" s="149"/>
      <c r="AT32" s="155"/>
      <c r="AU32" s="149"/>
      <c r="AV32" s="132"/>
      <c r="AW32" s="149"/>
      <c r="AX32" s="155"/>
      <c r="AY32" s="149"/>
      <c r="AZ32" s="132"/>
      <c r="BA32" s="149"/>
      <c r="BB32" s="133"/>
      <c r="BC32" s="100"/>
      <c r="BD32" s="100"/>
      <c r="BE32" s="100"/>
      <c r="BF32" s="100"/>
      <c r="BG32" s="100"/>
      <c r="BH32" s="189"/>
      <c r="BI32" s="202"/>
      <c r="BJ32" s="132"/>
      <c r="BK32" s="149"/>
      <c r="BL32" s="133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37" t="str">
        <f>CONCATENATE($DM$5,$I$17,$DN$5)</f>
        <v xml:space="preserve">   "13",</v>
      </c>
      <c r="DM32" s="23"/>
      <c r="DN32" s="23"/>
    </row>
    <row r="33" spans="1:118" s="6" customFormat="1" ht="18" customHeight="1" thickBot="1" x14ac:dyDescent="0.25">
      <c r="A33" s="27"/>
      <c r="B33" s="299" t="s">
        <v>119</v>
      </c>
      <c r="C33" s="300"/>
      <c r="D33" s="300"/>
      <c r="E33" s="300"/>
      <c r="F33" s="301"/>
      <c r="G33" s="193"/>
      <c r="H33" s="193" t="s">
        <v>4</v>
      </c>
      <c r="I33" s="194"/>
      <c r="J33" s="195" t="s">
        <v>1</v>
      </c>
      <c r="K33" s="196"/>
      <c r="L33" s="193" t="s">
        <v>4</v>
      </c>
      <c r="M33" s="194"/>
      <c r="N33" s="195" t="s">
        <v>1</v>
      </c>
      <c r="O33" s="196"/>
      <c r="P33" s="193" t="s">
        <v>4</v>
      </c>
      <c r="Q33" s="194"/>
      <c r="R33" s="195" t="s">
        <v>1</v>
      </c>
      <c r="S33" s="196"/>
      <c r="T33" s="193" t="s">
        <v>4</v>
      </c>
      <c r="U33" s="194"/>
      <c r="V33" s="195" t="s">
        <v>1</v>
      </c>
      <c r="W33" s="196"/>
      <c r="X33" s="193" t="s">
        <v>4</v>
      </c>
      <c r="Y33" s="194"/>
      <c r="Z33" s="195" t="s">
        <v>1</v>
      </c>
      <c r="AA33" s="196"/>
      <c r="AB33" s="193" t="s">
        <v>4</v>
      </c>
      <c r="AC33" s="194"/>
      <c r="AD33" s="195" t="s">
        <v>1</v>
      </c>
      <c r="AE33" s="196"/>
      <c r="AF33" s="193" t="s">
        <v>4</v>
      </c>
      <c r="AG33" s="194"/>
      <c r="AH33" s="195" t="s">
        <v>1</v>
      </c>
      <c r="AI33" s="196"/>
      <c r="AJ33" s="193" t="s">
        <v>4</v>
      </c>
      <c r="AK33" s="194"/>
      <c r="AL33" s="195" t="s">
        <v>1</v>
      </c>
      <c r="AM33" s="196"/>
      <c r="AN33" s="193" t="s">
        <v>4</v>
      </c>
      <c r="AO33" s="194"/>
      <c r="AP33" s="195" t="s">
        <v>1</v>
      </c>
      <c r="AQ33" s="196"/>
      <c r="AR33" s="193" t="s">
        <v>4</v>
      </c>
      <c r="AS33" s="194"/>
      <c r="AT33" s="195" t="s">
        <v>1</v>
      </c>
      <c r="AU33" s="196"/>
      <c r="AV33" s="193" t="s">
        <v>4</v>
      </c>
      <c r="AW33" s="194"/>
      <c r="AX33" s="195" t="s">
        <v>1</v>
      </c>
      <c r="AY33" s="196"/>
      <c r="AZ33" s="193" t="s">
        <v>4</v>
      </c>
      <c r="BA33" s="194"/>
      <c r="BB33" s="197" t="s">
        <v>1</v>
      </c>
      <c r="BC33" s="100"/>
      <c r="BD33" s="100"/>
      <c r="BE33" s="100"/>
      <c r="BF33" s="100"/>
      <c r="BG33" s="100"/>
      <c r="BH33" s="189"/>
      <c r="BI33" s="203"/>
      <c r="BJ33" s="193" t="s">
        <v>4</v>
      </c>
      <c r="BK33" s="194"/>
      <c r="BL33" s="197" t="s">
        <v>1</v>
      </c>
      <c r="BO33" s="16">
        <f>COUNTIF(J44:BB44,1)</f>
        <v>0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37" t="str">
        <f>CONCATENATE($DM$5,$I$18,$DN$5)</f>
        <v xml:space="preserve">   "3",</v>
      </c>
      <c r="DM33" s="23"/>
      <c r="DN33" s="23"/>
    </row>
    <row r="34" spans="1:118" s="6" customFormat="1" ht="21" customHeight="1" x14ac:dyDescent="0.2">
      <c r="A34" s="27"/>
      <c r="B34" s="157"/>
      <c r="C34" s="158"/>
      <c r="D34" s="158"/>
      <c r="E34" s="159"/>
      <c r="F34" s="190" t="s">
        <v>120</v>
      </c>
      <c r="G34" s="160"/>
      <c r="H34" s="161" t="s">
        <v>2</v>
      </c>
      <c r="I34" s="162">
        <f>IF(J34="","",RANK(J47,$J47:$BB47,1))</f>
        <v>1</v>
      </c>
      <c r="J34" s="248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105</v>
      </c>
      <c r="K34" s="163"/>
      <c r="L34" s="161" t="s">
        <v>2</v>
      </c>
      <c r="M34" s="162" t="str">
        <f>IF(N34="","",RANK(N47,$J47:$BB47,1))</f>
        <v/>
      </c>
      <c r="N34" s="248" t="str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/>
      </c>
      <c r="O34" s="163"/>
      <c r="P34" s="161" t="s">
        <v>2</v>
      </c>
      <c r="Q34" s="162">
        <f>IF(R34="","",RANK(R47,$J47:$BB47,1))</f>
        <v>10</v>
      </c>
      <c r="R34" s="248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129</v>
      </c>
      <c r="S34" s="163"/>
      <c r="T34" s="161" t="s">
        <v>2</v>
      </c>
      <c r="U34" s="162">
        <f>IF(V34="","",RANK(V47,$J47:$BB47,1))</f>
        <v>9</v>
      </c>
      <c r="V34" s="248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128.5</v>
      </c>
      <c r="W34" s="163"/>
      <c r="X34" s="161" t="s">
        <v>2</v>
      </c>
      <c r="Y34" s="162">
        <f>IF(Z34="","",RANK(Z47,$J47:$BB47,1))</f>
        <v>4</v>
      </c>
      <c r="Z34" s="248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115</v>
      </c>
      <c r="AA34" s="163"/>
      <c r="AB34" s="161" t="s">
        <v>2</v>
      </c>
      <c r="AC34" s="162">
        <f>IF(AD34="","",RANK(AD47,$J47:$BB47,1))</f>
        <v>6</v>
      </c>
      <c r="AD34" s="248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120</v>
      </c>
      <c r="AE34" s="163"/>
      <c r="AF34" s="161" t="s">
        <v>2</v>
      </c>
      <c r="AG34" s="162">
        <f>IF(AH34="","",RANK(AH47,$J47:$BB47,1))</f>
        <v>3</v>
      </c>
      <c r="AH34" s="248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113</v>
      </c>
      <c r="AI34" s="163"/>
      <c r="AJ34" s="161" t="s">
        <v>2</v>
      </c>
      <c r="AK34" s="162">
        <f>IF(AL34="","",RANK(AL47,$J47:$BB47,1))</f>
        <v>8</v>
      </c>
      <c r="AL34" s="248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123.5</v>
      </c>
      <c r="AM34" s="163"/>
      <c r="AN34" s="161" t="s">
        <v>2</v>
      </c>
      <c r="AO34" s="162">
        <f>IF(AP34="","",RANK(AP47,$J47:$BB47,1))</f>
        <v>5</v>
      </c>
      <c r="AP34" s="248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118.5</v>
      </c>
      <c r="AQ34" s="163"/>
      <c r="AR34" s="161" t="s">
        <v>2</v>
      </c>
      <c r="AS34" s="162">
        <f>IF(AT34="","",RANK(AT47,$J47:$BB47,1))</f>
        <v>11</v>
      </c>
      <c r="AT34" s="248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146</v>
      </c>
      <c r="AU34" s="163"/>
      <c r="AV34" s="161" t="s">
        <v>2</v>
      </c>
      <c r="AW34" s="162">
        <f>IF(AX34="","",RANK(AX47,$J47:$BB47,1))</f>
        <v>1</v>
      </c>
      <c r="AX34" s="248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105</v>
      </c>
      <c r="AY34" s="163"/>
      <c r="AZ34" s="161" t="s">
        <v>2</v>
      </c>
      <c r="BA34" s="162">
        <f>IF(BB34="","",RANK(BB47,$J47:$BB47,1))</f>
        <v>6</v>
      </c>
      <c r="BB34" s="249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120</v>
      </c>
      <c r="BC34" s="100"/>
      <c r="BD34" s="100"/>
      <c r="BE34" s="100"/>
      <c r="BF34" s="100"/>
      <c r="BG34" s="100"/>
      <c r="BH34" s="189"/>
      <c r="BI34" s="209"/>
      <c r="BJ34" s="164" t="s">
        <v>2</v>
      </c>
      <c r="BK34" s="165">
        <f>IF(BL34="","",RANK(BL47,$J47:$BL47,1))</f>
        <v>5</v>
      </c>
      <c r="BL34" s="250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116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37" t="str">
        <f>CONCATENATE($DM$5,$I$23,$DN$5)</f>
        <v xml:space="preserve">   "",</v>
      </c>
      <c r="DM34" s="23"/>
      <c r="DN34" s="23"/>
    </row>
    <row r="35" spans="1:118" s="6" customFormat="1" ht="21" customHeight="1" thickBot="1" x14ac:dyDescent="0.25">
      <c r="A35" s="27"/>
      <c r="B35" s="156"/>
      <c r="C35" s="145"/>
      <c r="D35" s="145"/>
      <c r="E35" s="146"/>
      <c r="F35" s="191" t="s">
        <v>121</v>
      </c>
      <c r="G35" s="150"/>
      <c r="H35" s="135" t="s">
        <v>60</v>
      </c>
      <c r="I35" s="136">
        <f>IF(J34="","",SUM(G48:G60))</f>
        <v>8</v>
      </c>
      <c r="J35" s="137">
        <f>IF(J34="","",IF(COUNTBLANK(G48:G60)=13,"",I35/(13-COUNTBLANK(G48:G60))))</f>
        <v>0.8</v>
      </c>
      <c r="K35" s="134"/>
      <c r="L35" s="135" t="s">
        <v>60</v>
      </c>
      <c r="M35" s="136" t="str">
        <f>IF(N34="","",SUM(K48:K60))</f>
        <v/>
      </c>
      <c r="N35" s="137" t="str">
        <f>IF(N34="","",IF(COUNTBLANK(K48:K60)=13,"",M35/(13-COUNTBLANK(K48:K60))))</f>
        <v/>
      </c>
      <c r="O35" s="134"/>
      <c r="P35" s="135" t="s">
        <v>60</v>
      </c>
      <c r="Q35" s="136">
        <f>IF(R34="","",SUM(O48:O60))</f>
        <v>6</v>
      </c>
      <c r="R35" s="137">
        <f>IF(R34="","",IF(COUNTBLANK(O48:O60)=13,"",Q35/(13-COUNTBLANK(O48:O60))))</f>
        <v>0.6</v>
      </c>
      <c r="S35" s="134"/>
      <c r="T35" s="135" t="s">
        <v>60</v>
      </c>
      <c r="U35" s="136">
        <f>IF(V34="","",SUM(S48:S60))</f>
        <v>7</v>
      </c>
      <c r="V35" s="137">
        <f>IF(V34="","",IF(COUNTBLANK(S48:S60)=13,"",U35/(13-COUNTBLANK(S48:S60))))</f>
        <v>0.7</v>
      </c>
      <c r="W35" s="134"/>
      <c r="X35" s="135" t="s">
        <v>60</v>
      </c>
      <c r="Y35" s="136">
        <f>IF(Z34="","",SUM(W48:W60))</f>
        <v>8</v>
      </c>
      <c r="Z35" s="137">
        <f>IF(Z34="","",IF(COUNTBLANK(W48:W60)=13,"",Y35/(13-COUNTBLANK(W48:W60))))</f>
        <v>0.8</v>
      </c>
      <c r="AA35" s="134"/>
      <c r="AB35" s="135" t="s">
        <v>60</v>
      </c>
      <c r="AC35" s="136">
        <f>IF(AD34="","",SUM(AA48:AA60))</f>
        <v>8</v>
      </c>
      <c r="AD35" s="137">
        <f>IF(AD34="","",IF(COUNTBLANK(AA48:AA60)=13,"",AC35/(13-COUNTBLANK(AA48:AA60))))</f>
        <v>0.8</v>
      </c>
      <c r="AE35" s="134"/>
      <c r="AF35" s="135" t="s">
        <v>60</v>
      </c>
      <c r="AG35" s="136">
        <f>IF(AH34="","",SUM(AE48:AE60))</f>
        <v>7</v>
      </c>
      <c r="AH35" s="137">
        <f>IF(AH34="","",IF(COUNTBLANK(AE48:AE60)=13,"",AG35/(13-COUNTBLANK(AE48:AE60))))</f>
        <v>0.7</v>
      </c>
      <c r="AI35" s="134"/>
      <c r="AJ35" s="135" t="s">
        <v>60</v>
      </c>
      <c r="AK35" s="136">
        <f>IF(AL34="","",SUM(AI48:AI60))</f>
        <v>6</v>
      </c>
      <c r="AL35" s="137">
        <f>IF(AL34="","",IF(COUNTBLANK(AI48:AI60)=13,"",AK35/(13-COUNTBLANK(AI48:AI60))))</f>
        <v>0.6</v>
      </c>
      <c r="AM35" s="134"/>
      <c r="AN35" s="135" t="s">
        <v>60</v>
      </c>
      <c r="AO35" s="136">
        <f>IF(AP34="","",SUM(AM48:AM60))</f>
        <v>7</v>
      </c>
      <c r="AP35" s="137">
        <f>IF(AP34="","",IF(COUNTBLANK(AM48:AM60)=13,"",AO35/(13-COUNTBLANK(AM48:AM60))))</f>
        <v>0.7</v>
      </c>
      <c r="AQ35" s="134"/>
      <c r="AR35" s="135" t="s">
        <v>60</v>
      </c>
      <c r="AS35" s="136">
        <f>IF(AT34="","",SUM(AQ48:AQ60))</f>
        <v>7</v>
      </c>
      <c r="AT35" s="137">
        <f>IF(AT34="","",IF(COUNTBLANK(AQ48:AQ60)=13,"",AS35/(13-COUNTBLANK(AQ48:AQ60))))</f>
        <v>0.7</v>
      </c>
      <c r="AU35" s="134"/>
      <c r="AV35" s="135" t="s">
        <v>60</v>
      </c>
      <c r="AW35" s="136">
        <f>IF(AX34="","",SUM(AU48:AU60))</f>
        <v>7</v>
      </c>
      <c r="AX35" s="137">
        <f>IF(AX34="","",IF(COUNTBLANK(AU48:AU60)=13,"",AW35/(13-COUNTBLANK(AU48:AU60))))</f>
        <v>0.7</v>
      </c>
      <c r="AY35" s="134"/>
      <c r="AZ35" s="135" t="s">
        <v>60</v>
      </c>
      <c r="BA35" s="136">
        <f>IF(BB34="","",SUM(AY48:AY60))</f>
        <v>7</v>
      </c>
      <c r="BB35" s="138">
        <f>IF(BB34="","",IF(COUNTBLANK(AY48:AY60)=13,"",BA35/(13-COUNTBLANK(AY48:AY60))))</f>
        <v>0.7</v>
      </c>
      <c r="BC35" s="88"/>
      <c r="BD35" s="88"/>
      <c r="BE35" s="88"/>
      <c r="BF35" s="88"/>
      <c r="BG35" s="88"/>
      <c r="BH35" s="188"/>
      <c r="BI35" s="210"/>
      <c r="BJ35" s="135" t="s">
        <v>60</v>
      </c>
      <c r="BK35" s="136">
        <f>IF(BL34="","",SUM(BI48:BI60))</f>
        <v>7</v>
      </c>
      <c r="BL35" s="138">
        <f>IF(BL34="","",IF(COUNTBLANK(BI48:BI60)=13,"",BK35/(13-COUNTBLANK(BI48:BI60))))</f>
        <v>0.7</v>
      </c>
      <c r="BO35" s="16">
        <f>COUNTIF(J46:BB46,1)</f>
        <v>2</v>
      </c>
      <c r="BP35" s="16">
        <f>COUNTIF(J46:BB46,2)</f>
        <v>0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37" t="str">
        <f>CONCATENATE($DM$5,$I$24,$DN$5)</f>
        <v xml:space="preserve">   "",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37" t="str">
        <f>CONCATENATE($DM$5,$I$29,$DN$6)</f>
        <v xml:space="preserve">   ""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37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</v>
      </c>
      <c r="K38" s="35"/>
      <c r="L38" s="35"/>
      <c r="M38" s="35"/>
      <c r="N38" s="35">
        <f>M12</f>
        <v>6</v>
      </c>
      <c r="O38" s="35"/>
      <c r="P38" s="35"/>
      <c r="Q38" s="35"/>
      <c r="R38" s="35">
        <f>Q12</f>
        <v>10</v>
      </c>
      <c r="S38" s="35"/>
      <c r="T38" s="35"/>
      <c r="U38" s="35"/>
      <c r="V38" s="35">
        <f>U12</f>
        <v>7</v>
      </c>
      <c r="W38" s="35"/>
      <c r="X38" s="35"/>
      <c r="Y38" s="35"/>
      <c r="Z38" s="35">
        <f>Y12</f>
        <v>9</v>
      </c>
      <c r="AA38" s="35"/>
      <c r="AB38" s="35"/>
      <c r="AC38" s="35"/>
      <c r="AD38" s="35">
        <f>AC12</f>
        <v>11</v>
      </c>
      <c r="AE38" s="35"/>
      <c r="AF38" s="35"/>
      <c r="AG38" s="35"/>
      <c r="AH38" s="35">
        <f>AG12</f>
        <v>4</v>
      </c>
      <c r="AI38" s="35"/>
      <c r="AJ38" s="35"/>
      <c r="AK38" s="35"/>
      <c r="AL38" s="35">
        <f>AK12</f>
        <v>2</v>
      </c>
      <c r="AM38" s="35"/>
      <c r="AN38" s="35"/>
      <c r="AO38" s="35"/>
      <c r="AP38" s="35">
        <f>AO12</f>
        <v>3</v>
      </c>
      <c r="AQ38" s="35"/>
      <c r="AR38" s="35"/>
      <c r="AS38" s="35"/>
      <c r="AT38" s="35">
        <f>AS12</f>
        <v>12</v>
      </c>
      <c r="AU38" s="35"/>
      <c r="AV38" s="35"/>
      <c r="AW38" s="35"/>
      <c r="AX38" s="35">
        <f>AW12</f>
        <v>8</v>
      </c>
      <c r="AY38" s="35"/>
      <c r="AZ38" s="35"/>
      <c r="BA38" s="35"/>
      <c r="BB38" s="35">
        <f>BA12</f>
        <v>5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38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42</v>
      </c>
      <c r="K39" s="35"/>
      <c r="L39" s="35"/>
      <c r="M39" s="35"/>
      <c r="N39" s="35">
        <f>N12</f>
        <v>60</v>
      </c>
      <c r="O39" s="35"/>
      <c r="P39" s="35"/>
      <c r="Q39" s="35"/>
      <c r="R39" s="35">
        <f>R12</f>
        <v>66</v>
      </c>
      <c r="S39" s="35"/>
      <c r="T39" s="35"/>
      <c r="U39" s="35"/>
      <c r="V39" s="35">
        <f>V12</f>
        <v>61</v>
      </c>
      <c r="W39" s="35"/>
      <c r="X39" s="35"/>
      <c r="Y39" s="35"/>
      <c r="Z39" s="35">
        <f>Z12</f>
        <v>64</v>
      </c>
      <c r="AA39" s="35"/>
      <c r="AB39" s="35"/>
      <c r="AC39" s="35"/>
      <c r="AD39" s="35">
        <f>AD12</f>
        <v>69</v>
      </c>
      <c r="AE39" s="35"/>
      <c r="AF39" s="35"/>
      <c r="AG39" s="35"/>
      <c r="AH39" s="35">
        <f>AH12</f>
        <v>56</v>
      </c>
      <c r="AI39" s="35"/>
      <c r="AJ39" s="35"/>
      <c r="AK39" s="35"/>
      <c r="AL39" s="35">
        <f>AL12</f>
        <v>47</v>
      </c>
      <c r="AM39" s="35"/>
      <c r="AN39" s="35"/>
      <c r="AO39" s="35"/>
      <c r="AP39" s="35">
        <f>AP12</f>
        <v>54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63</v>
      </c>
      <c r="AY39" s="35"/>
      <c r="AZ39" s="35"/>
      <c r="BA39" s="35"/>
      <c r="BB39" s="35">
        <f>BB12</f>
        <v>57</v>
      </c>
      <c r="BH39" s="31"/>
      <c r="BI39" s="35"/>
      <c r="BJ39" s="35"/>
      <c r="BK39" s="35"/>
      <c r="BL39" s="42">
        <f>BL12</f>
        <v>56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2 Final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39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5</v>
      </c>
      <c r="K40" s="35"/>
      <c r="L40" s="35"/>
      <c r="M40" s="35"/>
      <c r="N40" s="35" t="str">
        <f>M20</f>
        <v/>
      </c>
      <c r="O40" s="35"/>
      <c r="P40" s="35"/>
      <c r="Q40" s="35"/>
      <c r="R40" s="35">
        <f>Q20</f>
        <v>5</v>
      </c>
      <c r="S40" s="35"/>
      <c r="T40" s="35"/>
      <c r="U40" s="35"/>
      <c r="V40" s="35">
        <f>U20</f>
        <v>10</v>
      </c>
      <c r="W40" s="35"/>
      <c r="X40" s="35"/>
      <c r="Y40" s="35"/>
      <c r="Z40" s="35">
        <f>Y20</f>
        <v>2</v>
      </c>
      <c r="AA40" s="35"/>
      <c r="AB40" s="35"/>
      <c r="AC40" s="35"/>
      <c r="AD40" s="35">
        <f>AC20</f>
        <v>2</v>
      </c>
      <c r="AE40" s="35"/>
      <c r="AF40" s="35"/>
      <c r="AG40" s="35"/>
      <c r="AH40" s="35">
        <f>AG20</f>
        <v>4</v>
      </c>
      <c r="AI40" s="35"/>
      <c r="AJ40" s="35"/>
      <c r="AK40" s="35"/>
      <c r="AL40" s="35">
        <f>AK20</f>
        <v>11</v>
      </c>
      <c r="AM40" s="35"/>
      <c r="AN40" s="35"/>
      <c r="AO40" s="35"/>
      <c r="AP40" s="35">
        <f>AO20</f>
        <v>8</v>
      </c>
      <c r="AQ40" s="35"/>
      <c r="AR40" s="35"/>
      <c r="AS40" s="35"/>
      <c r="AT40" s="35">
        <f>AS20</f>
        <v>9</v>
      </c>
      <c r="AU40" s="35"/>
      <c r="AV40" s="35"/>
      <c r="AW40" s="35"/>
      <c r="AX40" s="35">
        <f>AW20</f>
        <v>1</v>
      </c>
      <c r="AY40" s="35"/>
      <c r="AZ40" s="35"/>
      <c r="BA40" s="35"/>
      <c r="BB40" s="35">
        <f>BA20</f>
        <v>5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39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63</v>
      </c>
      <c r="K41" s="35"/>
      <c r="L41" s="35"/>
      <c r="M41" s="35"/>
      <c r="N41" s="35" t="str">
        <f>N20</f>
        <v/>
      </c>
      <c r="O41" s="35"/>
      <c r="P41" s="35"/>
      <c r="Q41" s="35"/>
      <c r="R41" s="35">
        <f>R20</f>
        <v>63</v>
      </c>
      <c r="S41" s="35"/>
      <c r="T41" s="35"/>
      <c r="U41" s="35"/>
      <c r="V41" s="35">
        <f>V20</f>
        <v>67.5</v>
      </c>
      <c r="W41" s="35"/>
      <c r="X41" s="35"/>
      <c r="Y41" s="35"/>
      <c r="Z41" s="35">
        <f>Z20</f>
        <v>51</v>
      </c>
      <c r="AA41" s="35"/>
      <c r="AB41" s="35"/>
      <c r="AC41" s="35"/>
      <c r="AD41" s="35">
        <f>AD20</f>
        <v>51</v>
      </c>
      <c r="AE41" s="35"/>
      <c r="AF41" s="35"/>
      <c r="AG41" s="35"/>
      <c r="AH41" s="35">
        <f>AH20</f>
        <v>57</v>
      </c>
      <c r="AI41" s="35"/>
      <c r="AJ41" s="35"/>
      <c r="AK41" s="35"/>
      <c r="AL41" s="35">
        <f>AL20</f>
        <v>76.5</v>
      </c>
      <c r="AM41" s="35"/>
      <c r="AN41" s="35"/>
      <c r="AO41" s="35"/>
      <c r="AP41" s="35">
        <f>AP20</f>
        <v>64.5</v>
      </c>
      <c r="AQ41" s="35"/>
      <c r="AR41" s="35"/>
      <c r="AS41" s="35"/>
      <c r="AT41" s="35">
        <f>AT20</f>
        <v>66</v>
      </c>
      <c r="AU41" s="35"/>
      <c r="AV41" s="35"/>
      <c r="AW41" s="35"/>
      <c r="AX41" s="35">
        <f>AX20</f>
        <v>42</v>
      </c>
      <c r="AY41" s="35"/>
      <c r="AZ41" s="35"/>
      <c r="BA41" s="35"/>
      <c r="BB41" s="35">
        <f>BB20</f>
        <v>63</v>
      </c>
      <c r="BH41" s="31"/>
      <c r="BI41" s="35"/>
      <c r="BJ41" s="35"/>
      <c r="BK41" s="35"/>
      <c r="BL41" s="35">
        <f>BL20</f>
        <v>60</v>
      </c>
      <c r="BN41" s="38"/>
      <c r="BO41" s="39">
        <f>IF(COUNTBLANK($C$23:$C$24)=0,1,0)</f>
        <v>0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39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 t="str">
        <f>I26</f>
        <v/>
      </c>
      <c r="K42" s="35"/>
      <c r="L42" s="35"/>
      <c r="M42" s="35"/>
      <c r="N42" s="35" t="str">
        <f>M26</f>
        <v/>
      </c>
      <c r="O42" s="35"/>
      <c r="P42" s="35"/>
      <c r="Q42" s="35"/>
      <c r="R42" s="35" t="str">
        <f>Q26</f>
        <v/>
      </c>
      <c r="S42" s="35"/>
      <c r="T42" s="35"/>
      <c r="U42" s="35"/>
      <c r="V42" s="35" t="str">
        <f>U26</f>
        <v/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 t="str">
        <f>AG26</f>
        <v/>
      </c>
      <c r="AI42" s="35"/>
      <c r="AJ42" s="35"/>
      <c r="AK42" s="35"/>
      <c r="AL42" s="35" t="str">
        <f>AK26</f>
        <v/>
      </c>
      <c r="AM42" s="35"/>
      <c r="AN42" s="35"/>
      <c r="AO42" s="35"/>
      <c r="AP42" s="35" t="str">
        <f>AO26</f>
        <v/>
      </c>
      <c r="AQ42" s="35"/>
      <c r="AR42" s="35"/>
      <c r="AS42" s="35"/>
      <c r="AT42" s="35" t="str">
        <f>AS26</f>
        <v/>
      </c>
      <c r="AU42" s="35"/>
      <c r="AV42" s="35"/>
      <c r="AW42" s="35"/>
      <c r="AX42" s="35" t="str">
        <f>AW26</f>
        <v/>
      </c>
      <c r="AY42" s="35"/>
      <c r="AZ42" s="35"/>
      <c r="BA42" s="35"/>
      <c r="BB42" s="35" t="str">
        <f>BA26</f>
        <v/>
      </c>
      <c r="BH42" s="31"/>
      <c r="BI42" s="35"/>
      <c r="BJ42" s="35"/>
      <c r="BK42" s="35"/>
      <c r="BL42" s="35" t="str">
        <f>BK26</f>
        <v/>
      </c>
      <c r="BN42" s="38"/>
      <c r="BO42" s="39">
        <f>IF(COUNTBLANK($C$29)=0,1,0)</f>
        <v>0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39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 t="str">
        <f>J26</f>
        <v/>
      </c>
      <c r="K43" s="35"/>
      <c r="L43" s="35"/>
      <c r="M43" s="35"/>
      <c r="N43" s="35" t="str">
        <f>N26</f>
        <v/>
      </c>
      <c r="O43" s="35"/>
      <c r="P43" s="35"/>
      <c r="Q43" s="35"/>
      <c r="R43" s="35" t="str">
        <f>R26</f>
        <v/>
      </c>
      <c r="S43" s="35"/>
      <c r="T43" s="35"/>
      <c r="U43" s="35"/>
      <c r="V43" s="35" t="str">
        <f>V26</f>
        <v/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 t="str">
        <f>AH26</f>
        <v/>
      </c>
      <c r="AI43" s="35"/>
      <c r="AJ43" s="35"/>
      <c r="AK43" s="35"/>
      <c r="AL43" s="35" t="str">
        <f>AL26</f>
        <v/>
      </c>
      <c r="AM43" s="35"/>
      <c r="AN43" s="35"/>
      <c r="AO43" s="35"/>
      <c r="AP43" s="35" t="str">
        <f>AP26</f>
        <v/>
      </c>
      <c r="AQ43" s="35"/>
      <c r="AR43" s="35"/>
      <c r="AS43" s="35"/>
      <c r="AT43" s="35" t="str">
        <f>AT26</f>
        <v/>
      </c>
      <c r="AU43" s="35"/>
      <c r="AV43" s="35"/>
      <c r="AW43" s="35"/>
      <c r="AX43" s="35" t="str">
        <f>AX26</f>
        <v/>
      </c>
      <c r="AY43" s="35"/>
      <c r="AZ43" s="35"/>
      <c r="BA43" s="35"/>
      <c r="BB43" s="35" t="str">
        <f>BB26</f>
        <v/>
      </c>
      <c r="BH43" s="31"/>
      <c r="BI43" s="35"/>
      <c r="BJ43" s="35"/>
      <c r="BK43" s="35"/>
      <c r="BL43" s="35" t="str">
        <f>BL26</f>
        <v/>
      </c>
      <c r="BN43" s="38" t="s">
        <v>56</v>
      </c>
      <c r="BO43" s="39">
        <f>SUM(BO39:BO42)</f>
        <v>2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39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 t="str">
        <f>I31</f>
        <v/>
      </c>
      <c r="K44" s="35"/>
      <c r="L44" s="35"/>
      <c r="M44" s="35"/>
      <c r="N44" s="35" t="str">
        <f>M31</f>
        <v/>
      </c>
      <c r="O44" s="35"/>
      <c r="P44" s="35"/>
      <c r="Q44" s="35"/>
      <c r="R44" s="35" t="str">
        <f>Q31</f>
        <v/>
      </c>
      <c r="S44" s="35"/>
      <c r="T44" s="35"/>
      <c r="U44" s="35"/>
      <c r="V44" s="35" t="str">
        <f>U31</f>
        <v/>
      </c>
      <c r="W44" s="35"/>
      <c r="X44" s="35"/>
      <c r="Y44" s="35"/>
      <c r="Z44" s="35" t="str">
        <f>Y31</f>
        <v/>
      </c>
      <c r="AA44" s="35"/>
      <c r="AB44" s="35"/>
      <c r="AC44" s="35"/>
      <c r="AD44" s="35" t="str">
        <f>AC31</f>
        <v/>
      </c>
      <c r="AE44" s="35"/>
      <c r="AF44" s="35"/>
      <c r="AG44" s="35"/>
      <c r="AH44" s="35" t="str">
        <f>AG31</f>
        <v/>
      </c>
      <c r="AI44" s="35"/>
      <c r="AJ44" s="35"/>
      <c r="AK44" s="35"/>
      <c r="AL44" s="35" t="str">
        <f>AK31</f>
        <v/>
      </c>
      <c r="AM44" s="35"/>
      <c r="AN44" s="35"/>
      <c r="AO44" s="35"/>
      <c r="AP44" s="35" t="str">
        <f>AO31</f>
        <v/>
      </c>
      <c r="AQ44" s="35"/>
      <c r="AR44" s="35"/>
      <c r="AS44" s="35"/>
      <c r="AT44" s="35" t="str">
        <f>AS31</f>
        <v/>
      </c>
      <c r="AU44" s="35"/>
      <c r="AV44" s="35"/>
      <c r="AW44" s="35"/>
      <c r="AX44" s="35" t="str">
        <f>AW31</f>
        <v/>
      </c>
      <c r="AY44" s="35"/>
      <c r="AZ44" s="35"/>
      <c r="BA44" s="35"/>
      <c r="BB44" s="35" t="str">
        <f>BA31</f>
        <v/>
      </c>
      <c r="BH44" s="31"/>
      <c r="BI44" s="35"/>
      <c r="BJ44" s="35"/>
      <c r="BK44" s="35"/>
      <c r="BL44" s="35" t="str">
        <f>BK31</f>
        <v/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39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 t="str">
        <f>J31</f>
        <v/>
      </c>
      <c r="K45" s="35"/>
      <c r="L45" s="35"/>
      <c r="M45" s="35"/>
      <c r="N45" s="35" t="str">
        <f>N31</f>
        <v/>
      </c>
      <c r="O45" s="35"/>
      <c r="P45" s="35"/>
      <c r="Q45" s="35"/>
      <c r="R45" s="35" t="str">
        <f>R31</f>
        <v/>
      </c>
      <c r="S45" s="35"/>
      <c r="T45" s="35"/>
      <c r="U45" s="35"/>
      <c r="V45" s="35" t="str">
        <f>V31</f>
        <v/>
      </c>
      <c r="W45" s="35"/>
      <c r="X45" s="35"/>
      <c r="Y45" s="35"/>
      <c r="Z45" s="35" t="str">
        <f>Z31</f>
        <v/>
      </c>
      <c r="AA45" s="35"/>
      <c r="AB45" s="35"/>
      <c r="AC45" s="35"/>
      <c r="AD45" s="35" t="str">
        <f>AD31</f>
        <v/>
      </c>
      <c r="AE45" s="35"/>
      <c r="AF45" s="35"/>
      <c r="AG45" s="35"/>
      <c r="AH45" s="35" t="str">
        <f>AH31</f>
        <v/>
      </c>
      <c r="AI45" s="35"/>
      <c r="AJ45" s="35"/>
      <c r="AK45" s="35"/>
      <c r="AL45" s="35" t="str">
        <f>AL31</f>
        <v/>
      </c>
      <c r="AM45" s="35"/>
      <c r="AN45" s="35"/>
      <c r="AO45" s="35"/>
      <c r="AP45" s="35" t="str">
        <f>AP31</f>
        <v/>
      </c>
      <c r="AQ45" s="35"/>
      <c r="AR45" s="35"/>
      <c r="AS45" s="35"/>
      <c r="AT45" s="35" t="str">
        <f>AT31</f>
        <v/>
      </c>
      <c r="AU45" s="35"/>
      <c r="AV45" s="35"/>
      <c r="AW45" s="35"/>
      <c r="AX45" s="35" t="str">
        <f>AX31</f>
        <v/>
      </c>
      <c r="AY45" s="35"/>
      <c r="AZ45" s="35"/>
      <c r="BA45" s="35"/>
      <c r="BB45" s="35" t="str">
        <f>BB31</f>
        <v/>
      </c>
      <c r="BH45" s="31"/>
      <c r="BI45" s="35"/>
      <c r="BJ45" s="35"/>
      <c r="BK45" s="35"/>
      <c r="BL45" s="35" t="str">
        <f>BL31</f>
        <v/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37" t="str">
        <f>CONCATENATE($DM$5,$I$11,$DN$5)</f>
        <v xml:space="preserve">   "38",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1</v>
      </c>
      <c r="K46" s="35"/>
      <c r="L46" s="35"/>
      <c r="M46" s="35"/>
      <c r="N46" s="35" t="str">
        <f>M34</f>
        <v/>
      </c>
      <c r="O46" s="35"/>
      <c r="P46" s="35"/>
      <c r="Q46" s="35"/>
      <c r="R46" s="35">
        <f>Q34</f>
        <v>10</v>
      </c>
      <c r="S46" s="35"/>
      <c r="T46" s="35"/>
      <c r="U46" s="35"/>
      <c r="V46" s="35">
        <f>U34</f>
        <v>9</v>
      </c>
      <c r="W46" s="35"/>
      <c r="X46" s="35"/>
      <c r="Y46" s="35"/>
      <c r="Z46" s="35">
        <f>Y34</f>
        <v>4</v>
      </c>
      <c r="AA46" s="35"/>
      <c r="AB46" s="35"/>
      <c r="AC46" s="35"/>
      <c r="AD46" s="35">
        <f>AC34</f>
        <v>6</v>
      </c>
      <c r="AE46" s="35"/>
      <c r="AF46" s="35"/>
      <c r="AG46" s="35"/>
      <c r="AH46" s="35">
        <f>AG34</f>
        <v>3</v>
      </c>
      <c r="AI46" s="35"/>
      <c r="AJ46" s="35"/>
      <c r="AK46" s="35"/>
      <c r="AL46" s="35">
        <f>AK34</f>
        <v>8</v>
      </c>
      <c r="AM46" s="35"/>
      <c r="AN46" s="35"/>
      <c r="AO46" s="35"/>
      <c r="AP46" s="35">
        <f>AO34</f>
        <v>5</v>
      </c>
      <c r="AQ46" s="35"/>
      <c r="AR46" s="35"/>
      <c r="AS46" s="35"/>
      <c r="AT46" s="35">
        <f>AS34</f>
        <v>11</v>
      </c>
      <c r="AU46" s="35"/>
      <c r="AV46" s="35"/>
      <c r="AW46" s="35"/>
      <c r="AX46" s="35">
        <f>AW34</f>
        <v>1</v>
      </c>
      <c r="AY46" s="35"/>
      <c r="AZ46" s="35"/>
      <c r="BA46" s="35"/>
      <c r="BB46" s="35">
        <f>BA34</f>
        <v>6</v>
      </c>
      <c r="BH46" s="31"/>
      <c r="BI46" s="35"/>
      <c r="BJ46" s="35"/>
      <c r="BK46" s="35"/>
      <c r="BL46" s="35">
        <f>BK34</f>
        <v>5</v>
      </c>
      <c r="BN46" s="38"/>
      <c r="BO46" s="39">
        <f>IF(COUNTBLANK($BD$23:$BD$24)=0,1,0)</f>
        <v>0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39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105</v>
      </c>
      <c r="K47" s="35"/>
      <c r="L47" s="35"/>
      <c r="M47" s="35"/>
      <c r="N47" s="35" t="str">
        <f>N34</f>
        <v/>
      </c>
      <c r="O47" s="35"/>
      <c r="P47" s="35"/>
      <c r="Q47" s="35"/>
      <c r="R47" s="35">
        <f>R34</f>
        <v>129</v>
      </c>
      <c r="S47" s="35"/>
      <c r="T47" s="35"/>
      <c r="U47" s="35"/>
      <c r="V47" s="35">
        <f>V34</f>
        <v>128.5</v>
      </c>
      <c r="W47" s="35"/>
      <c r="X47" s="35"/>
      <c r="Y47" s="35"/>
      <c r="Z47" s="35">
        <f>Z34</f>
        <v>115</v>
      </c>
      <c r="AA47" s="35"/>
      <c r="AB47" s="35"/>
      <c r="AC47" s="35"/>
      <c r="AD47" s="35">
        <f>AD34</f>
        <v>120</v>
      </c>
      <c r="AE47" s="35"/>
      <c r="AF47" s="35"/>
      <c r="AG47" s="35"/>
      <c r="AH47" s="35">
        <f>AH34</f>
        <v>113</v>
      </c>
      <c r="AI47" s="35"/>
      <c r="AJ47" s="35"/>
      <c r="AK47" s="35"/>
      <c r="AL47" s="35">
        <f>AL34</f>
        <v>123.5</v>
      </c>
      <c r="AM47" s="35"/>
      <c r="AN47" s="35"/>
      <c r="AO47" s="35"/>
      <c r="AP47" s="35">
        <f>AP34</f>
        <v>118.5</v>
      </c>
      <c r="AQ47" s="35"/>
      <c r="AR47" s="35"/>
      <c r="AS47" s="35"/>
      <c r="AT47" s="35">
        <f>AT34</f>
        <v>146</v>
      </c>
      <c r="AU47" s="35"/>
      <c r="AV47" s="35"/>
      <c r="AW47" s="35"/>
      <c r="AX47" s="35">
        <f>AX34</f>
        <v>105</v>
      </c>
      <c r="AY47" s="35"/>
      <c r="AZ47" s="35"/>
      <c r="BA47" s="35"/>
      <c r="BB47" s="35">
        <f>BB34</f>
        <v>120</v>
      </c>
      <c r="BH47" s="31"/>
      <c r="BI47" s="35"/>
      <c r="BJ47" s="35"/>
      <c r="BK47" s="35"/>
      <c r="BL47" s="35">
        <f>BL34</f>
        <v>116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39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1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1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2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39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0</v>
      </c>
      <c r="L49" s="35"/>
      <c r="M49" s="35"/>
      <c r="N49" s="35"/>
      <c r="O49" s="35">
        <f t="shared" si="32"/>
        <v>0</v>
      </c>
      <c r="P49" s="35"/>
      <c r="Q49" s="35"/>
      <c r="R49" s="35"/>
      <c r="S49" s="35">
        <f t="shared" si="33"/>
        <v>0</v>
      </c>
      <c r="T49" s="35"/>
      <c r="U49" s="35"/>
      <c r="V49" s="35"/>
      <c r="W49" s="35">
        <f t="shared" si="34"/>
        <v>0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0</v>
      </c>
      <c r="AF49" s="35"/>
      <c r="AG49" s="35"/>
      <c r="AH49" s="35"/>
      <c r="AI49" s="35">
        <f t="shared" si="37"/>
        <v>0</v>
      </c>
      <c r="AJ49" s="35"/>
      <c r="AK49" s="35"/>
      <c r="AL49" s="35"/>
      <c r="AM49" s="35">
        <f t="shared" si="38"/>
        <v>0</v>
      </c>
      <c r="AN49" s="35"/>
      <c r="AO49" s="35"/>
      <c r="AP49" s="35"/>
      <c r="AQ49" s="35">
        <f t="shared" si="39"/>
        <v>0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0</v>
      </c>
      <c r="AZ49" s="35"/>
      <c r="BA49" s="35"/>
      <c r="BB49" s="35"/>
      <c r="BH49" s="31"/>
      <c r="BI49" s="35">
        <f t="shared" si="42"/>
        <v>0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37" t="str">
        <f>CONCATENATE($DM$5,$I$19,$DN$5)</f>
        <v xml:space="preserve">   "51",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39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1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1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0</v>
      </c>
      <c r="AB51" s="35"/>
      <c r="AC51" s="35"/>
      <c r="AD51" s="35"/>
      <c r="AE51" s="35">
        <f t="shared" si="36"/>
        <v>1</v>
      </c>
      <c r="AF51" s="35"/>
      <c r="AG51" s="35"/>
      <c r="AH51" s="35"/>
      <c r="AI51" s="35">
        <f t="shared" si="37"/>
        <v>0</v>
      </c>
      <c r="AJ51" s="35"/>
      <c r="AK51" s="35"/>
      <c r="AL51" s="35"/>
      <c r="AM51" s="35">
        <f t="shared" si="38"/>
        <v>1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1</v>
      </c>
      <c r="AZ51" s="35"/>
      <c r="BA51" s="35"/>
      <c r="BB51" s="35"/>
      <c r="BH51" s="31"/>
      <c r="BI51" s="35">
        <f t="shared" si="42"/>
        <v>1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37" t="str">
        <f>CONCATENATE($DM$5,$I$25,$DN$5)</f>
        <v xml:space="preserve">   "",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128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1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37" t="str">
        <f>CONCATENATE($DM$5,$I$30,$DN$6)</f>
        <v xml:space="preserve">   ""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127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0</v>
      </c>
      <c r="P53" s="35"/>
      <c r="Q53" s="35"/>
      <c r="R53" s="35"/>
      <c r="S53" s="35">
        <f>IF(AND($BD10&lt;&gt;"H",$BD10&lt;&gt;"V"),"",IF(S10=$BD10,1,0))</f>
        <v>0</v>
      </c>
      <c r="T53" s="35"/>
      <c r="U53" s="35"/>
      <c r="V53" s="35"/>
      <c r="W53" s="35">
        <f>IF(AND($BD10&lt;&gt;"H",$BD10&lt;&gt;"V"),"",IF(W10=$BD10,1,0))</f>
        <v>0</v>
      </c>
      <c r="X53" s="35"/>
      <c r="Y53" s="35"/>
      <c r="Z53" s="35"/>
      <c r="AA53" s="35">
        <f>IF(AND($BD10&lt;&gt;"H",$BD10&lt;&gt;"V"),"",IF(AA10=$BD10,1,0))</f>
        <v>0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0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1</v>
      </c>
      <c r="AV53" s="35"/>
      <c r="AW53" s="35"/>
      <c r="AX53" s="35"/>
      <c r="AY53" s="35">
        <f>IF(AND($BD10&lt;&gt;"H",$BD10&lt;&gt;"V"),"",IF(AY10=$BD10,1,0))</f>
        <v>0</v>
      </c>
      <c r="AZ53" s="35"/>
      <c r="BA53" s="35"/>
      <c r="BB53" s="35"/>
      <c r="BH53" s="31"/>
      <c r="BI53" s="35">
        <f>IF(AND($BD10&lt;&gt;"H",$BD10&lt;&gt;"V"),"",IF(BI10=$BD10,1,0))</f>
        <v>0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37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1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1</v>
      </c>
      <c r="P54" s="35"/>
      <c r="Q54" s="35"/>
      <c r="R54" s="35"/>
      <c r="S54" s="35">
        <f>IF(AND($BD15&lt;&gt;"H",$BD15&lt;&gt;"V"),"",IF(S15=$BD15,1,0))</f>
        <v>1</v>
      </c>
      <c r="T54" s="35"/>
      <c r="U54" s="35"/>
      <c r="V54" s="35"/>
      <c r="W54" s="35">
        <f>IF(AND($BD15&lt;&gt;"H",$BD15&lt;&gt;"V"),"",IF(W15=$BD15,1,0))</f>
        <v>1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1</v>
      </c>
      <c r="AF54" s="35"/>
      <c r="AG54" s="35"/>
      <c r="AH54" s="35"/>
      <c r="AI54" s="35">
        <f>IF(AND($BD15&lt;&gt;"H",$BD15&lt;&gt;"V"),"",IF(AI15=$BD15,1,0))</f>
        <v>1</v>
      </c>
      <c r="AJ54" s="35"/>
      <c r="AK54" s="35"/>
      <c r="AL54" s="35"/>
      <c r="AM54" s="35">
        <f>IF(AND($BD15&lt;&gt;"H",$BD15&lt;&gt;"V"),"",IF(AM15=$BD15,1,0))</f>
        <v>1</v>
      </c>
      <c r="AN54" s="35"/>
      <c r="AO54" s="35"/>
      <c r="AP54" s="35"/>
      <c r="AQ54" s="35">
        <f>IF(AND($BD15&lt;&gt;"H",$BD15&lt;&gt;"V"),"",IF(AQ15=$BD15,1,0))</f>
        <v>1</v>
      </c>
      <c r="AR54" s="35"/>
      <c r="AS54" s="35"/>
      <c r="AT54" s="35"/>
      <c r="AU54" s="35">
        <f>IF(AND($BD15&lt;&gt;"H",$BD15&lt;&gt;"V"),"",IF(AU15=$BD15,1,0))</f>
        <v>1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1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38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1</v>
      </c>
      <c r="K55" s="35">
        <f>IF(AND($BD16&lt;&gt;"H",$BD16&lt;&gt;"V"),"",IF(K16=$BD16,1,0))</f>
        <v>0</v>
      </c>
      <c r="O55" s="35">
        <f>IF(AND($BD16&lt;&gt;"H",$BD16&lt;&gt;"V"),"",IF(O16=$BD16,1,0))</f>
        <v>1</v>
      </c>
      <c r="S55" s="35">
        <f>IF(AND($BD16&lt;&gt;"H",$BD16&lt;&gt;"V"),"",IF(S16=$BD16,1,0))</f>
        <v>1</v>
      </c>
      <c r="W55" s="35">
        <f>IF(AND($BD16&lt;&gt;"H",$BD16&lt;&gt;"V"),"",IF(W16=$BD16,1,0))</f>
        <v>1</v>
      </c>
      <c r="AA55" s="35">
        <f>IF(AND($BD16&lt;&gt;"H",$BD16&lt;&gt;"V"),"",IF(AA16=$BD16,1,0))</f>
        <v>1</v>
      </c>
      <c r="AE55" s="35">
        <f>IF(AND($BD16&lt;&gt;"H",$BD16&lt;&gt;"V"),"",IF(AE16=$BD16,1,0))</f>
        <v>1</v>
      </c>
      <c r="AI55" s="35">
        <f>IF(AND($BD16&lt;&gt;"H",$BD16&lt;&gt;"V"),"",IF(AI16=$BD16,1,0))</f>
        <v>0</v>
      </c>
      <c r="AM55" s="35">
        <f>IF(AND($BD16&lt;&gt;"H",$BD16&lt;&gt;"V"),"",IF(AM16=$BD16,1,0))</f>
        <v>1</v>
      </c>
      <c r="AQ55" s="35">
        <f>IF(AND($BD16&lt;&gt;"H",$BD16&lt;&gt;"V"),"",IF(AQ16=$BD16,1,0))</f>
        <v>1</v>
      </c>
      <c r="AU55" s="35">
        <f>IF(AND($BD16&lt;&gt;"H",$BD16&lt;&gt;"V"),"",IF(AU16=$BD16,1,0))</f>
        <v>1</v>
      </c>
      <c r="AY55" s="35">
        <f>IF(AND($BD16&lt;&gt;"H",$BD16&lt;&gt;"V"),"",IF(AY16=$BD16,1,0))</f>
        <v>1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1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37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0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1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1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1</v>
      </c>
      <c r="AN56" s="35"/>
      <c r="AO56" s="35"/>
      <c r="AP56" s="35"/>
      <c r="AQ56" s="35">
        <f>IF(AND($BD17&lt;&gt;"H",$BD17&lt;&gt;"V"),"",IF(AQ17=$BD17,1,0))</f>
        <v>1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1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1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37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0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0</v>
      </c>
      <c r="P57" s="35"/>
      <c r="Q57" s="35"/>
      <c r="R57" s="35"/>
      <c r="S57" s="35">
        <f>IF(AND($BD18&lt;&gt;"H",$BD18&lt;&gt;"V"),"",IF(S18=$BD18,1,0))</f>
        <v>0</v>
      </c>
      <c r="T57" s="35"/>
      <c r="U57" s="35"/>
      <c r="V57" s="35"/>
      <c r="W57" s="35">
        <f>IF(AND($BD18&lt;&gt;"H",$BD18&lt;&gt;"V"),"",IF(W18=$BD18,1,0))</f>
        <v>1</v>
      </c>
      <c r="X57" s="35"/>
      <c r="Y57" s="35"/>
      <c r="Z57" s="35"/>
      <c r="AA57" s="35">
        <f>IF(AND($BD18&lt;&gt;"H",$BD18&lt;&gt;"V"),"",IF(AA18=$BD18,1,0))</f>
        <v>1</v>
      </c>
      <c r="AB57" s="35"/>
      <c r="AC57" s="35"/>
      <c r="AD57" s="35"/>
      <c r="AE57" s="35">
        <f>IF(AND($BD18&lt;&gt;"H",$BD18&lt;&gt;"V"),"",IF(AE18=$BD18,1,0))</f>
        <v>0</v>
      </c>
      <c r="AF57" s="35"/>
      <c r="AG57" s="35"/>
      <c r="AH57" s="35"/>
      <c r="AI57" s="35">
        <f>IF(AND($BD18&lt;&gt;"H",$BD18&lt;&gt;"V"),"",IF(AI18=$BD18,1,0))</f>
        <v>0</v>
      </c>
      <c r="AJ57" s="35"/>
      <c r="AK57" s="35"/>
      <c r="AL57" s="35"/>
      <c r="AM57" s="35">
        <f>IF(AND($BD18&lt;&gt;"H",$BD18&lt;&gt;"V"),"",IF(AM18=$BD18,1,0))</f>
        <v>0</v>
      </c>
      <c r="AN57" s="35"/>
      <c r="AO57" s="35"/>
      <c r="AP57" s="35"/>
      <c r="AQ57" s="35">
        <f>IF(AND($BD18&lt;&gt;"H",$BD18&lt;&gt;"V"),"",IF(AQ18=$BD18,1,0))</f>
        <v>0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0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0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37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 t="str">
        <f>IF(AND($BD23&lt;&gt;"H",$BD23&lt;&gt;"V"),"",IF(G23=$BD23,1,0))</f>
        <v/>
      </c>
      <c r="H58" s="35"/>
      <c r="I58" s="35"/>
      <c r="J58" s="35"/>
      <c r="K58" s="35" t="str">
        <f>IF(AND($BD23&lt;&gt;"H",$BD23&lt;&gt;"V"),"",IF(K23=$BD23,1,0))</f>
        <v/>
      </c>
      <c r="L58" s="35"/>
      <c r="M58" s="35"/>
      <c r="N58" s="35"/>
      <c r="O58" s="35" t="str">
        <f>IF(AND($BD23&lt;&gt;"H",$BD23&lt;&gt;"V"),"",IF(O23=$BD23,1,0))</f>
        <v/>
      </c>
      <c r="P58" s="35"/>
      <c r="Q58" s="35"/>
      <c r="R58" s="35"/>
      <c r="S58" s="35" t="str">
        <f>IF(AND($BD23&lt;&gt;"H",$BD23&lt;&gt;"V"),"",IF(S23=$BD23,1,0))</f>
        <v/>
      </c>
      <c r="T58" s="35"/>
      <c r="U58" s="35"/>
      <c r="V58" s="35"/>
      <c r="W58" s="35" t="str">
        <f>IF(AND($BD23&lt;&gt;"H",$BD23&lt;&gt;"V"),"",IF(W23=$BD23,1,0))</f>
        <v/>
      </c>
      <c r="X58" s="35"/>
      <c r="Y58" s="35"/>
      <c r="Z58" s="35"/>
      <c r="AA58" s="35" t="str">
        <f>IF(AND($BD23&lt;&gt;"H",$BD23&lt;&gt;"V"),"",IF(AA23=$BD23,1,0))</f>
        <v/>
      </c>
      <c r="AB58" s="35"/>
      <c r="AC58" s="35"/>
      <c r="AD58" s="35"/>
      <c r="AE58" s="35" t="str">
        <f>IF(AND($BD23&lt;&gt;"H",$BD23&lt;&gt;"V"),"",IF(AE23=$BD23,1,0))</f>
        <v/>
      </c>
      <c r="AF58" s="35"/>
      <c r="AG58" s="35"/>
      <c r="AH58" s="35"/>
      <c r="AI58" s="35" t="str">
        <f>IF(AND($BD23&lt;&gt;"H",$BD23&lt;&gt;"V"),"",IF(AI23=$BD23,1,0))</f>
        <v/>
      </c>
      <c r="AJ58" s="35"/>
      <c r="AK58" s="35"/>
      <c r="AL58" s="35"/>
      <c r="AM58" s="35" t="str">
        <f>IF(AND($BD23&lt;&gt;"H",$BD23&lt;&gt;"V"),"",IF(AM23=$BD23,1,0))</f>
        <v/>
      </c>
      <c r="AN58" s="35"/>
      <c r="AO58" s="35"/>
      <c r="AP58" s="35"/>
      <c r="AQ58" s="35" t="str">
        <f>IF(AND($BD23&lt;&gt;"H",$BD23&lt;&gt;"V"),"",IF(AQ23=$BD23,1,0))</f>
        <v/>
      </c>
      <c r="AR58" s="35"/>
      <c r="AS58" s="35"/>
      <c r="AT58" s="35"/>
      <c r="AU58" s="35" t="str">
        <f>IF(AND($BD23&lt;&gt;"H",$BD23&lt;&gt;"V"),"",IF(AU23=$BD23,1,0))</f>
        <v/>
      </c>
      <c r="AV58" s="35"/>
      <c r="AW58" s="35"/>
      <c r="AX58" s="35"/>
      <c r="AY58" s="35" t="str">
        <f>IF(AND($BD23&lt;&gt;"H",$BD23&lt;&gt;"V"),"",IF(AY23=$BD23,1,0))</f>
        <v/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 t="str">
        <f>IF(AND($BD23&lt;&gt;"H",$BD23&lt;&gt;"V"),"",IF(BI23=$BD23,1,0))</f>
        <v/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37" t="str">
        <f>CONCATENATE($DM$5,$K$7,$DN$5)</f>
        <v xml:space="preserve">   "V",</v>
      </c>
      <c r="DM58" s="34"/>
      <c r="DN58" s="34"/>
    </row>
    <row r="59" spans="1:118" s="29" customFormat="1" ht="15" hidden="1" customHeight="1" x14ac:dyDescent="0.2">
      <c r="F59" s="37" t="s">
        <v>93</v>
      </c>
      <c r="G59" s="35" t="str">
        <f>IF(AND($BD24&lt;&gt;"H",$BD24&lt;&gt;"V"),"",IF(G24=$BD24,1,0))</f>
        <v/>
      </c>
      <c r="H59" s="35"/>
      <c r="I59" s="35"/>
      <c r="J59" s="35"/>
      <c r="K59" s="35" t="str">
        <f>IF(AND($BD24&lt;&gt;"H",$BD24&lt;&gt;"V"),"",IF(K24=$BD24,1,0))</f>
        <v/>
      </c>
      <c r="L59" s="35"/>
      <c r="M59" s="35"/>
      <c r="N59" s="35"/>
      <c r="O59" s="35" t="str">
        <f>IF(AND($BD24&lt;&gt;"H",$BD24&lt;&gt;"V"),"",IF(O24=$BD24,1,0))</f>
        <v/>
      </c>
      <c r="P59" s="35"/>
      <c r="Q59" s="35"/>
      <c r="R59" s="35"/>
      <c r="S59" s="35" t="str">
        <f>IF(AND($BD24&lt;&gt;"H",$BD24&lt;&gt;"V"),"",IF(S24=$BD24,1,0))</f>
        <v/>
      </c>
      <c r="T59" s="35"/>
      <c r="U59" s="35"/>
      <c r="V59" s="35"/>
      <c r="W59" s="35" t="str">
        <f>IF(AND($BD24&lt;&gt;"H",$BD24&lt;&gt;"V"),"",IF(W24=$BD24,1,0))</f>
        <v/>
      </c>
      <c r="X59" s="35"/>
      <c r="Y59" s="35"/>
      <c r="Z59" s="35"/>
      <c r="AA59" s="35" t="str">
        <f>IF(AND($BD24&lt;&gt;"H",$BD24&lt;&gt;"V"),"",IF(AA24=$BD24,1,0))</f>
        <v/>
      </c>
      <c r="AB59" s="35"/>
      <c r="AC59" s="35"/>
      <c r="AD59" s="35"/>
      <c r="AE59" s="35" t="str">
        <f>IF(AND($BD24&lt;&gt;"H",$BD24&lt;&gt;"V"),"",IF(AE24=$BD24,1,0))</f>
        <v/>
      </c>
      <c r="AF59" s="35"/>
      <c r="AG59" s="35"/>
      <c r="AH59" s="35"/>
      <c r="AI59" s="35" t="str">
        <f>IF(AND($BD24&lt;&gt;"H",$BD24&lt;&gt;"V"),"",IF(AI24=$BD24,1,0))</f>
        <v/>
      </c>
      <c r="AJ59" s="35"/>
      <c r="AK59" s="35"/>
      <c r="AL59" s="35"/>
      <c r="AM59" s="35" t="str">
        <f>IF(AND($BD24&lt;&gt;"H",$BD24&lt;&gt;"V"),"",IF(AM24=$BD24,1,0))</f>
        <v/>
      </c>
      <c r="AN59" s="35"/>
      <c r="AO59" s="35"/>
      <c r="AP59" s="35"/>
      <c r="AQ59" s="35" t="str">
        <f>IF(AND($BD24&lt;&gt;"H",$BD24&lt;&gt;"V"),"",IF(AQ24=$BD24,1,0))</f>
        <v/>
      </c>
      <c r="AR59" s="35"/>
      <c r="AS59" s="35"/>
      <c r="AT59" s="35"/>
      <c r="AU59" s="35" t="str">
        <f>IF(AND($BD24&lt;&gt;"H",$BD24&lt;&gt;"V"),"",IF(AU24=$BD24,1,0))</f>
        <v/>
      </c>
      <c r="AV59" s="35"/>
      <c r="AW59" s="35"/>
      <c r="AX59" s="35"/>
      <c r="AY59" s="35" t="str">
        <f>IF(AND($BD24&lt;&gt;"H",$BD24&lt;&gt;"V"),"",IF(AY24=$BD24,1,0))</f>
        <v/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 t="str">
        <f>IF(AND($BD24&lt;&gt;"H",$BD24&lt;&gt;"V"),"",IF(BI24=$BD24,1,0))</f>
        <v/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37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37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114</v>
      </c>
      <c r="G61" s="43"/>
      <c r="H61" s="43"/>
      <c r="I61" s="43"/>
      <c r="J61" s="43">
        <f>IF(J11="",999,IF(J11&lt;0,ABS(J11)+0.1,ABS(J11)))</f>
        <v>999</v>
      </c>
      <c r="K61" s="43"/>
      <c r="L61" s="43"/>
      <c r="M61" s="43"/>
      <c r="N61" s="43">
        <f>IF(N11="",999,IF(N11&lt;0,ABS(N11)+0.1,ABS(N11)))</f>
        <v>999</v>
      </c>
      <c r="O61" s="43"/>
      <c r="P61" s="43"/>
      <c r="Q61" s="43"/>
      <c r="R61" s="43">
        <f>IF(R11="",999,IF(R11&lt;0,ABS(R11)+0.1,ABS(R11)))</f>
        <v>999</v>
      </c>
      <c r="S61" s="43"/>
      <c r="T61" s="43"/>
      <c r="U61" s="43"/>
      <c r="V61" s="43">
        <f>IF(V11="",999,IF(V11&lt;0,ABS(V11)+0.1,ABS(V11)))</f>
        <v>999</v>
      </c>
      <c r="W61" s="43"/>
      <c r="X61" s="43"/>
      <c r="Y61" s="43"/>
      <c r="Z61" s="43">
        <f>IF(Z11="",999,IF(Z11&lt;0,ABS(Z11)+0.1,ABS(Z11)))</f>
        <v>999</v>
      </c>
      <c r="AA61" s="43"/>
      <c r="AB61" s="43"/>
      <c r="AC61" s="43"/>
      <c r="AD61" s="43">
        <f>IF(AD11="",999,IF(AD11&lt;0,ABS(AD11)+0.1,ABS(AD11)))</f>
        <v>999</v>
      </c>
      <c r="AE61" s="43"/>
      <c r="AF61" s="43"/>
      <c r="AG61" s="43"/>
      <c r="AH61" s="43">
        <f>IF(AH11="",999,IF(AH11&lt;0,ABS(AH11)+0.1,ABS(AH11)))</f>
        <v>999</v>
      </c>
      <c r="AI61" s="43"/>
      <c r="AJ61" s="43"/>
      <c r="AK61" s="43"/>
      <c r="AL61" s="43">
        <f>IF(AL11="",999,IF(AL11&lt;0,ABS(AL11)+0.1,ABS(AL11)))</f>
        <v>999</v>
      </c>
      <c r="AM61" s="43"/>
      <c r="AN61" s="43"/>
      <c r="AO61" s="43"/>
      <c r="AP61" s="43">
        <f>IF(AP11="",999,IF(AP11&lt;0,ABS(AP11)+0.1,ABS(AP11)))</f>
        <v>999</v>
      </c>
      <c r="AQ61" s="43"/>
      <c r="AR61" s="43"/>
      <c r="AS61" s="43"/>
      <c r="AT61" s="43">
        <f>IF(AT11="",999,IF(AT11&lt;0,ABS(AT11)+0.1,ABS(AT11)))</f>
        <v>999</v>
      </c>
      <c r="AU61" s="43"/>
      <c r="AV61" s="43"/>
      <c r="AW61" s="43"/>
      <c r="AX61" s="43">
        <f>IF(AX11="",999,IF(AX11&lt;0,ABS(AX11)+0.1,ABS(AX11)))</f>
        <v>999</v>
      </c>
      <c r="AY61" s="43"/>
      <c r="AZ61" s="43"/>
      <c r="BA61" s="43"/>
      <c r="BB61" s="43">
        <f>IF(BB11="",999,IF(BB11&lt;0,ABS(BB11)+0.1,ABS(BB11)))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37" t="str">
        <f>CONCATENATE($DM$5,$K$10,$DN$5)</f>
        <v xml:space="preserve">   "V",</v>
      </c>
      <c r="DM61" s="34"/>
      <c r="DN61" s="34"/>
    </row>
    <row r="62" spans="1:118" s="29" customFormat="1" ht="15" hidden="1" customHeight="1" x14ac:dyDescent="0.2">
      <c r="F62" s="37" t="s">
        <v>115</v>
      </c>
      <c r="G62" s="43"/>
      <c r="H62" s="43"/>
      <c r="I62" s="43"/>
      <c r="J62" s="43">
        <f>IF(J19="",999,IF(J19&lt;0,ABS(J19)+0.1,ABS(J19)))</f>
        <v>999</v>
      </c>
      <c r="K62" s="43"/>
      <c r="L62" s="43"/>
      <c r="M62" s="43"/>
      <c r="N62" s="43">
        <f>IF(N19="",999,IF(N19&lt;0,ABS(N19)+0.1,ABS(N19)))</f>
        <v>999</v>
      </c>
      <c r="O62" s="43"/>
      <c r="P62" s="43"/>
      <c r="Q62" s="43"/>
      <c r="R62" s="43">
        <f>IF(R19="",999,IF(R19&lt;0,ABS(R19)+0.1,ABS(R19)))</f>
        <v>999</v>
      </c>
      <c r="S62" s="43"/>
      <c r="T62" s="43"/>
      <c r="U62" s="43"/>
      <c r="V62" s="43">
        <f>IF(V19="",999,IF(V19&lt;0,ABS(V19)+0.1,ABS(V19)))</f>
        <v>999</v>
      </c>
      <c r="W62" s="43"/>
      <c r="X62" s="43"/>
      <c r="Y62" s="43"/>
      <c r="Z62" s="43">
        <f>IF(Z19="",999,IF(Z19&lt;0,ABS(Z19)+0.1,ABS(Z19)))</f>
        <v>999</v>
      </c>
      <c r="AA62" s="43"/>
      <c r="AB62" s="43"/>
      <c r="AC62" s="43"/>
      <c r="AD62" s="43">
        <f>IF(AD19="",999,IF(AD19&lt;0,ABS(AD19)+0.1,ABS(AD19)))</f>
        <v>999</v>
      </c>
      <c r="AE62" s="43"/>
      <c r="AF62" s="43"/>
      <c r="AG62" s="43"/>
      <c r="AH62" s="43">
        <f>IF(AH19="",999,IF(AH19&lt;0,ABS(AH19)+0.1,ABS(AH19)))</f>
        <v>999</v>
      </c>
      <c r="AI62" s="43"/>
      <c r="AJ62" s="43"/>
      <c r="AK62" s="43"/>
      <c r="AL62" s="43">
        <f>IF(AL19="",999,IF(AL19&lt;0,ABS(AL19)+0.1,ABS(AL19)))</f>
        <v>999</v>
      </c>
      <c r="AM62" s="43"/>
      <c r="AN62" s="43"/>
      <c r="AO62" s="43"/>
      <c r="AP62" s="43">
        <f>IF(AP19="",999,IF(AP19&lt;0,ABS(AP19)+0.1,ABS(AP19)))</f>
        <v>999</v>
      </c>
      <c r="AQ62" s="43"/>
      <c r="AR62" s="43"/>
      <c r="AS62" s="43"/>
      <c r="AT62" s="43">
        <f>IF(AT19="",999,IF(AT19&lt;0,ABS(AT19)+0.1,ABS(AT19)))</f>
        <v>999</v>
      </c>
      <c r="AU62" s="43"/>
      <c r="AV62" s="43"/>
      <c r="AW62" s="43"/>
      <c r="AX62" s="43">
        <f>IF(AX19="",999,IF(AX19&lt;0,ABS(AX19)+0.1,ABS(AX19)))</f>
        <v>999</v>
      </c>
      <c r="AY62" s="43"/>
      <c r="AZ62" s="43"/>
      <c r="BA62" s="43"/>
      <c r="BB62" s="43">
        <f>IF(BB19="",999,IF(BB19&lt;0,ABS(BB19)+0.1,ABS(BB19)))</f>
        <v>999</v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37" t="str">
        <f>CONCATENATE($DM$5,$K$15,$DN$5)</f>
        <v xml:space="preserve">   "",</v>
      </c>
      <c r="DM62" s="34"/>
      <c r="DN62" s="34"/>
    </row>
    <row r="63" spans="1:118" s="29" customFormat="1" ht="15" hidden="1" customHeight="1" x14ac:dyDescent="0.2">
      <c r="F63" s="37" t="s">
        <v>116</v>
      </c>
      <c r="G63" s="35"/>
      <c r="H63" s="35"/>
      <c r="I63" s="35"/>
      <c r="J63" s="43">
        <f>IF(J25="",999,IF(J25&lt;0,ABS(J25)+0.1,ABS(J25)))</f>
        <v>999</v>
      </c>
      <c r="K63" s="35"/>
      <c r="L63" s="35"/>
      <c r="M63" s="35"/>
      <c r="N63" s="43">
        <f>IF(N25="",999,IF(N25&lt;0,ABS(N25)+0.1,ABS(N25)))</f>
        <v>999</v>
      </c>
      <c r="O63" s="35"/>
      <c r="P63" s="35"/>
      <c r="Q63" s="35"/>
      <c r="R63" s="43">
        <f>IF(R25="",999,IF(R25&lt;0,ABS(R25)+0.1,ABS(R25)))</f>
        <v>999</v>
      </c>
      <c r="S63" s="35"/>
      <c r="T63" s="35"/>
      <c r="U63" s="35"/>
      <c r="V63" s="43">
        <f>IF(V25="",999,IF(V25&lt;0,ABS(V25)+0.1,ABS(V25)))</f>
        <v>999</v>
      </c>
      <c r="W63" s="35"/>
      <c r="X63" s="35"/>
      <c r="Y63" s="35"/>
      <c r="Z63" s="43">
        <f>IF(Z25="",999,IF(Z25&lt;0,ABS(Z25)+0.1,ABS(Z25)))</f>
        <v>999</v>
      </c>
      <c r="AA63" s="35"/>
      <c r="AB63" s="35"/>
      <c r="AC63" s="35"/>
      <c r="AD63" s="43">
        <f>IF(AD25="",999,IF(AD25&lt;0,ABS(AD25)+0.1,ABS(AD25)))</f>
        <v>999</v>
      </c>
      <c r="AE63" s="35"/>
      <c r="AF63" s="35"/>
      <c r="AG63" s="35"/>
      <c r="AH63" s="43">
        <f>IF(AH25="",999,IF(AH25&lt;0,ABS(AH25)+0.1,ABS(AH25)))</f>
        <v>999</v>
      </c>
      <c r="AI63" s="35"/>
      <c r="AJ63" s="35"/>
      <c r="AK63" s="35"/>
      <c r="AL63" s="43">
        <f>IF(AL25="",999,IF(AL25&lt;0,ABS(AL25)+0.1,ABS(AL25)))</f>
        <v>999</v>
      </c>
      <c r="AM63" s="35"/>
      <c r="AN63" s="35"/>
      <c r="AO63" s="35"/>
      <c r="AP63" s="43">
        <f>IF(AP25="",999,IF(AP25&lt;0,ABS(AP25)+0.1,ABS(AP25)))</f>
        <v>999</v>
      </c>
      <c r="AQ63" s="35"/>
      <c r="AR63" s="35"/>
      <c r="AS63" s="35"/>
      <c r="AT63" s="43">
        <f>IF(AT25="",999,IF(AT25&lt;0,ABS(AT25)+0.1,ABS(AT25)))</f>
        <v>999</v>
      </c>
      <c r="AU63" s="35"/>
      <c r="AV63" s="35"/>
      <c r="AW63" s="35"/>
      <c r="AX63" s="43">
        <f>IF(AX25="",999,IF(AX25&lt;0,ABS(AX25)+0.1,ABS(AX25)))</f>
        <v>999</v>
      </c>
      <c r="AY63" s="35"/>
      <c r="AZ63" s="35"/>
      <c r="BA63" s="35"/>
      <c r="BB63" s="43">
        <f>IF(BB25="",999,IF(BB25&lt;0,ABS(BB25)+0.1,ABS(BB25)))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37" t="str">
        <f>CONCATENATE($DM$5,$K$16,$DN$5)</f>
        <v xml:space="preserve">   "",</v>
      </c>
      <c r="DM63" s="34"/>
      <c r="DN63" s="34"/>
    </row>
    <row r="64" spans="1:118" s="29" customFormat="1" ht="15" hidden="1" customHeight="1" x14ac:dyDescent="0.2">
      <c r="F64" s="37" t="s">
        <v>117</v>
      </c>
      <c r="G64" s="35"/>
      <c r="H64" s="35"/>
      <c r="I64" s="35"/>
      <c r="J64" s="43">
        <f>IF(J30="",999,IF(J30&lt;0,ABS(J30)+0.1,ABS(J30)))</f>
        <v>999</v>
      </c>
      <c r="K64" s="35"/>
      <c r="L64" s="35"/>
      <c r="M64" s="35"/>
      <c r="N64" s="43">
        <f>IF(N30="",999,IF(N30&lt;0,ABS(N30)+0.1,ABS(N30)))</f>
        <v>999</v>
      </c>
      <c r="O64" s="35"/>
      <c r="P64" s="35"/>
      <c r="Q64" s="35"/>
      <c r="R64" s="43">
        <f>IF(R30="",999,IF(R30&lt;0,ABS(R30)+0.1,ABS(R30)))</f>
        <v>999</v>
      </c>
      <c r="S64" s="35"/>
      <c r="T64" s="35"/>
      <c r="U64" s="35"/>
      <c r="V64" s="43">
        <f>IF(V30="",999,IF(V30&lt;0,ABS(V30)+0.1,ABS(V30)))</f>
        <v>999</v>
      </c>
      <c r="W64" s="35"/>
      <c r="X64" s="35"/>
      <c r="Y64" s="35"/>
      <c r="Z64" s="43">
        <f>IF(Z30="",999,IF(Z30&lt;0,ABS(Z30)+0.1,ABS(Z30)))</f>
        <v>999</v>
      </c>
      <c r="AA64" s="35"/>
      <c r="AB64" s="35"/>
      <c r="AC64" s="35"/>
      <c r="AD64" s="43">
        <f>IF(AD30="",999,IF(AD30&lt;0,ABS(AD30)+0.1,ABS(AD30)))</f>
        <v>999</v>
      </c>
      <c r="AE64" s="35"/>
      <c r="AF64" s="35"/>
      <c r="AG64" s="35"/>
      <c r="AH64" s="43">
        <f>IF(AH30="",999,IF(AH30&lt;0,ABS(AH30)+0.1,ABS(AH30)))</f>
        <v>999</v>
      </c>
      <c r="AI64" s="35"/>
      <c r="AJ64" s="35"/>
      <c r="AK64" s="35"/>
      <c r="AL64" s="43">
        <f>IF(AL30="",999,IF(AL30&lt;0,ABS(AL30)+0.1,ABS(AL30)))</f>
        <v>999</v>
      </c>
      <c r="AM64" s="35"/>
      <c r="AN64" s="35"/>
      <c r="AO64" s="35"/>
      <c r="AP64" s="43">
        <f>IF(AP30="",999,IF(AP30&lt;0,ABS(AP30)+0.1,ABS(AP30)))</f>
        <v>999</v>
      </c>
      <c r="AQ64" s="35"/>
      <c r="AR64" s="35"/>
      <c r="AS64" s="35"/>
      <c r="AT64" s="43">
        <f>IF(AT30="",999,IF(AT30&lt;0,ABS(AT30)+0.1,ABS(AT30)))</f>
        <v>999</v>
      </c>
      <c r="AU64" s="35"/>
      <c r="AV64" s="35"/>
      <c r="AW64" s="35"/>
      <c r="AX64" s="43">
        <f>IF(AX30="",999,IF(AX30&lt;0,ABS(AX30)+0.1,ABS(AX30)))</f>
        <v>999</v>
      </c>
      <c r="AY64" s="35"/>
      <c r="AZ64" s="35"/>
      <c r="BA64" s="35"/>
      <c r="BB64" s="43">
        <f>IF(BB30="",999,IF(BB30&lt;0,ABS(BB30)+0.1,ABS(BB30)))</f>
        <v>999</v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37" t="str">
        <f>CONCATENATE($DM$5,$K$17,$DN$5)</f>
        <v xml:space="preserve">   "",</v>
      </c>
      <c r="DM64" s="34"/>
      <c r="DN64" s="34"/>
    </row>
    <row r="65" spans="2:118" s="29" customFormat="1" ht="15" hidden="1" customHeight="1" x14ac:dyDescent="0.2">
      <c r="F65" s="37" t="s">
        <v>95</v>
      </c>
      <c r="G65" s="44" t="str">
        <f>G2</f>
        <v>BM</v>
      </c>
      <c r="H65" s="44" t="str">
        <f>K2</f>
        <v>CK</v>
      </c>
      <c r="I65" s="44" t="str">
        <f>O2</f>
        <v>CP</v>
      </c>
      <c r="J65" s="44" t="str">
        <f>S2</f>
        <v>DC</v>
      </c>
      <c r="K65" s="44" t="str">
        <f>W2</f>
        <v>DH</v>
      </c>
      <c r="L65" s="44" t="str">
        <f>AA2</f>
        <v>JG</v>
      </c>
      <c r="M65" s="44" t="str">
        <f>AE2</f>
        <v>JH</v>
      </c>
      <c r="N65" s="44" t="str">
        <f>AI2</f>
        <v>JL</v>
      </c>
      <c r="O65" s="44" t="str">
        <f>AM2</f>
        <v>KC</v>
      </c>
      <c r="P65" s="44" t="str">
        <f>AQ2</f>
        <v>KK</v>
      </c>
      <c r="Q65" s="44" t="str">
        <f>AU2</f>
        <v>MB</v>
      </c>
      <c r="R65" s="44" t="str">
        <f>AY2</f>
        <v>RR</v>
      </c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37" t="str">
        <f>CONCATENATE($DM$5,$K$18,$DN$5)</f>
        <v xml:space="preserve">   "",</v>
      </c>
      <c r="DM65" s="34"/>
      <c r="DN65" s="34"/>
    </row>
    <row r="66" spans="2:118" s="29" customFormat="1" ht="15" hidden="1" customHeight="1" thickBot="1" x14ac:dyDescent="0.25">
      <c r="F66" s="37" t="s">
        <v>96</v>
      </c>
      <c r="G66" s="45">
        <f>IF($BD$29="",IF($BD$23="",IF($BD$15="",IF($BD$5="",0,-22),-14),-8),-3)</f>
        <v>-14</v>
      </c>
      <c r="H66" s="35"/>
      <c r="I66" s="35"/>
      <c r="K66" s="46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37" t="str">
        <f>CONCATENATE($DM$5,$K$23,$DN$5)</f>
        <v xml:space="preserve">   "",</v>
      </c>
      <c r="DM66" s="34"/>
      <c r="DN66" s="34"/>
    </row>
    <row r="67" spans="2:118" ht="18" customHeight="1" thickTop="1" thickBot="1" x14ac:dyDescent="0.25">
      <c r="B67" s="29"/>
      <c r="C67" s="29"/>
      <c r="D67" s="29"/>
      <c r="E67" s="29"/>
      <c r="F67" s="29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50"/>
      <c r="CB67" s="266" t="str">
        <f>CONCATENATE("Week ",IF($BD$29="",IF($BD$23="",IF($BD$15="",IF($BD$7="",0,1),2),3),4)," Scores")</f>
        <v>Week 2 Scores</v>
      </c>
      <c r="CC67" s="267"/>
      <c r="CD67" s="268"/>
      <c r="CE67" s="167"/>
      <c r="CF67" s="266" t="s">
        <v>104</v>
      </c>
      <c r="CG67" s="267"/>
      <c r="CH67" s="268"/>
      <c r="CI67" s="56"/>
      <c r="CJ67" s="266" t="s">
        <v>113</v>
      </c>
      <c r="CK67" s="267"/>
      <c r="CL67" s="268"/>
      <c r="CM67" s="266" t="s">
        <v>109</v>
      </c>
      <c r="CN67" s="267"/>
      <c r="CO67" s="267"/>
      <c r="CP67" s="267"/>
      <c r="CQ67" s="267"/>
      <c r="CR67" s="267"/>
      <c r="CS67" s="268"/>
      <c r="CT67" s="1"/>
      <c r="DK67" s="1"/>
      <c r="DL67" s="237" t="str">
        <f>CONCATENATE($DM$5,$K$24,$DN$5)</f>
        <v xml:space="preserve">   "",</v>
      </c>
      <c r="DM67" s="34"/>
      <c r="DN67" s="34"/>
    </row>
    <row r="68" spans="2:118" ht="18" customHeight="1" thickTop="1" x14ac:dyDescent="0.2">
      <c r="B68" s="29"/>
      <c r="C68" s="29"/>
      <c r="D68" s="29"/>
      <c r="E68" s="29"/>
      <c r="F68" s="29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0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B68" s="2" t="s">
        <v>4</v>
      </c>
      <c r="CC68" s="57" t="s">
        <v>5</v>
      </c>
      <c r="CD68" s="58" t="s">
        <v>7</v>
      </c>
      <c r="CE68" s="167"/>
      <c r="CF68" s="3" t="s">
        <v>4</v>
      </c>
      <c r="CG68" s="57" t="s">
        <v>5</v>
      </c>
      <c r="CH68" s="58" t="s">
        <v>7</v>
      </c>
      <c r="CI68" s="166"/>
      <c r="CJ68" s="2" t="s">
        <v>4</v>
      </c>
      <c r="CK68" s="57" t="s">
        <v>5</v>
      </c>
      <c r="CL68" s="58" t="s">
        <v>6</v>
      </c>
      <c r="CM68" s="71" t="s">
        <v>105</v>
      </c>
      <c r="CN68" s="281" t="s">
        <v>106</v>
      </c>
      <c r="CO68" s="282"/>
      <c r="CP68" s="281" t="s">
        <v>107</v>
      </c>
      <c r="CQ68" s="282"/>
      <c r="CR68" s="281" t="s">
        <v>108</v>
      </c>
      <c r="CS68" s="283"/>
      <c r="CT68" s="1"/>
      <c r="DK68" s="1"/>
      <c r="DL68" s="237" t="str">
        <f>CONCATENATE($DM$5,$K$29,$DN$6)</f>
        <v xml:space="preserve">   ""</v>
      </c>
      <c r="DM68" s="34"/>
      <c r="DN68" s="34"/>
    </row>
    <row r="69" spans="2:118" ht="15" customHeight="1" x14ac:dyDescent="0.2">
      <c r="B69" s="29"/>
      <c r="C69" s="29"/>
      <c r="D69" s="29"/>
      <c r="E69" s="29"/>
      <c r="F69" s="29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O69" s="50"/>
      <c r="BP69" s="51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B69" s="59">
        <f ca="1">IF(CC69="","",OFFSET($AW$34,$G$66,0))</f>
        <v>1</v>
      </c>
      <c r="CC69" s="211" t="str">
        <f ca="1">IF(OR($AU$2="",$AU$2=0,CD69=""),"",$AU$2)</f>
        <v>MB</v>
      </c>
      <c r="CD69" s="241">
        <f ca="1">OFFSET($AX$34,$G$66,0)</f>
        <v>42</v>
      </c>
      <c r="CE69" s="212"/>
      <c r="CF69" s="62">
        <f>IF(CH69="","",RANK(CH69,CH$69:CH$80,1))</f>
        <v>1</v>
      </c>
      <c r="CG69" s="211" t="str">
        <f>IF(OR($G$2="",$G$2=0,CH69=""),"",$G$2)</f>
        <v>BM</v>
      </c>
      <c r="CH69" s="241">
        <f>$J$34</f>
        <v>105</v>
      </c>
      <c r="CI69" s="212"/>
      <c r="CJ69" s="65">
        <f>IF(CK69="","",RANK(CL69,CL$69:CL$80,0))</f>
        <v>1</v>
      </c>
      <c r="CK69" s="211" t="str">
        <f>IF(OR($G$2="",$G$2=0),"",$G$2)</f>
        <v>BM</v>
      </c>
      <c r="CL69" s="213">
        <f>IF(OR(CK69="",CK69=0),"",SUM(CM69,CO69,CQ69,CS69))</f>
        <v>40</v>
      </c>
      <c r="CM69" s="72">
        <f>IF(CK69="","",-$BO$6)</f>
        <v>-10</v>
      </c>
      <c r="CN69" s="214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CO69" s="75">
        <f>IF(CN69="","",IF(AND($BO$48&gt;0,$I$12=1),$BO$8/$BO$14,0)+IF(AND($BO$48&gt;1,$I$20=1),$BO$8/$BO$22,0)+IF(AND($BO$48&gt;2,$I$26=1),$BO$8/$BO$28,0)+IF(AND($BO$48&gt;3,$I$31=1),$BO$8/$BO$33,0))</f>
        <v>10</v>
      </c>
      <c r="CP69" s="215" t="str">
        <f>IF($I$34=1,"✓","")</f>
        <v>✓</v>
      </c>
      <c r="CQ69" s="75">
        <f>IF(CP69="✓",IF($BO$35&gt;1,($BO$9+$BO$10)/$BO$35,$BO$9/$BO$35),"")</f>
        <v>40</v>
      </c>
      <c r="CR69" s="215" t="str">
        <f>IF($I$34=2,"✓","")</f>
        <v/>
      </c>
      <c r="CS69" s="66" t="str">
        <f>IF(CR69="✓",$BO$10/$BP$35,"")</f>
        <v/>
      </c>
      <c r="CT69" s="1"/>
      <c r="DK69" s="1"/>
      <c r="DL69" s="237" t="s">
        <v>28</v>
      </c>
      <c r="DM69" s="34"/>
      <c r="DN69" s="34"/>
    </row>
    <row r="70" spans="2:118" ht="15" customHeight="1" x14ac:dyDescent="0.2">
      <c r="B70" s="47"/>
      <c r="C70" s="47"/>
      <c r="D70" s="47"/>
      <c r="E70" s="47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I70" s="48"/>
      <c r="BJ70" s="48"/>
      <c r="BK70" s="48"/>
      <c r="BL70" s="48"/>
      <c r="CB70" s="60">
        <f ca="1">IF(CC70="","",OFFSET($Y$34,$G$66,0))</f>
        <v>2</v>
      </c>
      <c r="CC70" s="216" t="str">
        <f ca="1">IF(OR($W$2="",$W$2=0,CD70=""),"",$W$2)</f>
        <v>DH</v>
      </c>
      <c r="CD70" s="242">
        <f ca="1">OFFSET($Z$34,$G$66,0)</f>
        <v>51</v>
      </c>
      <c r="CE70" s="168"/>
      <c r="CF70" s="63">
        <f>IF(CH70="","",RANK(CH70,CH$69:CH$80,1))</f>
        <v>1</v>
      </c>
      <c r="CG70" s="216" t="str">
        <f>IF(OR($AU$2="",$AU$2=0,CH70=""),"",$AU$2)</f>
        <v>MB</v>
      </c>
      <c r="CH70" s="242">
        <f>$AX$34</f>
        <v>105</v>
      </c>
      <c r="CI70" s="212"/>
      <c r="CJ70" s="67">
        <f>IF(CK70="","",RANK(CL70,CL$69:CL$80,0))</f>
        <v>1</v>
      </c>
      <c r="CK70" s="216" t="str">
        <f>IF(OR($AU$2="",$AU$2=0),"",$AU$2)</f>
        <v>MB</v>
      </c>
      <c r="CL70" s="217">
        <f>IF(OR(CK70="",CK70=0),"",SUM(CM70,CO70,CQ70,CS70))</f>
        <v>40</v>
      </c>
      <c r="CM70" s="73">
        <f>IF(CK70="","",-$BO$6)</f>
        <v>-10</v>
      </c>
      <c r="CN70" s="218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CO70" s="76">
        <f>IF(CN70="","",IF(AND($BO$48&gt;0,$AW$12=1),$BO$8/$BO$14,0)+IF(AND($BO$48&gt;1,$AW$20=1),$BO$8/$BO$22,0)+IF(AND($BO$48&gt;2,$AW$26=1),$BO$8/$BO$28,0)+IF(AND($BO$48&gt;3,$AW$31=1),$BO$8/$BO$33,0))</f>
        <v>10</v>
      </c>
      <c r="CP70" s="219" t="str">
        <f>IF($AW$34=1,"✓","")</f>
        <v>✓</v>
      </c>
      <c r="CQ70" s="76">
        <f>IF(CP70="✓",IF($BO$35&gt;1,($BO$9+$BO$10)/$BO$35,$BO$9/$BO$35),"")</f>
        <v>40</v>
      </c>
      <c r="CR70" s="219" t="str">
        <f>IF($AW$34=2,"✓","")</f>
        <v/>
      </c>
      <c r="CS70" s="68" t="str">
        <f>IF(CR70="✓",$BO$10/$BP$35,"")</f>
        <v/>
      </c>
      <c r="CT70" s="1"/>
      <c r="DK70" s="1"/>
      <c r="DL70" s="237"/>
      <c r="DM70" s="23"/>
      <c r="DN70" s="23"/>
    </row>
    <row r="71" spans="2:118" ht="15" customHeight="1" x14ac:dyDescent="0.2">
      <c r="CB71" s="60">
        <f ca="1">IF(CC71="","",OFFSET($AC$34,$G$66,0))</f>
        <v>2</v>
      </c>
      <c r="CC71" s="216" t="str">
        <f ca="1">IF(OR($AA$2="",$AA$2=0,CD71=""),"",$AA$2)</f>
        <v>JG</v>
      </c>
      <c r="CD71" s="242">
        <f ca="1">OFFSET($AD$34,$G$66,0)</f>
        <v>51</v>
      </c>
      <c r="CE71" s="168"/>
      <c r="CF71" s="63">
        <f>IF(CH71="","",RANK(CH71,CH$69:CH$80,1))</f>
        <v>3</v>
      </c>
      <c r="CG71" s="216" t="str">
        <f>IF(OR($AE$2="",$AE$2=0,CH71=""),"",$AE$2)</f>
        <v>JH</v>
      </c>
      <c r="CH71" s="242">
        <f>$AH$34</f>
        <v>113</v>
      </c>
      <c r="CI71" s="212"/>
      <c r="CJ71" s="67">
        <f>IF(CK71="","",RANK(CL71,CL$69:CL$80,0))</f>
        <v>3</v>
      </c>
      <c r="CK71" s="216" t="str">
        <f>IF(OR($K$2="",$K$2=0),"",$K$2)</f>
        <v>CK</v>
      </c>
      <c r="CL71" s="217">
        <f>IF(OR(CK71="",CK71=0),"",SUM(CM71,CO71,CQ71,CS71))</f>
        <v>-10</v>
      </c>
      <c r="CM71" s="73">
        <f>IF(CK71="","",-$BO$6)</f>
        <v>-10</v>
      </c>
      <c r="CN71" s="218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1" s="76" t="str">
        <f>IF(CN71="","",IF(AND($BO$48&gt;0,$M$12=1),$BO$8/$BO$14,0)+IF(AND($BO$48&gt;1,$M$20=1),$BO$8/$BO$22,0)+IF(AND($BO$48&gt;2,$M$26=1),$BO$8/$BO$28,0)+IF(AND($BO$48&gt;3,$M$31=1),$BO$8/$BO$33,0))</f>
        <v/>
      </c>
      <c r="CP71" s="219" t="str">
        <f>IF($M$34=1,"✓","")</f>
        <v/>
      </c>
      <c r="CQ71" s="76" t="str">
        <f>IF(CP71="✓",IF($BO$35&gt;1,($BO$9+$BO$10)/$BO$35,$BO$9/$BO$35),"")</f>
        <v/>
      </c>
      <c r="CR71" s="219" t="str">
        <f>IF($M$34=2,"✓","")</f>
        <v/>
      </c>
      <c r="CS71" s="68" t="str">
        <f>IF(CR71="✓",$BO$10/$BP$35,"")</f>
        <v/>
      </c>
      <c r="CT71" s="1"/>
      <c r="DK71" s="1"/>
      <c r="DL71" s="237" t="s">
        <v>31</v>
      </c>
      <c r="DM71" s="23"/>
      <c r="DN71" s="23"/>
    </row>
    <row r="72" spans="2:118" ht="15" customHeight="1" x14ac:dyDescent="0.2">
      <c r="CB72" s="60">
        <f ca="1">IF(CC72="","",OFFSET($AG$34,$G$66,0))</f>
        <v>4</v>
      </c>
      <c r="CC72" s="216" t="str">
        <f ca="1">IF(OR($AE$2="",$AE$2=0,CD72=""),"",$AE$2)</f>
        <v>JH</v>
      </c>
      <c r="CD72" s="242">
        <f ca="1">OFFSET($AH$34,$G$66,0)</f>
        <v>57</v>
      </c>
      <c r="CE72" s="168"/>
      <c r="CF72" s="63">
        <f>IF(CH72="","",RANK(CH72,CH$69:CH$80,1))</f>
        <v>4</v>
      </c>
      <c r="CG72" s="216" t="str">
        <f>IF(OR($W$2="",$W$2=0,CH72=""),"",$W$2)</f>
        <v>DH</v>
      </c>
      <c r="CH72" s="242">
        <f>$Z$34</f>
        <v>115</v>
      </c>
      <c r="CI72" s="212"/>
      <c r="CJ72" s="67">
        <f>IF(CK72="","",RANK(CL72,CL$69:CL$80,0))</f>
        <v>3</v>
      </c>
      <c r="CK72" s="216" t="str">
        <f>IF(OR($O$2="",$O$2=0),"",$O$2)</f>
        <v>CP</v>
      </c>
      <c r="CL72" s="217">
        <f>IF(OR(CK72="",CK72=0),"",SUM(CM72,CO72,CQ72,CS72))</f>
        <v>-10</v>
      </c>
      <c r="CM72" s="73">
        <f>IF(CK72="","",-$BO$6)</f>
        <v>-10</v>
      </c>
      <c r="CN72" s="21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2" s="76" t="str">
        <f>IF(CN72="","",IF(AND($BO$48&gt;0,$Q$12=1),$BO$8/$BO$14,0)+IF(AND($BO$48&gt;1,$Q$20=1),$BO$8/$BO$22,0)+IF(AND($BO$48&gt;2,$Q$26=1),$BO$8/$BO$28,0)+IF(AND($BO$48&gt;3,$Q$31=1),$BO$8/$BO$33,0))</f>
        <v/>
      </c>
      <c r="CP72" s="219" t="str">
        <f>IF($Q$34=1,"✓","")</f>
        <v/>
      </c>
      <c r="CQ72" s="76" t="str">
        <f>IF(CP72="✓",IF($BO$35&gt;1,($BO$9+$BO$10)/$BO$35,$BO$9/$BO$35),"")</f>
        <v/>
      </c>
      <c r="CR72" s="219" t="str">
        <f>IF($Q$34=2,"✓","")</f>
        <v/>
      </c>
      <c r="CS72" s="68" t="str">
        <f>IF(CR72="✓",$BO$10/$BP$35,"")</f>
        <v/>
      </c>
      <c r="CT72" s="1"/>
      <c r="DK72" s="1"/>
      <c r="DL72" s="237" t="str">
        <f>CONCATENATE($DM$5,$M$5,$DN$5)</f>
        <v xml:space="preserve">   "12",</v>
      </c>
      <c r="DM72" s="23"/>
      <c r="DN72" s="23"/>
    </row>
    <row r="73" spans="2:118" ht="15" customHeight="1" x14ac:dyDescent="0.2">
      <c r="CB73" s="60">
        <f ca="1">IF(CC73="","",OFFSET($I$34,$G$66,0))</f>
        <v>5</v>
      </c>
      <c r="CC73" s="216" t="str">
        <f ca="1">IF(OR($G$2="",$G$2=0,CD73=""),"",$G$2)</f>
        <v>BM</v>
      </c>
      <c r="CD73" s="242">
        <f ca="1">OFFSET($J$34,$G$66,0)</f>
        <v>63</v>
      </c>
      <c r="CE73" s="168"/>
      <c r="CF73" s="63">
        <f>IF(CH73="","",RANK(CH73,CH$69:CH$80,1))</f>
        <v>5</v>
      </c>
      <c r="CG73" s="216" t="str">
        <f>IF(OR($AM$2="",$AM$2=0,CH73=""),"",$AM$2)</f>
        <v>KC</v>
      </c>
      <c r="CH73" s="242">
        <f>$AP$34</f>
        <v>118.5</v>
      </c>
      <c r="CI73" s="212"/>
      <c r="CJ73" s="67">
        <f>IF(CK73="","",RANK(CL73,CL$69:CL$80,0))</f>
        <v>3</v>
      </c>
      <c r="CK73" s="216" t="str">
        <f>IF(OR($S$2="",$S$2=0),"",$S$2)</f>
        <v>DC</v>
      </c>
      <c r="CL73" s="217">
        <f>IF(OR(CK73="",CK73=0),"",SUM(CM73,CO73,CQ73,CS73))</f>
        <v>-10</v>
      </c>
      <c r="CM73" s="73">
        <f>IF(CK73="","",-$BO$6)</f>
        <v>-10</v>
      </c>
      <c r="CN73" s="218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3" s="76" t="str">
        <f>IF(CN73="","",IF(AND($BO$48&gt;0,$U$12=1),$BO$8/$BO$14,0)+IF(AND($BO$48&gt;1,$U$20=1),$BO$8/$BO$22,0)+IF(AND($BO$48&gt;2,$U$26=1),$BO$8/$BO$28,0)+IF(AND($BO$48&gt;3,$U$31=1),$BO$8/$BO$33,0))</f>
        <v/>
      </c>
      <c r="CP73" s="219" t="str">
        <f>IF($U$34=1,"✓","")</f>
        <v/>
      </c>
      <c r="CQ73" s="76" t="str">
        <f>IF(CP73="✓",IF($BO$35&gt;1,($BO$9+$BO$10)/$BO$35,$BO$9/$BO$35),"")</f>
        <v/>
      </c>
      <c r="CR73" s="219" t="str">
        <f>IF($U$34=2,"✓","")</f>
        <v/>
      </c>
      <c r="CS73" s="68" t="str">
        <f>IF(CR73="✓",$BO$10/$BP$35,"")</f>
        <v/>
      </c>
      <c r="CT73" s="1"/>
      <c r="DK73" s="1"/>
      <c r="DL73" s="237" t="str">
        <f>CONCATENATE($DM$5,$M$6,$DN$5)</f>
        <v xml:space="preserve">   "4",</v>
      </c>
      <c r="DM73" s="23"/>
      <c r="DN73" s="23"/>
    </row>
    <row r="74" spans="2:118" ht="15" customHeight="1" x14ac:dyDescent="0.2">
      <c r="CB74" s="60">
        <f ca="1">IF(CC74="","",OFFSET($Q$34,$G$66,0))</f>
        <v>5</v>
      </c>
      <c r="CC74" s="216" t="str">
        <f ca="1">IF(OR($O$2="",$O$2=0,CD74=""),"",$O$2)</f>
        <v>CP</v>
      </c>
      <c r="CD74" s="242">
        <f ca="1">OFFSET($R$34,$G$66,0)</f>
        <v>63</v>
      </c>
      <c r="CE74" s="168"/>
      <c r="CF74" s="63">
        <f>IF(CH74="","",RANK(CH74,CH$69:CH$80,1))</f>
        <v>6</v>
      </c>
      <c r="CG74" s="216" t="str">
        <f>IF(OR($AA$2="",$AA$2=0,CH74=""),"",$AA$2)</f>
        <v>JG</v>
      </c>
      <c r="CH74" s="242">
        <f>$AD$34</f>
        <v>120</v>
      </c>
      <c r="CI74" s="212"/>
      <c r="CJ74" s="67">
        <f>IF(CK74="","",RANK(CL74,CL$69:CL$80,0))</f>
        <v>3</v>
      </c>
      <c r="CK74" s="216" t="str">
        <f>IF(OR($W$2="",$W$2=0),"",$W$2)</f>
        <v>DH</v>
      </c>
      <c r="CL74" s="217">
        <f>IF(OR(CK74="",CK74=0),"",SUM(CM74,CO74,CQ74,CS74))</f>
        <v>-10</v>
      </c>
      <c r="CM74" s="73">
        <f>IF(CK74="","",-$BO$6)</f>
        <v>-10</v>
      </c>
      <c r="CN74" s="218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4" s="76" t="str">
        <f>IF(CN74="","",IF(AND($BO$48&gt;0,$Y$12=1),$BO$8/$BO$14,0)+IF(AND($BO$48&gt;1,$Y$20=1),$BO$8/$BO$22,0)+IF(AND($BO$48&gt;2,$Y$26=1),$BO$8/$BO$28,0)+IF(AND($BO$48&gt;3,$Y$31=1),$BO$8/$BO$33,0))</f>
        <v/>
      </c>
      <c r="CP74" s="219" t="str">
        <f>IF($Y$34=1,"✓","")</f>
        <v/>
      </c>
      <c r="CQ74" s="76" t="str">
        <f>IF(CP74="✓",IF($BO$35&gt;1,($BO$9+$BO$10)/$BO$35,$BO$9/$BO$35),"")</f>
        <v/>
      </c>
      <c r="CR74" s="219" t="str">
        <f>IF($Y$34=2,"✓","")</f>
        <v/>
      </c>
      <c r="CS74" s="68" t="str">
        <f>IF(CR74="✓",$BO$10/$BP$35,"")</f>
        <v/>
      </c>
      <c r="CT74" s="1"/>
      <c r="DK74" s="1"/>
      <c r="DL74" s="237" t="str">
        <f>CONCATENATE($DM$5,$M$7,$DN$5)</f>
        <v xml:space="preserve">   "7",</v>
      </c>
      <c r="DM74" s="23"/>
      <c r="DN74" s="23"/>
    </row>
    <row r="75" spans="2:118" ht="15" customHeight="1" x14ac:dyDescent="0.2">
      <c r="CB75" s="60">
        <f ca="1">IF(CC75="","",OFFSET($BA$34,$G$66,0))</f>
        <v>5</v>
      </c>
      <c r="CC75" s="216" t="str">
        <f ca="1">IF(OR($AY$2="",$AY$2=0,CD75=""),"",$AY$2)</f>
        <v>RR</v>
      </c>
      <c r="CD75" s="242">
        <f ca="1">OFFSET($BB$34,$G$66,0)</f>
        <v>63</v>
      </c>
      <c r="CE75" s="168"/>
      <c r="CF75" s="63">
        <f>IF(CH75="","",RANK(CH75,CH$69:CH$80,1))</f>
        <v>6</v>
      </c>
      <c r="CG75" s="216" t="str">
        <f>IF(OR($AY$2="",$AY$2=0,CH75=""),"",$AY$2)</f>
        <v>RR</v>
      </c>
      <c r="CH75" s="242">
        <f>$BB$34</f>
        <v>120</v>
      </c>
      <c r="CI75" s="212"/>
      <c r="CJ75" s="67">
        <f>IF(CK75="","",RANK(CL75,CL$69:CL$80,0))</f>
        <v>3</v>
      </c>
      <c r="CK75" s="216" t="str">
        <f>IF(OR($AA$2="",$AA$2=0),"",$AA$2)</f>
        <v>JG</v>
      </c>
      <c r="CL75" s="217">
        <f>IF(OR(CK75="",CK75=0),"",SUM(CM75,CO75,CQ75,CS75))</f>
        <v>-10</v>
      </c>
      <c r="CM75" s="73">
        <f>IF(CK75="","",-$BO$6)</f>
        <v>-10</v>
      </c>
      <c r="CN75" s="218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75" s="76" t="str">
        <f>IF(CN75="","",IF(AND($BO$48&gt;0,$AC$12=1),$BO$8/$BO$14,0)+IF(AND($BO$48&gt;1,$AC$20=1),$BO$8/$BO$22,0)+IF(AND($BO$48&gt;2,$AC$26=1),$BO$8/$BO$28,0)+IF(AND($BO$48&gt;3,$AC$31=1),$BO$8/$BO$33,0))</f>
        <v/>
      </c>
      <c r="CP75" s="219" t="str">
        <f>IF($AC$34=1,"✓","")</f>
        <v/>
      </c>
      <c r="CQ75" s="76" t="str">
        <f>IF(CP75="✓",IF($BO$35&gt;1,($BO$9+$BO$10)/$BO$35,$BO$9/$BO$35),"")</f>
        <v/>
      </c>
      <c r="CR75" s="219" t="str">
        <f>IF($AC$34=2,"✓","")</f>
        <v/>
      </c>
      <c r="CS75" s="68" t="str">
        <f>IF(CR75="✓",$BO$10/$BP$35,"")</f>
        <v/>
      </c>
      <c r="CT75" s="1"/>
      <c r="DK75" s="1"/>
      <c r="DL75" s="237" t="str">
        <f>CONCATENATE($DM$5,$M$8,$DN$5)</f>
        <v xml:space="preserve">   "7",</v>
      </c>
      <c r="DM75" s="23"/>
      <c r="DN75" s="23"/>
    </row>
    <row r="76" spans="2:118" ht="15" customHeight="1" x14ac:dyDescent="0.2">
      <c r="CB76" s="60">
        <f ca="1">IF(CC76="","",OFFSET($AO$34,$G$66,0))</f>
        <v>8</v>
      </c>
      <c r="CC76" s="216" t="str">
        <f ca="1">IF(OR($AM$2="",$AM$2=0,CD76=""),"",$AM$2)</f>
        <v>KC</v>
      </c>
      <c r="CD76" s="242">
        <f ca="1">OFFSET($AP$34,$G$66,0)</f>
        <v>64.5</v>
      </c>
      <c r="CE76" s="168"/>
      <c r="CF76" s="63">
        <f>IF(CH76="","",RANK(CH76,CH$69:CH$80,1))</f>
        <v>8</v>
      </c>
      <c r="CG76" s="216" t="str">
        <f>IF(OR($AI$2="",$AI$2=0,CH76=""),"",$AI$2)</f>
        <v>JL</v>
      </c>
      <c r="CH76" s="242">
        <f>$AL$34</f>
        <v>123.5</v>
      </c>
      <c r="CI76" s="212"/>
      <c r="CJ76" s="67">
        <f>IF(CK76="","",RANK(CL76,CL$69:CL$80,0))</f>
        <v>3</v>
      </c>
      <c r="CK76" s="216" t="str">
        <f>IF(OR($AE$2="",$AE$2=0),"",$AE$2)</f>
        <v>JH</v>
      </c>
      <c r="CL76" s="217">
        <f>IF(OR(CK76="",CK76=0),"",SUM(CM76,CO76,CQ76,CS76))</f>
        <v>-10</v>
      </c>
      <c r="CM76" s="73">
        <f>IF(CK76="","",-$BO$6)</f>
        <v>-10</v>
      </c>
      <c r="CN76" s="218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6" s="76" t="str">
        <f>IF(CN76="","",IF(AND($BO$48&gt;0,$AG$12=1),$BO$8/$BO$14,0)+IF(AND($BO$48&gt;1,$AG$20=1),$BO$8/$BO$22,0)+IF(AND($BO$48&gt;2,$AG$26=1),$BO$8/$BO$28,0)+IF(AND($BO$48&gt;3,$AG$31=1),$BO$8/$BO$33,0))</f>
        <v/>
      </c>
      <c r="CP76" s="219" t="str">
        <f>IF($AG$34=1,"✓","")</f>
        <v/>
      </c>
      <c r="CQ76" s="76" t="str">
        <f>IF(CP76="✓",IF($BO$35&gt;1,($BO$9+$BO$10)/$BO$35,$BO$9/$BO$35),"")</f>
        <v/>
      </c>
      <c r="CR76" s="219" t="str">
        <f>IF($AG$34=2,"✓","")</f>
        <v/>
      </c>
      <c r="CS76" s="68" t="str">
        <f>IF(CR76="✓",$BO$10/$BP$35,"")</f>
        <v/>
      </c>
      <c r="CT76" s="1"/>
      <c r="DK76" s="1"/>
      <c r="DL76" s="237" t="str">
        <f>CONCATENATE($DM$5,$M$9,$DN$5)</f>
        <v xml:space="preserve">   "17",</v>
      </c>
      <c r="DM76" s="23"/>
      <c r="DN76" s="23"/>
    </row>
    <row r="77" spans="2:118" ht="15" customHeight="1" x14ac:dyDescent="0.2">
      <c r="CB77" s="60">
        <f ca="1">IF(CC77="","",OFFSET($AS$34,$G$66,0))</f>
        <v>9</v>
      </c>
      <c r="CC77" s="216" t="str">
        <f ca="1">IF(OR($AQ$2="",$AQ$2=0,CD77=""),"",$AQ$2)</f>
        <v>KK</v>
      </c>
      <c r="CD77" s="242">
        <f ca="1">OFFSET($AT$34,$G$66,0)</f>
        <v>66</v>
      </c>
      <c r="CE77" s="168"/>
      <c r="CF77" s="63">
        <f>IF(CH77="","",RANK(CH77,CH$69:CH$80,1))</f>
        <v>9</v>
      </c>
      <c r="CG77" s="216" t="str">
        <f>IF(OR($S$2="",$S$2=0,CH77=""),"",$S$2)</f>
        <v>DC</v>
      </c>
      <c r="CH77" s="242">
        <f>$V$34</f>
        <v>128.5</v>
      </c>
      <c r="CI77" s="212"/>
      <c r="CJ77" s="67">
        <f>IF(CK77="","",RANK(CL77,CL$69:CL$80,0))</f>
        <v>3</v>
      </c>
      <c r="CK77" s="216" t="str">
        <f>IF(OR($AI$2="",$AI$2=0),"",$AI$2)</f>
        <v>JL</v>
      </c>
      <c r="CL77" s="217">
        <f>IF(OR(CK77="",CK77=0),"",SUM(CM77,CO77,CQ77,CS77))</f>
        <v>-10</v>
      </c>
      <c r="CM77" s="73">
        <f>IF(CK77="","",-$BO$6)</f>
        <v>-10</v>
      </c>
      <c r="CN77" s="218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7" s="76" t="str">
        <f>IF(CN77="","",IF(AND($BO$48&gt;0,$AK$12=1),$BO$8/$BO$14,0)+IF(AND($BO$48&gt;1,$AK$20=1),$BO$8/$BO$22,0)+IF(AND($BO$48&gt;2,$AK$26=1),$BO$8/$BO$28,0)+IF(AND($BO$48&gt;3,$AK$31=1),$BO$8/$BO$33,0))</f>
        <v/>
      </c>
      <c r="CP77" s="219" t="str">
        <f>IF($AK$34=1,"✓","")</f>
        <v/>
      </c>
      <c r="CQ77" s="76" t="str">
        <f>IF(CP77="✓",IF($BO$35&gt;1,($BO$9+$BO$10)/$BO$35,$BO$9/$BO$35),"")</f>
        <v/>
      </c>
      <c r="CR77" s="219" t="str">
        <f>IF($AK$34=2,"✓","")</f>
        <v/>
      </c>
      <c r="CS77" s="68" t="str">
        <f>IF(CR77="✓",$BO$10/$BP$35,"")</f>
        <v/>
      </c>
      <c r="CT77" s="1"/>
      <c r="DK77" s="1"/>
      <c r="DL77" s="237" t="str">
        <f>CONCATENATE($DM$5,$M$10,$DN$5)</f>
        <v xml:space="preserve">   "8",</v>
      </c>
      <c r="DM77" s="23"/>
      <c r="DN77" s="23"/>
    </row>
    <row r="78" spans="2:118" ht="15" customHeight="1" x14ac:dyDescent="0.2">
      <c r="CB78" s="60">
        <f ca="1">IF(CC78="","",OFFSET($U$34,$G$66,0))</f>
        <v>10</v>
      </c>
      <c r="CC78" s="216" t="str">
        <f ca="1">IF(OR($S$2="",$S$2=0,CD78=""),"",$S$2)</f>
        <v>DC</v>
      </c>
      <c r="CD78" s="242">
        <f ca="1">OFFSET($V$34,$G$66,0)</f>
        <v>67.5</v>
      </c>
      <c r="CE78" s="168"/>
      <c r="CF78" s="63">
        <f>IF(CH78="","",RANK(CH78,CH$69:CH$80,1))</f>
        <v>10</v>
      </c>
      <c r="CG78" s="216" t="str">
        <f>IF(OR($O$2="",$O$2=0,CH78=""),"",$O$2)</f>
        <v>CP</v>
      </c>
      <c r="CH78" s="242">
        <f>$R$34</f>
        <v>129</v>
      </c>
      <c r="CI78" s="212"/>
      <c r="CJ78" s="67">
        <f>IF(CK78="","",RANK(CL78,CL$69:CL$80,0))</f>
        <v>3</v>
      </c>
      <c r="CK78" s="216" t="str">
        <f>IF(OR($AM$2="",$AM$2=0),"",$AM$2)</f>
        <v>KC</v>
      </c>
      <c r="CL78" s="217">
        <f>IF(OR(CK78="",CK78=0),"",SUM(CM78,CO78,CQ78,CS78))</f>
        <v>-10</v>
      </c>
      <c r="CM78" s="73">
        <f>IF(CK78="","",-$BO$6)</f>
        <v>-10</v>
      </c>
      <c r="CN78" s="218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78" s="76" t="str">
        <f>IF(CN78="","",IF(AND($BO$48&gt;0,$AO$12=1),$BO$8/$BO$14,0)+IF(AND($BO$48&gt;1,$AO$20=1),$BO$8/$BO$22,0)+IF(AND($BO$48&gt;2,$AO$26=1),$BO$8/$BO$28,0)+IF(AND($BO$48&gt;3,$AO$31=1),$BO$8/$BO$33,0))</f>
        <v/>
      </c>
      <c r="CP78" s="219" t="str">
        <f>IF($AO$34=1,"✓","")</f>
        <v/>
      </c>
      <c r="CQ78" s="76" t="str">
        <f>IF(CP78="✓",IF($BO$35&gt;1,($BO$9+$BO$10)/$BO$35,$BO$9/$BO$35),"")</f>
        <v/>
      </c>
      <c r="CR78" s="219" t="str">
        <f>IF($AO$34=2,"✓","")</f>
        <v/>
      </c>
      <c r="CS78" s="68" t="str">
        <f>IF(CR78="✓",$BO$10/$BP$35,"")</f>
        <v/>
      </c>
      <c r="CT78" s="1"/>
      <c r="DK78" s="1"/>
      <c r="DL78" s="237" t="str">
        <f>CONCATENATE($DM$5,$M$15,$DN$5)</f>
        <v xml:space="preserve">   "",</v>
      </c>
      <c r="DM78" s="23"/>
      <c r="DN78" s="23"/>
    </row>
    <row r="79" spans="2:118" ht="15" customHeight="1" x14ac:dyDescent="0.2">
      <c r="CB79" s="60">
        <f ca="1">IF(CC79="","",OFFSET($AK$34,$G$66,0))</f>
        <v>11</v>
      </c>
      <c r="CC79" s="216" t="str">
        <f ca="1">IF(OR($AI$2="",$AI$2=0,CD79=""),"",$AI$2)</f>
        <v>JL</v>
      </c>
      <c r="CD79" s="242">
        <f ca="1">OFFSET($AL$34,$G$66,0)</f>
        <v>76.5</v>
      </c>
      <c r="CE79" s="168"/>
      <c r="CF79" s="63">
        <f>IF(CH79="","",RANK(CH79,CH$69:CH$80,1))</f>
        <v>11</v>
      </c>
      <c r="CG79" s="216" t="str">
        <f>IF(OR($AQ$2="",$AQ$2=0,CH79=""),"",$AQ$2)</f>
        <v>KK</v>
      </c>
      <c r="CH79" s="242">
        <f>$AT$34</f>
        <v>146</v>
      </c>
      <c r="CI79" s="212"/>
      <c r="CJ79" s="67">
        <f>IF(CK79="","",RANK(CL79,CL$69:CL$80,0))</f>
        <v>3</v>
      </c>
      <c r="CK79" s="216" t="str">
        <f>IF(OR($AQ$2="",$AQ$2=0),"",$AQ$2)</f>
        <v>KK</v>
      </c>
      <c r="CL79" s="217">
        <f>IF(OR(CK79="",CK79=0),"",SUM(CM79,CO79,CQ79,CS79))</f>
        <v>-10</v>
      </c>
      <c r="CM79" s="73">
        <f>IF(CK79="","",-$BO$6)</f>
        <v>-10</v>
      </c>
      <c r="CN79" s="21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79" s="76" t="str">
        <f>IF(CN79="","",IF(AND($BO$48&gt;0,$AS$12=1),$BO$8/$BO$14,0)+IF(AND($BO$48&gt;1,$AS$20=1),$BO$8/$BO$22,0)+IF(AND($BO$48&gt;2,$AS$26=1),$BO$8/$BO$28,0)+IF(AND($BO$48&gt;3,$AS$31=1),$BO$8/$BO$33,0))</f>
        <v/>
      </c>
      <c r="CP79" s="219" t="str">
        <f>IF($AS$34=1,"✓","")</f>
        <v/>
      </c>
      <c r="CQ79" s="76" t="str">
        <f>IF(CP79="✓",IF($BO$35&gt;1,($BO$9+$BO$10)/$BO$35,$BO$9/$BO$35),"")</f>
        <v/>
      </c>
      <c r="CR79" s="219" t="str">
        <f>IF($AS$34=2,"✓","")</f>
        <v/>
      </c>
      <c r="CS79" s="68" t="str">
        <f>IF(CR79="✓",$BO$10/$BP$35,"")</f>
        <v/>
      </c>
      <c r="CT79" s="1"/>
      <c r="DK79" s="1"/>
      <c r="DL79" s="237" t="str">
        <f>CONCATENATE($DM$5,$M$16,$DN$5)</f>
        <v xml:space="preserve">   "",</v>
      </c>
      <c r="DM79" s="23"/>
      <c r="DN79" s="23"/>
    </row>
    <row r="80" spans="2:118" ht="15" customHeight="1" thickBot="1" x14ac:dyDescent="0.25">
      <c r="CB80" s="61" t="str">
        <f ca="1">IF(CC80="","",OFFSET($M$34,$G$66,0))</f>
        <v/>
      </c>
      <c r="CC80" s="220" t="str">
        <f ca="1">IF(OR($K$2="",$K$2=0,CD80=""),"",$K$2)</f>
        <v/>
      </c>
      <c r="CD80" s="243" t="str">
        <f ca="1">OFFSET($N$34,$G$66,0)</f>
        <v/>
      </c>
      <c r="CE80" s="168"/>
      <c r="CF80" s="64" t="str">
        <f>IF(CH80="","",RANK(CH80,CH$69:CH$80,1))</f>
        <v/>
      </c>
      <c r="CG80" s="220" t="str">
        <f>IF(OR($K$2="",$K$2=0,CH80=""),"",$K$2)</f>
        <v/>
      </c>
      <c r="CH80" s="243" t="str">
        <f>$N$34</f>
        <v/>
      </c>
      <c r="CI80" s="212"/>
      <c r="CJ80" s="69">
        <f>IF(CK80="","",RANK(CL80,CL$69:CL$80,0))</f>
        <v>3</v>
      </c>
      <c r="CK80" s="220" t="str">
        <f>IF(OR($AY$2="",$AY$2=0),"",$AY$2)</f>
        <v>RR</v>
      </c>
      <c r="CL80" s="221">
        <f>IF(OR(CK80="",CK80=0),"",SUM(CM80,CO80,CQ80,CS80))</f>
        <v>-10</v>
      </c>
      <c r="CM80" s="74">
        <f>IF(CK80="","",-$BO$6)</f>
        <v>-10</v>
      </c>
      <c r="CN80" s="222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0" s="77" t="str">
        <f>IF(CN80="","",IF(AND($BO$48&gt;0,$BA$12=1),$BO$8/$BO$14,0)+IF(AND($BO$48&gt;1,$BA$20=1),$BO$8/$BO$22,0)+IF(AND($BO$48&gt;2,$BA$26=1),$BO$8/$BO$28,0)+IF(AND($BO$48&gt;3,$BA$31=1),$BO$8/$BO$33,0))</f>
        <v/>
      </c>
      <c r="CP80" s="223" t="str">
        <f>IF($BA$34=1,"✓","")</f>
        <v/>
      </c>
      <c r="CQ80" s="77" t="str">
        <f>IF(CP80="✓",IF($BO$35&gt;1,($BO$9+$BO$10)/$BO$35,$BO$9/$BO$35),"")</f>
        <v/>
      </c>
      <c r="CR80" s="223" t="str">
        <f>IF($BA$34=2,"✓","")</f>
        <v/>
      </c>
      <c r="CS80" s="70" t="str">
        <f>IF(CR80="✓",$BO$10/$BP$35,"")</f>
        <v/>
      </c>
      <c r="CT80" s="1"/>
      <c r="DK80" s="1"/>
      <c r="DL80" s="237" t="str">
        <f>CONCATENATE($DM$5,$M$17,$DN$5)</f>
        <v xml:space="preserve">   "",</v>
      </c>
      <c r="DM80" s="23"/>
      <c r="DN80" s="23"/>
    </row>
    <row r="81" spans="99:118" ht="15" customHeight="1" thickTop="1" thickBot="1" x14ac:dyDescent="0.25">
      <c r="DL81" s="237" t="str">
        <f>CONCATENATE($DM$5,$M$18,$DN$5)</f>
        <v xml:space="preserve">   "",</v>
      </c>
      <c r="DM81" s="23"/>
      <c r="DN81" s="23"/>
    </row>
    <row r="82" spans="99:118" ht="18" customHeight="1" thickTop="1" thickBot="1" x14ac:dyDescent="0.25">
      <c r="CU82" s="266" t="str">
        <f>CONCATENATE($Z$1," Results")</f>
        <v>2020 Football Pool Results</v>
      </c>
      <c r="CV82" s="267"/>
      <c r="CW82" s="267"/>
      <c r="CX82" s="267"/>
      <c r="CY82" s="267"/>
      <c r="CZ82" s="267"/>
      <c r="DA82" s="267"/>
      <c r="DB82" s="267"/>
      <c r="DC82" s="267"/>
      <c r="DD82" s="267"/>
      <c r="DE82" s="267"/>
      <c r="DF82" s="267"/>
      <c r="DG82" s="267"/>
      <c r="DH82" s="267"/>
      <c r="DI82" s="267"/>
      <c r="DJ82" s="268"/>
      <c r="DL82" s="237" t="str">
        <f>CONCATENATE($DM$5,$M$23,$DN$5)</f>
        <v xml:space="preserve">   "",</v>
      </c>
      <c r="DM82" s="23"/>
      <c r="DN82" s="23"/>
    </row>
    <row r="83" spans="99:118" ht="18" customHeight="1" thickTop="1" thickBot="1" x14ac:dyDescent="0.25">
      <c r="CU83" s="273" t="s">
        <v>5</v>
      </c>
      <c r="CV83" s="284" t="s">
        <v>110</v>
      </c>
      <c r="CW83" s="276" t="s">
        <v>111</v>
      </c>
      <c r="CX83" s="277"/>
      <c r="CY83" s="277"/>
      <c r="CZ83" s="277"/>
      <c r="DA83" s="277"/>
      <c r="DB83" s="277"/>
      <c r="DC83" s="278"/>
      <c r="DD83" s="277" t="s">
        <v>112</v>
      </c>
      <c r="DE83" s="277"/>
      <c r="DF83" s="277"/>
      <c r="DG83" s="277"/>
      <c r="DH83" s="277"/>
      <c r="DI83" s="277"/>
      <c r="DJ83" s="278"/>
      <c r="DL83" s="237" t="str">
        <f>CONCATENATE($DM$5,$M$24,$DN$5)</f>
        <v xml:space="preserve">   "",</v>
      </c>
      <c r="DM83" s="23"/>
      <c r="DN83" s="23"/>
    </row>
    <row r="84" spans="99:118" ht="12.95" customHeight="1" x14ac:dyDescent="0.2">
      <c r="CU84" s="274"/>
      <c r="CV84" s="285"/>
      <c r="CW84" s="271" t="s">
        <v>99</v>
      </c>
      <c r="CX84" s="264" t="s">
        <v>98</v>
      </c>
      <c r="CY84" s="264" t="s">
        <v>99</v>
      </c>
      <c r="CZ84" s="264" t="s">
        <v>100</v>
      </c>
      <c r="DA84" s="264"/>
      <c r="DB84" s="264" t="s">
        <v>101</v>
      </c>
      <c r="DC84" s="279"/>
      <c r="DD84" s="269" t="str">
        <f>CONCATENATE("Cost to Play ($",$BO$6,")")</f>
        <v>Cost to Play ($10)</v>
      </c>
      <c r="DE84" s="264" t="s">
        <v>98</v>
      </c>
      <c r="DF84" s="264"/>
      <c r="DG84" s="264" t="s">
        <v>102</v>
      </c>
      <c r="DH84" s="264"/>
      <c r="DI84" s="264" t="s">
        <v>103</v>
      </c>
      <c r="DJ84" s="279"/>
      <c r="DL84" s="237" t="str">
        <f>CONCATENATE($DM$5,$M$29,$DN$6)</f>
        <v xml:space="preserve">   ""</v>
      </c>
      <c r="DM84" s="23"/>
      <c r="DN84" s="23"/>
    </row>
    <row r="85" spans="99:118" ht="12.95" customHeight="1" thickBot="1" x14ac:dyDescent="0.25">
      <c r="CU85" s="275"/>
      <c r="CV85" s="286"/>
      <c r="CW85" s="272"/>
      <c r="CX85" s="265"/>
      <c r="CY85" s="265"/>
      <c r="CZ85" s="265"/>
      <c r="DA85" s="265"/>
      <c r="DB85" s="265"/>
      <c r="DC85" s="280"/>
      <c r="DD85" s="270"/>
      <c r="DE85" s="265"/>
      <c r="DF85" s="265"/>
      <c r="DG85" s="265"/>
      <c r="DH85" s="265"/>
      <c r="DI85" s="265"/>
      <c r="DJ85" s="280"/>
      <c r="DL85" s="237" t="s">
        <v>28</v>
      </c>
      <c r="DM85" s="23"/>
      <c r="DN85" s="23"/>
    </row>
    <row r="86" spans="99:118" ht="15" customHeight="1" x14ac:dyDescent="0.2">
      <c r="CU86" s="302" t="str">
        <f>IF(OR($AY$2="",$AY$2=0),"",$AY$2)</f>
        <v>RR</v>
      </c>
      <c r="CV86" s="224">
        <f>IF(CU86="","",SUM(CW86,CY86,DA86,DC86,DD86,DF86,DH86,DJ86))</f>
        <v>63</v>
      </c>
      <c r="CW86" s="172">
        <v>-51</v>
      </c>
      <c r="CX86" s="173">
        <v>4</v>
      </c>
      <c r="CY86" s="174">
        <v>124</v>
      </c>
      <c r="CZ86" s="225" t="s">
        <v>209</v>
      </c>
      <c r="DA86" s="174" t="s">
        <v>209</v>
      </c>
      <c r="DB86" s="226" t="s">
        <v>209</v>
      </c>
      <c r="DC86" s="175" t="s">
        <v>209</v>
      </c>
      <c r="DD86" s="176">
        <f>IF(CU86="","",-$BO$6)</f>
        <v>-10</v>
      </c>
      <c r="DE86" s="17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86" s="174" t="str">
        <f>IF(DE86="","",IF(AND($BO$48&gt;0,$BA$12=1),$BO$8/$BO$14,0)+IF(AND($BO$48&gt;1,$BA$20=1),$BO$8/$BO$22,0)+IF(AND($BO$48&gt;2,$BA$26=1),$BO$8/$BO$28,0)+IF(AND($BO$48&gt;3,$BA$31=1),$BO$8/$BO$33,0))</f>
        <v/>
      </c>
      <c r="DG86" s="225" t="str">
        <f>IF($BA$34=1,"✓","")</f>
        <v/>
      </c>
      <c r="DH86" s="174" t="str">
        <f>IF(DG86="✓",IF($BO$35&gt;1,($BO$9+$BO$10)/$BO$35,$BO$9/$BO$35),"")</f>
        <v/>
      </c>
      <c r="DI86" s="226" t="str">
        <f>IF($BA$34=2,"✓","")</f>
        <v/>
      </c>
      <c r="DJ86" s="175" t="str">
        <f>IF(DI86="✓",$BO$10/$BP$35,"")</f>
        <v/>
      </c>
      <c r="DL86" s="237"/>
      <c r="DM86" s="23"/>
      <c r="DN86" s="23"/>
    </row>
    <row r="87" spans="99:118" ht="15" customHeight="1" x14ac:dyDescent="0.2">
      <c r="CU87" s="169" t="str">
        <f>IF(OR($G$2="",$G$2=0),"",$G$2)</f>
        <v>BM</v>
      </c>
      <c r="CV87" s="227">
        <f>IF(CU87="","",SUM(CW87,CY87,DA87,DC87,DD87,DF87,DH87,DJ87))</f>
        <v>51</v>
      </c>
      <c r="CW87" s="177">
        <v>-51</v>
      </c>
      <c r="CX87" s="178">
        <v>2</v>
      </c>
      <c r="CY87" s="179">
        <v>62</v>
      </c>
      <c r="CZ87" s="228" t="s">
        <v>209</v>
      </c>
      <c r="DA87" s="179" t="s">
        <v>209</v>
      </c>
      <c r="DB87" s="229" t="s">
        <v>209</v>
      </c>
      <c r="DC87" s="180" t="s">
        <v>209</v>
      </c>
      <c r="DD87" s="181">
        <f>IF(CU87="","",-$BO$6)</f>
        <v>-10</v>
      </c>
      <c r="DE87" s="178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DF87" s="179">
        <f>IF(DE87="","",IF(AND($BO$48&gt;0,$I$12=1),$BO$8/$BO$14,0)+IF(AND($BO$48&gt;1,$I$20=1),$BO$8/$BO$22,0)+IF(AND($BO$48&gt;2,$I$26=1),$BO$8/$BO$28,0)+IF(AND($BO$48&gt;3,$I$31=1),$BO$8/$BO$33,0))</f>
        <v>10</v>
      </c>
      <c r="DG87" s="228" t="str">
        <f>IF($I$34=1,"✓","")</f>
        <v>✓</v>
      </c>
      <c r="DH87" s="179">
        <f>IF(DG87="✓",IF($BO$35&gt;1,($BO$9+$BO$10)/$BO$35,$BO$9/$BO$35),"")</f>
        <v>40</v>
      </c>
      <c r="DI87" s="229" t="str">
        <f>IF($I$34=2,"✓","")</f>
        <v/>
      </c>
      <c r="DJ87" s="180" t="str">
        <f>IF(DI87="✓",$BO$10/$BP$35,"")</f>
        <v/>
      </c>
      <c r="DL87" s="237" t="s">
        <v>63</v>
      </c>
      <c r="DM87" s="23"/>
      <c r="DN87" s="23"/>
    </row>
    <row r="88" spans="99:118" ht="15" customHeight="1" x14ac:dyDescent="0.2">
      <c r="CU88" s="169" t="str">
        <f>IF(OR($AE$2="",$AE$2=0),"",$AE$2)</f>
        <v>JH</v>
      </c>
      <c r="CV88" s="227">
        <f>IF(CU88="","",SUM(CW88,CY88,DA88,DC88,DD88,DF88,DH88,DJ88))</f>
        <v>35</v>
      </c>
      <c r="CW88" s="177">
        <v>-51</v>
      </c>
      <c r="CX88" s="178">
        <v>2</v>
      </c>
      <c r="CY88" s="179">
        <v>62</v>
      </c>
      <c r="CZ88" s="228" t="s">
        <v>209</v>
      </c>
      <c r="DA88" s="179" t="s">
        <v>209</v>
      </c>
      <c r="DB88" s="229" t="s">
        <v>210</v>
      </c>
      <c r="DC88" s="180">
        <v>34</v>
      </c>
      <c r="DD88" s="181">
        <f>IF(CU88="","",-$BO$6)</f>
        <v>-10</v>
      </c>
      <c r="DE88" s="178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88" s="179" t="str">
        <f>IF(DE88="","",IF(AND($BO$48&gt;0,$AG$12=1),$BO$8/$BO$14,0)+IF(AND($BO$48&gt;1,$AG$20=1),$BO$8/$BO$22,0)+IF(AND($BO$48&gt;2,$AG$26=1),$BO$8/$BO$28,0)+IF(AND($BO$48&gt;3,$AG$31=1),$BO$8/$BO$33,0))</f>
        <v/>
      </c>
      <c r="DG88" s="228" t="str">
        <f>IF($AG$34=1,"✓","")</f>
        <v/>
      </c>
      <c r="DH88" s="179" t="str">
        <f>IF(DG88="✓",IF($BO$35&gt;1,($BO$9+$BO$10)/$BO$35,$BO$9/$BO$35),"")</f>
        <v/>
      </c>
      <c r="DI88" s="229" t="str">
        <f>IF($AG$34=2,"✓","")</f>
        <v/>
      </c>
      <c r="DJ88" s="180" t="str">
        <f>IF(DI88="✓",$BO$10/$BP$35,"")</f>
        <v/>
      </c>
      <c r="DL88" s="239" t="str">
        <f>CONCATENATE($DM$5,$DN$5)</f>
        <v xml:space="preserve">   "",</v>
      </c>
      <c r="DM88" s="23"/>
      <c r="DN88" s="23"/>
    </row>
    <row r="89" spans="99:118" ht="15" customHeight="1" x14ac:dyDescent="0.2">
      <c r="CU89" s="169" t="str">
        <f>IF(OR($AA$2="",$AA$2=0),"",$AA$2)</f>
        <v>JG</v>
      </c>
      <c r="CV89" s="227">
        <f>IF(CU89="","",SUM(CW89,CY89,DA89,DC89,DD89,DF89,DH89,DJ89))</f>
        <v>32</v>
      </c>
      <c r="CW89" s="177">
        <v>-51</v>
      </c>
      <c r="CX89" s="178">
        <v>3</v>
      </c>
      <c r="CY89" s="179">
        <v>93</v>
      </c>
      <c r="CZ89" s="228" t="s">
        <v>209</v>
      </c>
      <c r="DA89" s="179" t="s">
        <v>209</v>
      </c>
      <c r="DB89" s="229" t="s">
        <v>209</v>
      </c>
      <c r="DC89" s="180" t="s">
        <v>209</v>
      </c>
      <c r="DD89" s="181">
        <f>IF(CU89="","",-$BO$6)</f>
        <v>-10</v>
      </c>
      <c r="DE89" s="178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89" s="179" t="str">
        <f>IF(DE89="","",IF(AND($BO$48&gt;0,$AC$12=1),$BO$8/$BO$14,0)+IF(AND($BO$48&gt;1,$AC$20=1),$BO$8/$BO$22,0)+IF(AND($BO$48&gt;2,$AC$26=1),$BO$8/$BO$28,0)+IF(AND($BO$48&gt;3,$AC$31=1),$BO$8/$BO$33,0))</f>
        <v/>
      </c>
      <c r="DG89" s="228" t="str">
        <f>IF($AC$34=1,"✓","")</f>
        <v/>
      </c>
      <c r="DH89" s="179" t="str">
        <f>IF(DG89="✓",IF($BO$35&gt;1,($BO$9+$BO$10)/$BO$35,$BO$9/$BO$35),"")</f>
        <v/>
      </c>
      <c r="DI89" s="229" t="str">
        <f>IF($AC$34=2,"✓","")</f>
        <v/>
      </c>
      <c r="DJ89" s="180" t="str">
        <f>IF(DI89="✓",$BO$10/$BP$35,"")</f>
        <v/>
      </c>
      <c r="DL89" s="239" t="str">
        <f>CONCATENATE($DM$5,$DN$5)</f>
        <v xml:space="preserve">   "",</v>
      </c>
      <c r="DM89" s="23"/>
      <c r="DN89" s="23"/>
    </row>
    <row r="90" spans="99:118" ht="15" customHeight="1" x14ac:dyDescent="0.2">
      <c r="CU90" s="169" t="str">
        <f>IF(OR($O$2="",$O$2=0),"",$O$2)</f>
        <v>CP</v>
      </c>
      <c r="CV90" s="227">
        <f>IF(CU90="","",SUM(CW90,CY90,DA90,DC90,DD90,DF90,DH90,DJ90))</f>
        <v>21</v>
      </c>
      <c r="CW90" s="177">
        <v>-51</v>
      </c>
      <c r="CX90" s="178">
        <v>1</v>
      </c>
      <c r="CY90" s="179">
        <v>31</v>
      </c>
      <c r="CZ90" s="228" t="s">
        <v>210</v>
      </c>
      <c r="DA90" s="179">
        <v>51</v>
      </c>
      <c r="DB90" s="229" t="s">
        <v>209</v>
      </c>
      <c r="DC90" s="180" t="s">
        <v>209</v>
      </c>
      <c r="DD90" s="181">
        <f>IF(CU90="","",-$BO$6)</f>
        <v>-10</v>
      </c>
      <c r="DE90" s="17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79" t="str">
        <f>IF(DE90="","",IF(AND($BO$48&gt;0,$Q$12=1),$BO$8/$BO$14,0)+IF(AND($BO$48&gt;1,$Q$20=1),$BO$8/$BO$22,0)+IF(AND($BO$48&gt;2,$Q$26=1),$BO$8/$BO$28,0)+IF(AND($BO$48&gt;3,$Q$31=1),$BO$8/$BO$33,0))</f>
        <v/>
      </c>
      <c r="DG90" s="228" t="str">
        <f>IF($Q$34=1,"✓","")</f>
        <v/>
      </c>
      <c r="DH90" s="179" t="str">
        <f>IF(DG90="✓",IF($BO$35&gt;1,($BO$9+$BO$10)/$BO$35,$BO$9/$BO$35),"")</f>
        <v/>
      </c>
      <c r="DI90" s="229" t="str">
        <f>IF($Q$34=2,"✓","")</f>
        <v/>
      </c>
      <c r="DJ90" s="180" t="str">
        <f>IF(DI90="✓",$BO$10/$BP$35,"")</f>
        <v/>
      </c>
      <c r="DL90" s="239" t="str">
        <f>CONCATENATE($DM$5,$DN$5)</f>
        <v xml:space="preserve">   "",</v>
      </c>
      <c r="DM90" s="23"/>
      <c r="DN90" s="23"/>
    </row>
    <row r="91" spans="99:118" ht="15" customHeight="1" x14ac:dyDescent="0.2">
      <c r="CU91" s="169" t="str">
        <f>IF(OR($AU$2="",$AU$2=0),"",$AU$2)</f>
        <v>MB</v>
      </c>
      <c r="CV91" s="227">
        <f>IF(CU91="","",SUM(CW91,CY91,DA91,DC91,DD91,DF91,DH91,DJ91))</f>
        <v>20</v>
      </c>
      <c r="CW91" s="177">
        <v>-51</v>
      </c>
      <c r="CX91" s="178">
        <v>1</v>
      </c>
      <c r="CY91" s="179">
        <v>31</v>
      </c>
      <c r="CZ91" s="228" t="s">
        <v>209</v>
      </c>
      <c r="DA91" s="179" t="s">
        <v>209</v>
      </c>
      <c r="DB91" s="229" t="s">
        <v>209</v>
      </c>
      <c r="DC91" s="180" t="s">
        <v>209</v>
      </c>
      <c r="DD91" s="181">
        <f>IF(CU91="","",-$BO$6)</f>
        <v>-10</v>
      </c>
      <c r="DE91" s="178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DF91" s="179">
        <f>IF(DE91="","",IF(AND($BO$48&gt;0,$AW$12=1),$BO$8/$BO$14,0)+IF(AND($BO$48&gt;1,$AW$20=1),$BO$8/$BO$22,0)+IF(AND($BO$48&gt;2,$AW$26=1),$BO$8/$BO$28,0)+IF(AND($BO$48&gt;3,$AW$31=1),$BO$8/$BO$33,0))</f>
        <v>10</v>
      </c>
      <c r="DG91" s="228" t="str">
        <f>IF($AW$34=1,"✓","")</f>
        <v>✓</v>
      </c>
      <c r="DH91" s="179">
        <f>IF(DG91="✓",IF($BO$35&gt;1,($BO$9+$BO$10)/$BO$35,$BO$9/$BO$35),"")</f>
        <v>40</v>
      </c>
      <c r="DI91" s="229" t="str">
        <f>IF($AW$34=2,"✓","")</f>
        <v/>
      </c>
      <c r="DJ91" s="180" t="str">
        <f>IF(DI91="✓",$BO$10/$BP$35,"")</f>
        <v/>
      </c>
      <c r="DL91" s="239" t="str">
        <f>CONCATENATE($DM$5,$DN$5)</f>
        <v xml:space="preserve">   "",</v>
      </c>
      <c r="DM91" s="23"/>
      <c r="DN91" s="23"/>
    </row>
    <row r="92" spans="99:118" ht="15" customHeight="1" x14ac:dyDescent="0.2">
      <c r="CU92" s="169" t="str">
        <f>IF(OR($AI$2="",$AI$2=0),"",$AI$2)</f>
        <v>JL</v>
      </c>
      <c r="CV92" s="227">
        <f>IF(CU92="","",SUM(CW92,CY92,DA92,DC92,DD92,DF92,DH92,DJ92))</f>
        <v>-30</v>
      </c>
      <c r="CW92" s="177">
        <v>-51</v>
      </c>
      <c r="CX92" s="178">
        <v>1</v>
      </c>
      <c r="CY92" s="179">
        <v>31</v>
      </c>
      <c r="CZ92" s="228" t="s">
        <v>209</v>
      </c>
      <c r="DA92" s="179" t="s">
        <v>209</v>
      </c>
      <c r="DB92" s="229" t="s">
        <v>209</v>
      </c>
      <c r="DC92" s="180" t="s">
        <v>209</v>
      </c>
      <c r="DD92" s="181">
        <f>IF(CU92="","",-$BO$6)</f>
        <v>-10</v>
      </c>
      <c r="DE92" s="178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2" s="179" t="str">
        <f>IF(DE92="","",IF(AND($BO$48&gt;0,$AK$12=1),$BO$8/$BO$14,0)+IF(AND($BO$48&gt;1,$AK$20=1),$BO$8/$BO$22,0)+IF(AND($BO$48&gt;2,$AK$26=1),$BO$8/$BO$28,0)+IF(AND($BO$48&gt;3,$AK$31=1),$BO$8/$BO$33,0))</f>
        <v/>
      </c>
      <c r="DG92" s="228" t="str">
        <f>IF($AK$34=1,"✓","")</f>
        <v/>
      </c>
      <c r="DH92" s="179" t="str">
        <f>IF(DG92="✓",IF($BO$35&gt;1,($BO$9+$BO$10)/$BO$35,$BO$9/$BO$35),"")</f>
        <v/>
      </c>
      <c r="DI92" s="229" t="str">
        <f>IF($AK$34=2,"✓","")</f>
        <v/>
      </c>
      <c r="DJ92" s="180" t="str">
        <f>IF(DI92="✓",$BO$10/$BP$35,"")</f>
        <v/>
      </c>
      <c r="DL92" s="239" t="str">
        <f>CONCATENATE($DM$5,$DN$5)</f>
        <v xml:space="preserve">   "",</v>
      </c>
      <c r="DM92" s="23"/>
      <c r="DN92" s="23"/>
    </row>
    <row r="93" spans="99:118" ht="15" customHeight="1" x14ac:dyDescent="0.2">
      <c r="CU93" s="169" t="str">
        <f>IF(OR($AM$2="",$AM$2=0),"",$AM$2)</f>
        <v>KC</v>
      </c>
      <c r="CV93" s="227">
        <f>IF(CU93="","",SUM(CW93,CY93,DA93,DC93,DD93,DF93,DH93,DJ93))</f>
        <v>-30</v>
      </c>
      <c r="CW93" s="177">
        <v>-51</v>
      </c>
      <c r="CX93" s="178">
        <v>1</v>
      </c>
      <c r="CY93" s="179">
        <v>31</v>
      </c>
      <c r="CZ93" s="228" t="s">
        <v>209</v>
      </c>
      <c r="DA93" s="179" t="s">
        <v>209</v>
      </c>
      <c r="DB93" s="229" t="s">
        <v>209</v>
      </c>
      <c r="DC93" s="180" t="s">
        <v>209</v>
      </c>
      <c r="DD93" s="181">
        <f>IF(CU93="","",-$BO$6)</f>
        <v>-10</v>
      </c>
      <c r="DE93" s="178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3" s="179" t="str">
        <f>IF(DE93="","",IF(AND($BO$48&gt;0,$AO$12=1),$BO$8/$BO$14,0)+IF(AND($BO$48&gt;1,$AO$20=1),$BO$8/$BO$22,0)+IF(AND($BO$48&gt;2,$AO$26=1),$BO$8/$BO$28,0)+IF(AND($BO$48&gt;3,$AO$31=1),$BO$8/$BO$33,0))</f>
        <v/>
      </c>
      <c r="DG93" s="228" t="str">
        <f>IF($AO$34=1,"✓","")</f>
        <v/>
      </c>
      <c r="DH93" s="179" t="str">
        <f>IF(DG93="✓",IF($BO$35&gt;1,($BO$9+$BO$10)/$BO$35,$BO$9/$BO$35),"")</f>
        <v/>
      </c>
      <c r="DI93" s="229" t="str">
        <f>IF($AO$34=2,"✓","")</f>
        <v/>
      </c>
      <c r="DJ93" s="180" t="str">
        <f>IF(DI93="✓",$BO$10/$BP$35,"")</f>
        <v/>
      </c>
      <c r="DL93" s="237" t="str">
        <f>CONCATENATE($DM$5,$M$11,$DN$5)</f>
        <v xml:space="preserve">   "47",</v>
      </c>
      <c r="DM93" s="23"/>
      <c r="DN93" s="23"/>
    </row>
    <row r="94" spans="99:118" ht="15" customHeight="1" x14ac:dyDescent="0.2">
      <c r="CU94" s="169" t="str">
        <f>IF(OR($K$2="",$K$2=0),"",$K$2)</f>
        <v>CK</v>
      </c>
      <c r="CV94" s="227">
        <f>IF(CU94="","",SUM(CW94,CY94,DA94,DC94,DD94,DF94,DH94,DJ94))</f>
        <v>-30</v>
      </c>
      <c r="CW94" s="177">
        <v>-51</v>
      </c>
      <c r="CX94" s="178">
        <v>1</v>
      </c>
      <c r="CY94" s="179">
        <v>31</v>
      </c>
      <c r="CZ94" s="228" t="s">
        <v>209</v>
      </c>
      <c r="DA94" s="179" t="s">
        <v>209</v>
      </c>
      <c r="DB94" s="229" t="s">
        <v>209</v>
      </c>
      <c r="DC94" s="180" t="s">
        <v>209</v>
      </c>
      <c r="DD94" s="181">
        <f>IF(CU94="","",-$BO$6)</f>
        <v>-10</v>
      </c>
      <c r="DE94" s="178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4" s="179" t="str">
        <f>IF(DE94="","",IF(AND($BO$48&gt;0,$M$12=1),$BO$8/$BO$14,0)+IF(AND($BO$48&gt;1,$M$20=1),$BO$8/$BO$22,0)+IF(AND($BO$48&gt;2,$M$26=1),$BO$8/$BO$28,0)+IF(AND($BO$48&gt;3,$M$31=1),$BO$8/$BO$33,0))</f>
        <v/>
      </c>
      <c r="DG94" s="228" t="str">
        <f>IF($M$34=1,"✓","")</f>
        <v/>
      </c>
      <c r="DH94" s="179" t="str">
        <f>IF(DG94="✓",IF($BO$35&gt;1,($BO$9+$BO$10)/$BO$35,$BO$9/$BO$35),"")</f>
        <v/>
      </c>
      <c r="DI94" s="229" t="str">
        <f>IF($M$34=2,"✓","")</f>
        <v/>
      </c>
      <c r="DJ94" s="180" t="str">
        <f>IF(DI94="✓",$BO$10/$BP$35,"")</f>
        <v/>
      </c>
      <c r="DL94" s="239" t="str">
        <f>CONCATENATE($DM$5,$DN$5)</f>
        <v xml:space="preserve">   "",</v>
      </c>
      <c r="DM94" s="23"/>
      <c r="DN94" s="23"/>
    </row>
    <row r="95" spans="99:118" ht="15" customHeight="1" x14ac:dyDescent="0.2">
      <c r="CU95" s="169" t="str">
        <f>IF(OR($W$2="",$W$2=0),"",$W$2)</f>
        <v>DH</v>
      </c>
      <c r="CV95" s="227">
        <f>IF(CU95="","",SUM(CW95,CY95,DA95,DC95,DD95,DF95,DH95,DJ95))</f>
        <v>-30</v>
      </c>
      <c r="CW95" s="177">
        <v>-51</v>
      </c>
      <c r="CX95" s="178">
        <v>1</v>
      </c>
      <c r="CY95" s="179">
        <v>31</v>
      </c>
      <c r="CZ95" s="228" t="s">
        <v>209</v>
      </c>
      <c r="DA95" s="179" t="s">
        <v>209</v>
      </c>
      <c r="DB95" s="229" t="s">
        <v>209</v>
      </c>
      <c r="DC95" s="180" t="s">
        <v>209</v>
      </c>
      <c r="DD95" s="181">
        <f>IF(CU95="","",-$BO$6)</f>
        <v>-10</v>
      </c>
      <c r="DE95" s="178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95" s="179" t="str">
        <f>IF(DE95="","",IF(AND($BO$48&gt;0,$Y$12=1),$BO$8/$BO$14,0)+IF(AND($BO$48&gt;1,$Y$20=1),$BO$8/$BO$22,0)+IF(AND($BO$48&gt;2,$Y$26=1),$BO$8/$BO$28,0)+IF(AND($BO$48&gt;3,$Y$31=1),$BO$8/$BO$33,0))</f>
        <v/>
      </c>
      <c r="DG95" s="228" t="str">
        <f>IF($Y$34=1,"✓","")</f>
        <v/>
      </c>
      <c r="DH95" s="179" t="str">
        <f>IF(DG95="✓",IF($BO$35&gt;1,($BO$9+$BO$10)/$BO$35,$BO$9/$BO$35),"")</f>
        <v/>
      </c>
      <c r="DI95" s="229" t="str">
        <f>IF($Y$34=2,"✓","")</f>
        <v/>
      </c>
      <c r="DJ95" s="180" t="str">
        <f>IF(DI95="✓",$BO$10/$BP$35,"")</f>
        <v/>
      </c>
      <c r="DL95" s="239" t="str">
        <f>CONCATENATE($DM$5,$DN$5)</f>
        <v xml:space="preserve">   "",</v>
      </c>
      <c r="DM95" s="23"/>
      <c r="DN95" s="23"/>
    </row>
    <row r="96" spans="99:118" ht="15" customHeight="1" x14ac:dyDescent="0.2">
      <c r="CU96" s="169" t="str">
        <f>IF(OR($AQ$2="",$AQ$2=0),"",$AQ$2)</f>
        <v>KK</v>
      </c>
      <c r="CV96" s="227">
        <f>IF(CU96="","",SUM(CW96,CY96,DA96,DC96,DD96,DF96,DH96,DJ96))</f>
        <v>-61</v>
      </c>
      <c r="CW96" s="177">
        <v>-51</v>
      </c>
      <c r="CX96" s="178" t="s">
        <v>209</v>
      </c>
      <c r="CY96" s="179" t="s">
        <v>209</v>
      </c>
      <c r="CZ96" s="228" t="s">
        <v>209</v>
      </c>
      <c r="DA96" s="179" t="s">
        <v>209</v>
      </c>
      <c r="DB96" s="229" t="s">
        <v>209</v>
      </c>
      <c r="DC96" s="180" t="s">
        <v>209</v>
      </c>
      <c r="DD96" s="181">
        <f>IF(CU96="","",-$BO$6)</f>
        <v>-10</v>
      </c>
      <c r="DE96" s="17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6" s="179" t="str">
        <f>IF(DE96="","",IF(AND($BO$48&gt;0,$AS$12=1),$BO$8/$BO$14,0)+IF(AND($BO$48&gt;1,$AS$20=1),$BO$8/$BO$22,0)+IF(AND($BO$48&gt;2,$AS$26=1),$BO$8/$BO$28,0)+IF(AND($BO$48&gt;3,$AS$31=1),$BO$8/$BO$33,0))</f>
        <v/>
      </c>
      <c r="DG96" s="228" t="str">
        <f>IF($AS$34=1,"✓","")</f>
        <v/>
      </c>
      <c r="DH96" s="179" t="str">
        <f>IF(DG96="✓",IF($BO$35&gt;1,($BO$9+$BO$10)/$BO$35,$BO$9/$BO$35),"")</f>
        <v/>
      </c>
      <c r="DI96" s="229" t="str">
        <f>IF($AS$34=2,"✓","")</f>
        <v/>
      </c>
      <c r="DJ96" s="180" t="str">
        <f>IF(DI96="✓",$BO$10/$BP$35,"")</f>
        <v/>
      </c>
      <c r="DL96" s="239" t="str">
        <f>CONCATENATE($DM$5,$DN$5)</f>
        <v xml:space="preserve">   "",</v>
      </c>
      <c r="DM96" s="23"/>
      <c r="DN96" s="23"/>
    </row>
    <row r="97" spans="99:118" ht="15" customHeight="1" thickBot="1" x14ac:dyDescent="0.25">
      <c r="CU97" s="251" t="str">
        <f>IF(OR($S$2="",$S$2=0),"",$S$2)</f>
        <v>DC</v>
      </c>
      <c r="CV97" s="230">
        <f>IF(CU97="","",SUM(CW97,CY97,DA97,DC97,DD97,DF97,DH97,DJ97))</f>
        <v>-61</v>
      </c>
      <c r="CW97" s="182">
        <v>-51</v>
      </c>
      <c r="CX97" s="183" t="s">
        <v>209</v>
      </c>
      <c r="CY97" s="184" t="s">
        <v>209</v>
      </c>
      <c r="CZ97" s="231" t="s">
        <v>209</v>
      </c>
      <c r="DA97" s="184" t="s">
        <v>209</v>
      </c>
      <c r="DB97" s="232" t="s">
        <v>209</v>
      </c>
      <c r="DC97" s="185" t="s">
        <v>209</v>
      </c>
      <c r="DD97" s="186">
        <f>IF(CU97="","",-$BO$6)</f>
        <v>-10</v>
      </c>
      <c r="DE97" s="18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7" s="184" t="str">
        <f>IF(DE97="","",IF(AND($BO$48&gt;0,$U$12=1),$BO$8/$BO$14,0)+IF(AND($BO$48&gt;1,$U$20=1),$BO$8/$BO$22,0)+IF(AND($BO$48&gt;2,$U$26=1),$BO$8/$BO$28,0)+IF(AND($BO$48&gt;3,$U$31=1),$BO$8/$BO$33,0))</f>
        <v/>
      </c>
      <c r="DG97" s="231" t="str">
        <f>IF($U$34=1,"✓","")</f>
        <v/>
      </c>
      <c r="DH97" s="184" t="str">
        <f>IF(DG97="✓",IF($BO$35&gt;1,($BO$9+$BO$10)/$BO$35,$BO$9/$BO$35),"")</f>
        <v/>
      </c>
      <c r="DI97" s="232" t="str">
        <f>IF($U$34=2,"✓","")</f>
        <v/>
      </c>
      <c r="DJ97" s="185" t="str">
        <f>IF(DI97="✓",$BO$10/$BP$35,"")</f>
        <v/>
      </c>
      <c r="DL97" s="237" t="str">
        <f>CONCATENATE($DM$5,$M$19,$DN$5)</f>
        <v xml:space="preserve">   "",</v>
      </c>
      <c r="DM97" s="23"/>
      <c r="DN97" s="23"/>
    </row>
    <row r="98" spans="99:118" ht="12.75" customHeight="1" thickTop="1" x14ac:dyDescent="0.2">
      <c r="DL98" s="239" t="str">
        <f>CONCATENATE($DM$5,$DN$5)</f>
        <v xml:space="preserve">   "",</v>
      </c>
      <c r="DM98" s="23"/>
      <c r="DN98" s="23"/>
    </row>
    <row r="99" spans="99:118" ht="12.75" customHeight="1" x14ac:dyDescent="0.2">
      <c r="DL99" s="237" t="str">
        <f>CONCATENATE($DM$5,$M$25,$DN$5)</f>
        <v xml:space="preserve">   "",</v>
      </c>
      <c r="DM99" s="23"/>
      <c r="DN99" s="23"/>
    </row>
    <row r="100" spans="99:118" ht="12.75" customHeight="1" x14ac:dyDescent="0.2">
      <c r="DL100" s="237" t="str">
        <f>CONCATENATE($DM$5,$M$30,$DN$6)</f>
        <v xml:space="preserve">   ""</v>
      </c>
      <c r="DM100" s="23"/>
      <c r="DN100" s="23"/>
    </row>
    <row r="101" spans="99:118" ht="12.75" customHeight="1" x14ac:dyDescent="0.2">
      <c r="DL101" s="237" t="s">
        <v>28</v>
      </c>
      <c r="DM101" s="23"/>
      <c r="DN101" s="23"/>
    </row>
    <row r="102" spans="99:118" ht="12.75" customHeight="1" x14ac:dyDescent="0.2">
      <c r="DL102" s="238"/>
      <c r="DM102" s="23"/>
      <c r="DN102" s="23"/>
    </row>
    <row r="103" spans="99:118" ht="12.75" customHeight="1" x14ac:dyDescent="0.2">
      <c r="DL103" s="237" t="s">
        <v>32</v>
      </c>
      <c r="DM103" s="23"/>
      <c r="DN103" s="23"/>
    </row>
    <row r="104" spans="99:118" ht="12.75" customHeight="1" x14ac:dyDescent="0.2">
      <c r="DL104" s="237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37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37" t="str">
        <f>CONCATENATE($DM$5,$O$7,$DN$5)</f>
        <v xml:space="preserve">   "V",</v>
      </c>
      <c r="DM106" s="23"/>
      <c r="DN106" s="23"/>
    </row>
    <row r="107" spans="99:118" ht="12.75" customHeight="1" x14ac:dyDescent="0.2">
      <c r="DL107" s="237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37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37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37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37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37" t="str">
        <f>CONCATENATE($DM$5,$O$17,$DN$5)</f>
        <v xml:space="preserve">   "H",</v>
      </c>
      <c r="DM112" s="23"/>
      <c r="DN112" s="23"/>
    </row>
    <row r="113" spans="116:118" ht="12.75" customHeight="1" x14ac:dyDescent="0.2">
      <c r="DL113" s="237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37" t="str">
        <f>CONCATENATE($DM$5,$O$23,$DN$5)</f>
        <v xml:space="preserve">   "",</v>
      </c>
      <c r="DM114" s="23"/>
      <c r="DN114" s="23"/>
    </row>
    <row r="115" spans="116:118" ht="12.75" customHeight="1" x14ac:dyDescent="0.2">
      <c r="DL115" s="237" t="str">
        <f>CONCATENATE($DM$5,$O$24,$DN$5)</f>
        <v xml:space="preserve">   "",</v>
      </c>
      <c r="DM115" s="23"/>
      <c r="DN115" s="23"/>
    </row>
    <row r="116" spans="116:118" ht="12.75" customHeight="1" x14ac:dyDescent="0.2">
      <c r="DL116" s="237" t="str">
        <f>CONCATENATE($DM$5,$O$29,$DN$6)</f>
        <v xml:space="preserve">   ""</v>
      </c>
      <c r="DM116" s="23"/>
      <c r="DN116" s="23"/>
    </row>
    <row r="117" spans="116:118" ht="12.75" customHeight="1" x14ac:dyDescent="0.2">
      <c r="DL117" s="237" t="s">
        <v>28</v>
      </c>
      <c r="DM117" s="23"/>
      <c r="DN117" s="23"/>
    </row>
    <row r="118" spans="116:118" ht="12.75" customHeight="1" x14ac:dyDescent="0.2">
      <c r="DL118" s="237"/>
      <c r="DM118" s="23"/>
      <c r="DN118" s="23"/>
    </row>
    <row r="119" spans="116:118" ht="12.75" customHeight="1" x14ac:dyDescent="0.2">
      <c r="DL119" s="237" t="s">
        <v>33</v>
      </c>
      <c r="DM119" s="23"/>
      <c r="DN119" s="23"/>
    </row>
    <row r="120" spans="116:118" ht="12.75" customHeight="1" x14ac:dyDescent="0.2">
      <c r="DL120" s="237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37" t="str">
        <f>CONCATENATE($DM$5,$Q$6,$DN$5)</f>
        <v xml:space="preserve">   "3",</v>
      </c>
      <c r="DM121" s="23"/>
      <c r="DN121" s="23"/>
    </row>
    <row r="122" spans="116:118" ht="12.75" customHeight="1" x14ac:dyDescent="0.2">
      <c r="DL122" s="237" t="str">
        <f>CONCATENATE($DM$5,$Q$7,$DN$5)</f>
        <v xml:space="preserve">   "8",</v>
      </c>
      <c r="DM122" s="23"/>
      <c r="DN122" s="23"/>
    </row>
    <row r="123" spans="116:118" ht="12.75" customHeight="1" x14ac:dyDescent="0.2">
      <c r="DL123" s="237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37" t="str">
        <f>CONCATENATE($DM$5,$Q$9,$DN$5)</f>
        <v xml:space="preserve">   "10",</v>
      </c>
      <c r="DM124" s="23"/>
      <c r="DN124" s="23"/>
    </row>
    <row r="125" spans="116:118" ht="12.75" customHeight="1" x14ac:dyDescent="0.2">
      <c r="DL125" s="237" t="str">
        <f>CONCATENATE($DM$5,$Q$10,$DN$5)</f>
        <v xml:space="preserve">   "6",</v>
      </c>
      <c r="DM125" s="23"/>
      <c r="DN125" s="23"/>
    </row>
    <row r="126" spans="116:118" ht="12.75" customHeight="1" x14ac:dyDescent="0.2">
      <c r="DL126" s="237" t="str">
        <f>CONCATENATE($DM$5,$Q$15,$DN$5)</f>
        <v xml:space="preserve">   "7",</v>
      </c>
      <c r="DM126" s="23"/>
      <c r="DN126" s="23"/>
    </row>
    <row r="127" spans="116:118" ht="12.75" customHeight="1" x14ac:dyDescent="0.2">
      <c r="DL127" s="237" t="str">
        <f>CONCATENATE($DM$5,$Q$16,$DN$5)</f>
        <v xml:space="preserve">   "3",</v>
      </c>
      <c r="DM127" s="23"/>
      <c r="DN127" s="23"/>
    </row>
    <row r="128" spans="116:118" ht="12.75" customHeight="1" x14ac:dyDescent="0.2">
      <c r="DL128" s="237" t="str">
        <f>CONCATENATE($DM$5,$Q$17,$DN$5)</f>
        <v xml:space="preserve">   "9",</v>
      </c>
      <c r="DM128" s="23"/>
      <c r="DN128" s="23"/>
    </row>
    <row r="129" spans="116:118" ht="12.75" customHeight="1" x14ac:dyDescent="0.2">
      <c r="DL129" s="237" t="str">
        <f>CONCATENATE($DM$5,$Q$18,$DN$5)</f>
        <v xml:space="preserve">   "3",</v>
      </c>
      <c r="DM129" s="23"/>
      <c r="DN129" s="23"/>
    </row>
    <row r="130" spans="116:118" ht="12.75" customHeight="1" x14ac:dyDescent="0.2">
      <c r="DL130" s="237" t="str">
        <f>CONCATENATE($DM$5,$Q$23,$DN$5)</f>
        <v xml:space="preserve">   "",</v>
      </c>
      <c r="DM130" s="23"/>
      <c r="DN130" s="23"/>
    </row>
    <row r="131" spans="116:118" ht="12.75" customHeight="1" x14ac:dyDescent="0.2">
      <c r="DL131" s="237" t="str">
        <f>CONCATENATE($DM$5,$Q$24,$DN$5)</f>
        <v xml:space="preserve">   "",</v>
      </c>
      <c r="DM131" s="23"/>
      <c r="DN131" s="23"/>
    </row>
    <row r="132" spans="116:118" ht="12.75" customHeight="1" x14ac:dyDescent="0.2">
      <c r="DL132" s="237" t="str">
        <f>CONCATENATE($DM$5,$Q$29,$DN$6)</f>
        <v xml:space="preserve">   ""</v>
      </c>
      <c r="DM132" s="23"/>
      <c r="DN132" s="23"/>
    </row>
    <row r="133" spans="116:118" ht="12.75" customHeight="1" x14ac:dyDescent="0.2">
      <c r="DL133" s="237" t="s">
        <v>28</v>
      </c>
      <c r="DM133" s="23"/>
      <c r="DN133" s="23"/>
    </row>
    <row r="134" spans="116:118" ht="12.75" customHeight="1" x14ac:dyDescent="0.2">
      <c r="DL134" s="237"/>
      <c r="DM134" s="23"/>
      <c r="DN134" s="23"/>
    </row>
    <row r="135" spans="116:118" ht="12.75" customHeight="1" x14ac:dyDescent="0.2">
      <c r="DL135" s="237" t="s">
        <v>64</v>
      </c>
      <c r="DM135" s="23"/>
      <c r="DN135" s="23"/>
    </row>
    <row r="136" spans="116:118" ht="12.75" customHeight="1" x14ac:dyDescent="0.2">
      <c r="DL136" s="239" t="str">
        <f>CONCATENATE($DM$5,$DN$5)</f>
        <v xml:space="preserve">   "",</v>
      </c>
      <c r="DM136" s="23"/>
      <c r="DN136" s="23"/>
    </row>
    <row r="137" spans="116:118" ht="12.75" customHeight="1" x14ac:dyDescent="0.2">
      <c r="DL137" s="239" t="str">
        <f>CONCATENATE($DM$5,$DN$5)</f>
        <v xml:space="preserve">   "",</v>
      </c>
      <c r="DM137" s="23"/>
      <c r="DN137" s="23"/>
    </row>
    <row r="138" spans="116:118" ht="12.75" customHeight="1" x14ac:dyDescent="0.2">
      <c r="DL138" s="239" t="str">
        <f>CONCATENATE($DM$5,$DN$5)</f>
        <v xml:space="preserve">   "",</v>
      </c>
      <c r="DM138" s="23"/>
      <c r="DN138" s="23"/>
    </row>
    <row r="139" spans="116:118" ht="12.75" customHeight="1" x14ac:dyDescent="0.2">
      <c r="DL139" s="239" t="str">
        <f>CONCATENATE($DM$5,$DN$5)</f>
        <v xml:space="preserve">   "",</v>
      </c>
      <c r="DM139" s="23"/>
      <c r="DN139" s="23"/>
    </row>
    <row r="140" spans="116:118" ht="12.75" customHeight="1" x14ac:dyDescent="0.2">
      <c r="DL140" s="239" t="str">
        <f>CONCATENATE($DM$5,$DN$5)</f>
        <v xml:space="preserve">   "",</v>
      </c>
      <c r="DM140" s="23"/>
      <c r="DN140" s="23"/>
    </row>
    <row r="141" spans="116:118" ht="12.75" customHeight="1" x14ac:dyDescent="0.2">
      <c r="DL141" s="237" t="str">
        <f>CONCATENATE($DM$5,$Q$11,$DN$5)</f>
        <v xml:space="preserve">   "47",</v>
      </c>
      <c r="DM141" s="23"/>
      <c r="DN141" s="23"/>
    </row>
    <row r="142" spans="116:118" ht="12.75" customHeight="1" x14ac:dyDescent="0.2">
      <c r="DL142" s="239" t="str">
        <f>CONCATENATE($DM$5,$DN$5)</f>
        <v xml:space="preserve">   "",</v>
      </c>
      <c r="DM142" s="23"/>
      <c r="DN142" s="23"/>
    </row>
    <row r="143" spans="116:118" ht="12.75" customHeight="1" x14ac:dyDescent="0.2">
      <c r="DL143" s="239" t="str">
        <f>CONCATENATE($DM$5,$DN$5)</f>
        <v xml:space="preserve">   "",</v>
      </c>
      <c r="DM143" s="23"/>
      <c r="DN143" s="23"/>
    </row>
    <row r="144" spans="116:118" ht="12.75" customHeight="1" x14ac:dyDescent="0.2">
      <c r="DL144" s="239" t="str">
        <f>CONCATENATE($DM$5,$DN$5)</f>
        <v xml:space="preserve">   "",</v>
      </c>
      <c r="DM144" s="23"/>
      <c r="DN144" s="23"/>
    </row>
    <row r="145" spans="116:118" ht="12.75" customHeight="1" x14ac:dyDescent="0.2">
      <c r="DL145" s="237" t="str">
        <f>CONCATENATE($DM$5,$Q$19,$DN$5)</f>
        <v xml:space="preserve">   "52",</v>
      </c>
      <c r="DM145" s="23"/>
      <c r="DN145" s="23"/>
    </row>
    <row r="146" spans="116:118" ht="12.75" customHeight="1" x14ac:dyDescent="0.2">
      <c r="DL146" s="239" t="str">
        <f>CONCATENATE($DM$5,$DN$5)</f>
        <v xml:space="preserve">   "",</v>
      </c>
      <c r="DM146" s="23"/>
      <c r="DN146" s="23"/>
    </row>
    <row r="147" spans="116:118" ht="12.75" customHeight="1" x14ac:dyDescent="0.2">
      <c r="DL147" s="237" t="str">
        <f>CONCATENATE($DM$5,$Q$25,$DN$5)</f>
        <v xml:space="preserve">   "",</v>
      </c>
      <c r="DM147" s="23"/>
      <c r="DN147" s="23"/>
    </row>
    <row r="148" spans="116:118" ht="12.75" customHeight="1" x14ac:dyDescent="0.2">
      <c r="DL148" s="237" t="str">
        <f>CONCATENATE($DM$5,$Q$30,$DN$6)</f>
        <v xml:space="preserve">   ""</v>
      </c>
      <c r="DM148" s="23"/>
      <c r="DN148" s="23"/>
    </row>
    <row r="149" spans="116:118" ht="12.75" customHeight="1" x14ac:dyDescent="0.2">
      <c r="DL149" s="237" t="s">
        <v>28</v>
      </c>
      <c r="DM149" s="23"/>
      <c r="DN149" s="23"/>
    </row>
    <row r="150" spans="116:118" ht="12.75" customHeight="1" x14ac:dyDescent="0.2">
      <c r="DL150" s="238"/>
      <c r="DM150" s="23"/>
      <c r="DN150" s="23"/>
    </row>
    <row r="151" spans="116:118" ht="12.75" customHeight="1" x14ac:dyDescent="0.2">
      <c r="DL151" s="237" t="s">
        <v>34</v>
      </c>
      <c r="DM151" s="23"/>
      <c r="DN151" s="23"/>
    </row>
    <row r="152" spans="116:118" ht="12.75" customHeight="1" x14ac:dyDescent="0.2">
      <c r="DL152" s="237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37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37" t="str">
        <f>CONCATENATE($DM$5,$S$7,$DN$5)</f>
        <v xml:space="preserve">   "V",</v>
      </c>
      <c r="DM154" s="23"/>
      <c r="DN154" s="23"/>
    </row>
    <row r="155" spans="116:118" ht="12.75" customHeight="1" x14ac:dyDescent="0.2">
      <c r="DL155" s="237" t="str">
        <f>CONCATENATE($DM$5,$S$8,$DN$5)</f>
        <v xml:space="preserve">   "V",</v>
      </c>
      <c r="DM155" s="23"/>
      <c r="DN155" s="23"/>
    </row>
    <row r="156" spans="116:118" ht="12.75" customHeight="1" x14ac:dyDescent="0.2">
      <c r="DL156" s="237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37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37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37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37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37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37" t="str">
        <f>CONCATENATE($DM$5,$S$23,$DN$5)</f>
        <v xml:space="preserve">   "",</v>
      </c>
      <c r="DM162" s="23"/>
      <c r="DN162" s="23"/>
    </row>
    <row r="163" spans="116:118" ht="12.75" customHeight="1" x14ac:dyDescent="0.2">
      <c r="DL163" s="237" t="str">
        <f>CONCATENATE($DM$5,$S$24,$DN$5)</f>
        <v xml:space="preserve">   "",</v>
      </c>
      <c r="DM163" s="23"/>
      <c r="DN163" s="23"/>
    </row>
    <row r="164" spans="116:118" ht="12.75" customHeight="1" x14ac:dyDescent="0.2">
      <c r="DL164" s="237" t="str">
        <f>CONCATENATE($DM$5,$S$29,$DN$6)</f>
        <v xml:space="preserve">   ""</v>
      </c>
      <c r="DM164" s="23"/>
      <c r="DN164" s="23"/>
    </row>
    <row r="165" spans="116:118" ht="12.75" customHeight="1" x14ac:dyDescent="0.2">
      <c r="DL165" s="237" t="s">
        <v>28</v>
      </c>
      <c r="DM165" s="23"/>
      <c r="DN165" s="23"/>
    </row>
    <row r="166" spans="116:118" ht="12.75" customHeight="1" x14ac:dyDescent="0.2">
      <c r="DL166" s="237"/>
      <c r="DM166" s="23"/>
      <c r="DN166" s="23"/>
    </row>
    <row r="167" spans="116:118" ht="12.75" customHeight="1" x14ac:dyDescent="0.2">
      <c r="DL167" s="237" t="s">
        <v>35</v>
      </c>
      <c r="DM167" s="23"/>
      <c r="DN167" s="23"/>
    </row>
    <row r="168" spans="116:118" ht="12.75" customHeight="1" x14ac:dyDescent="0.2">
      <c r="DL168" s="237" t="str">
        <f>CONCATENATE($DM$5,$U$5,$DN$5)</f>
        <v xml:space="preserve">   "10",</v>
      </c>
      <c r="DM168" s="23"/>
      <c r="DN168" s="23"/>
    </row>
    <row r="169" spans="116:118" ht="12.75" customHeight="1" x14ac:dyDescent="0.2">
      <c r="DL169" s="237" t="str">
        <f>CONCATENATE($DM$5,$U$6,$DN$5)</f>
        <v xml:space="preserve">   "1",</v>
      </c>
      <c r="DM169" s="23"/>
      <c r="DN169" s="23"/>
    </row>
    <row r="170" spans="116:118" ht="12.75" customHeight="1" x14ac:dyDescent="0.2">
      <c r="DL170" s="237" t="str">
        <f>CONCATENATE($DM$5,$U$7,$DN$5)</f>
        <v xml:space="preserve">   "14",</v>
      </c>
      <c r="DM170" s="23"/>
      <c r="DN170" s="23"/>
    </row>
    <row r="171" spans="116:118" ht="12.75" customHeight="1" x14ac:dyDescent="0.2">
      <c r="DL171" s="237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37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37" t="str">
        <f>CONCATENATE($DM$5,$U$10,$DN$5)</f>
        <v xml:space="preserve">   "1",</v>
      </c>
      <c r="DM173" s="23"/>
      <c r="DN173" s="23"/>
    </row>
    <row r="174" spans="116:118" ht="12.75" customHeight="1" x14ac:dyDescent="0.2">
      <c r="DL174" s="237" t="str">
        <f>CONCATENATE($DM$5,$U$15,$DN$5)</f>
        <v xml:space="preserve">   "16",</v>
      </c>
      <c r="DM174" s="23"/>
      <c r="DN174" s="23"/>
    </row>
    <row r="175" spans="116:118" ht="12.75" customHeight="1" x14ac:dyDescent="0.2">
      <c r="DL175" s="237" t="str">
        <f>CONCATENATE($DM$5,$U$16,$DN$5)</f>
        <v xml:space="preserve">   "1",</v>
      </c>
      <c r="DM175" s="23"/>
      <c r="DN175" s="23"/>
    </row>
    <row r="176" spans="116:118" ht="12.75" customHeight="1" x14ac:dyDescent="0.2">
      <c r="DL176" s="237" t="str">
        <f>CONCATENATE($DM$5,$U$17,$DN$5)</f>
        <v xml:space="preserve">   "17",</v>
      </c>
      <c r="DM176" s="23"/>
      <c r="DN176" s="23"/>
    </row>
    <row r="177" spans="116:118" ht="12.75" customHeight="1" x14ac:dyDescent="0.2">
      <c r="DL177" s="237" t="str">
        <f>CONCATENATE($DM$5,$U$18,$DN$5)</f>
        <v xml:space="preserve">   "1",</v>
      </c>
      <c r="DM177" s="23"/>
      <c r="DN177" s="23"/>
    </row>
    <row r="178" spans="116:118" ht="12.75" customHeight="1" x14ac:dyDescent="0.2">
      <c r="DL178" s="237" t="str">
        <f>CONCATENATE($DM$5,$U$23,$DN$5)</f>
        <v xml:space="preserve">   "",</v>
      </c>
      <c r="DM178" s="23"/>
      <c r="DN178" s="23"/>
    </row>
    <row r="179" spans="116:118" ht="12.75" customHeight="1" x14ac:dyDescent="0.2">
      <c r="DL179" s="237" t="str">
        <f>CONCATENATE($DM$5,$U$24,$DN$5)</f>
        <v xml:space="preserve">   "",</v>
      </c>
      <c r="DM179" s="23"/>
      <c r="DN179" s="23"/>
    </row>
    <row r="180" spans="116:118" ht="12.75" customHeight="1" x14ac:dyDescent="0.2">
      <c r="DL180" s="237" t="str">
        <f>CONCATENATE($DM$5,$U$29,$DN$6)</f>
        <v xml:space="preserve">   ""</v>
      </c>
      <c r="DM180" s="23"/>
      <c r="DN180" s="23"/>
    </row>
    <row r="181" spans="116:118" ht="12.75" customHeight="1" x14ac:dyDescent="0.2">
      <c r="DL181" s="237" t="s">
        <v>28</v>
      </c>
      <c r="DM181" s="23"/>
      <c r="DN181" s="23"/>
    </row>
    <row r="182" spans="116:118" ht="12.75" customHeight="1" x14ac:dyDescent="0.2">
      <c r="DL182" s="237"/>
      <c r="DM182" s="23"/>
      <c r="DN182" s="23"/>
    </row>
    <row r="183" spans="116:118" ht="12.75" customHeight="1" x14ac:dyDescent="0.2">
      <c r="DL183" s="237" t="s">
        <v>65</v>
      </c>
      <c r="DM183" s="23"/>
      <c r="DN183" s="23"/>
    </row>
    <row r="184" spans="116:118" ht="12.75" customHeight="1" x14ac:dyDescent="0.2">
      <c r="DL184" s="239" t="str">
        <f>CONCATENATE($DM$5,$DN$5)</f>
        <v xml:space="preserve">   "",</v>
      </c>
      <c r="DM184" s="23"/>
      <c r="DN184" s="23"/>
    </row>
    <row r="185" spans="116:118" ht="12.75" customHeight="1" x14ac:dyDescent="0.2">
      <c r="DL185" s="239" t="str">
        <f>CONCATENATE($DM$5,$DN$5)</f>
        <v xml:space="preserve">   "",</v>
      </c>
      <c r="DM185" s="23"/>
      <c r="DN185" s="23"/>
    </row>
    <row r="186" spans="116:118" ht="12.75" customHeight="1" x14ac:dyDescent="0.2">
      <c r="DL186" s="239" t="str">
        <f>CONCATENATE($DM$5,$DN$5)</f>
        <v xml:space="preserve">   "",</v>
      </c>
      <c r="DM186" s="23"/>
      <c r="DN186" s="23"/>
    </row>
    <row r="187" spans="116:118" ht="12.75" customHeight="1" x14ac:dyDescent="0.2">
      <c r="DL187" s="239" t="str">
        <f>CONCATENATE($DM$5,$DN$5)</f>
        <v xml:space="preserve">   "",</v>
      </c>
      <c r="DM187" s="23"/>
      <c r="DN187" s="23"/>
    </row>
    <row r="188" spans="116:118" ht="12.75" customHeight="1" x14ac:dyDescent="0.2">
      <c r="DL188" s="239" t="str">
        <f>CONCATENATE($DM$5,$DN$5)</f>
        <v xml:space="preserve">   "",</v>
      </c>
      <c r="DM188" s="23"/>
      <c r="DN188" s="23"/>
    </row>
    <row r="189" spans="116:118" ht="12.75" customHeight="1" x14ac:dyDescent="0.2">
      <c r="DL189" s="237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39" t="str">
        <f>CONCATENATE($DM$5,$DN$5)</f>
        <v xml:space="preserve">   "",</v>
      </c>
      <c r="DM190" s="23"/>
      <c r="DN190" s="23"/>
    </row>
    <row r="191" spans="116:118" ht="12.75" customHeight="1" x14ac:dyDescent="0.2">
      <c r="DL191" s="239" t="str">
        <f>CONCATENATE($DM$5,$DN$5)</f>
        <v xml:space="preserve">   "",</v>
      </c>
      <c r="DM191" s="23"/>
      <c r="DN191" s="23"/>
    </row>
    <row r="192" spans="116:118" ht="12.75" customHeight="1" x14ac:dyDescent="0.2">
      <c r="DL192" s="239" t="str">
        <f>CONCATENATE($DM$5,$DN$5)</f>
        <v xml:space="preserve">   "",</v>
      </c>
      <c r="DM192" s="23"/>
      <c r="DN192" s="23"/>
    </row>
    <row r="193" spans="116:118" ht="12.75" customHeight="1" x14ac:dyDescent="0.2">
      <c r="DL193" s="237" t="str">
        <f>CONCATENATE($DM$5,$U$19,$DN$5)</f>
        <v xml:space="preserve">   "58",</v>
      </c>
      <c r="DM193" s="23"/>
      <c r="DN193" s="23"/>
    </row>
    <row r="194" spans="116:118" ht="12.75" customHeight="1" x14ac:dyDescent="0.2">
      <c r="DL194" s="239" t="str">
        <f>CONCATENATE($DM$5,$DN$5)</f>
        <v xml:space="preserve">   "",</v>
      </c>
      <c r="DM194" s="23"/>
      <c r="DN194" s="23"/>
    </row>
    <row r="195" spans="116:118" ht="12.75" customHeight="1" x14ac:dyDescent="0.2">
      <c r="DL195" s="237" t="str">
        <f>CONCATENATE($DM$5,$U$25,$DN$5)</f>
        <v xml:space="preserve">   "",</v>
      </c>
      <c r="DM195" s="23"/>
      <c r="DN195" s="23"/>
    </row>
    <row r="196" spans="116:118" ht="12.75" customHeight="1" x14ac:dyDescent="0.2">
      <c r="DL196" s="237" t="str">
        <f>CONCATENATE($DM$5,$U$30,$DN$6)</f>
        <v xml:space="preserve">   ""</v>
      </c>
      <c r="DM196" s="23"/>
      <c r="DN196" s="23"/>
    </row>
    <row r="197" spans="116:118" ht="12.75" customHeight="1" x14ac:dyDescent="0.2">
      <c r="DL197" s="237" t="s">
        <v>28</v>
      </c>
      <c r="DM197" s="23"/>
      <c r="DN197" s="23"/>
    </row>
    <row r="198" spans="116:118" ht="12.75" customHeight="1" x14ac:dyDescent="0.2">
      <c r="DL198" s="238"/>
      <c r="DM198" s="23"/>
      <c r="DN198" s="23"/>
    </row>
    <row r="199" spans="116:118" ht="12.75" customHeight="1" x14ac:dyDescent="0.2">
      <c r="DL199" s="237" t="s">
        <v>36</v>
      </c>
      <c r="DM199" s="23"/>
      <c r="DN199" s="23"/>
    </row>
    <row r="200" spans="116:118" ht="12.75" customHeight="1" x14ac:dyDescent="0.2">
      <c r="DL200" s="237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37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37" t="str">
        <f>CONCATENATE($DM$5,$W$7,$DN$5)</f>
        <v xml:space="preserve">   "V",</v>
      </c>
      <c r="DM202" s="23"/>
      <c r="DN202" s="23"/>
    </row>
    <row r="203" spans="116:118" ht="12.75" customHeight="1" x14ac:dyDescent="0.2">
      <c r="DL203" s="237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37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37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37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37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37" t="str">
        <f>CONCATENATE($DM$5,$W$17,$DN$5)</f>
        <v xml:space="preserve">   "H",</v>
      </c>
      <c r="DM208" s="23"/>
      <c r="DN208" s="23"/>
    </row>
    <row r="209" spans="116:118" ht="12.75" customHeight="1" x14ac:dyDescent="0.2">
      <c r="DL209" s="237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37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37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37" t="str">
        <f>CONCATENATE($DM$5,$W$29,$DN$6)</f>
        <v xml:space="preserve">   ""</v>
      </c>
      <c r="DM212" s="23"/>
      <c r="DN212" s="23"/>
    </row>
    <row r="213" spans="116:118" ht="12.75" customHeight="1" x14ac:dyDescent="0.2">
      <c r="DL213" s="237" t="s">
        <v>28</v>
      </c>
      <c r="DM213" s="23"/>
      <c r="DN213" s="23"/>
    </row>
    <row r="214" spans="116:118" ht="12.75" customHeight="1" x14ac:dyDescent="0.2">
      <c r="DL214" s="237"/>
      <c r="DM214" s="23"/>
      <c r="DN214" s="23"/>
    </row>
    <row r="215" spans="116:118" ht="12.75" customHeight="1" x14ac:dyDescent="0.2">
      <c r="DL215" s="237" t="s">
        <v>37</v>
      </c>
      <c r="DM215" s="23"/>
      <c r="DN215" s="23"/>
    </row>
    <row r="216" spans="116:118" ht="12.75" customHeight="1" x14ac:dyDescent="0.2">
      <c r="DL216" s="237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37" t="str">
        <f>CONCATENATE($DM$5,$Y$6,$DN$5)</f>
        <v xml:space="preserve">   "7",</v>
      </c>
      <c r="DM217" s="23"/>
      <c r="DN217" s="23"/>
    </row>
    <row r="218" spans="116:118" ht="12.75" customHeight="1" x14ac:dyDescent="0.2">
      <c r="DL218" s="237" t="str">
        <f>CONCATENATE($DM$5,$Y$7,$DN$5)</f>
        <v xml:space="preserve">   "13",</v>
      </c>
      <c r="DM218" s="23"/>
      <c r="DN218" s="23"/>
    </row>
    <row r="219" spans="116:118" ht="12.75" customHeight="1" x14ac:dyDescent="0.2">
      <c r="DL219" s="237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37" t="str">
        <f>CONCATENATE($DM$5,$Y$9,$DN$5)</f>
        <v xml:space="preserve">   "14",</v>
      </c>
      <c r="DM220" s="23"/>
      <c r="DN220" s="23"/>
    </row>
    <row r="221" spans="116:118" ht="12.75" customHeight="1" x14ac:dyDescent="0.2">
      <c r="DL221" s="237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37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37" t="str">
        <f>CONCATENATE($DM$5,$Y$16,$DN$5)</f>
        <v xml:space="preserve">   "3",</v>
      </c>
      <c r="DM223" s="23"/>
      <c r="DN223" s="23"/>
    </row>
    <row r="224" spans="116:118" ht="12.75" customHeight="1" x14ac:dyDescent="0.2">
      <c r="DL224" s="237" t="str">
        <f>CONCATENATE($DM$5,$Y$17,$DN$5)</f>
        <v xml:space="preserve">   "17",</v>
      </c>
      <c r="DM224" s="23"/>
      <c r="DN224" s="23"/>
    </row>
    <row r="225" spans="116:118" ht="12.75" customHeight="1" x14ac:dyDescent="0.2">
      <c r="DL225" s="237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37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37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37" t="str">
        <f>CONCATENATE($DM$5,$Y$29,$DN$6)</f>
        <v xml:space="preserve">   ""</v>
      </c>
      <c r="DM228" s="23"/>
      <c r="DN228" s="23"/>
    </row>
    <row r="229" spans="116:118" ht="12.75" customHeight="1" x14ac:dyDescent="0.2">
      <c r="DL229" s="237" t="s">
        <v>28</v>
      </c>
      <c r="DM229" s="23"/>
      <c r="DN229" s="23"/>
    </row>
    <row r="230" spans="116:118" ht="12.75" customHeight="1" x14ac:dyDescent="0.2">
      <c r="DL230" s="237"/>
      <c r="DM230" s="23"/>
      <c r="DN230" s="23"/>
    </row>
    <row r="231" spans="116:118" ht="12.75" customHeight="1" x14ac:dyDescent="0.2">
      <c r="DL231" s="237" t="s">
        <v>66</v>
      </c>
      <c r="DM231" s="23"/>
      <c r="DN231" s="23"/>
    </row>
    <row r="232" spans="116:118" ht="12.75" customHeight="1" x14ac:dyDescent="0.2">
      <c r="DL232" s="239" t="str">
        <f>CONCATENATE($DM$5,$DN$5)</f>
        <v xml:space="preserve">   "",</v>
      </c>
      <c r="DM232" s="23"/>
      <c r="DN232" s="23"/>
    </row>
    <row r="233" spans="116:118" ht="12.75" customHeight="1" x14ac:dyDescent="0.2">
      <c r="DL233" s="239" t="str">
        <f>CONCATENATE($DM$5,$DN$5)</f>
        <v xml:space="preserve">   "",</v>
      </c>
      <c r="DM233" s="23"/>
      <c r="DN233" s="23"/>
    </row>
    <row r="234" spans="116:118" ht="12.75" customHeight="1" x14ac:dyDescent="0.2">
      <c r="DL234" s="239" t="str">
        <f>CONCATENATE($DM$5,$DN$5)</f>
        <v xml:space="preserve">   "",</v>
      </c>
      <c r="DM234" s="23"/>
      <c r="DN234" s="23"/>
    </row>
    <row r="235" spans="116:118" ht="12.75" customHeight="1" x14ac:dyDescent="0.2">
      <c r="DL235" s="239" t="str">
        <f>CONCATENATE($DM$5,$DN$5)</f>
        <v xml:space="preserve">   "",</v>
      </c>
      <c r="DM235" s="23"/>
      <c r="DN235" s="23"/>
    </row>
    <row r="236" spans="116:118" ht="12.75" customHeight="1" x14ac:dyDescent="0.2">
      <c r="DL236" s="239" t="str">
        <f>CONCATENATE($DM$5,$DN$5)</f>
        <v xml:space="preserve">   "",</v>
      </c>
      <c r="DM236" s="23"/>
      <c r="DN236" s="23"/>
    </row>
    <row r="237" spans="116:118" ht="12.75" customHeight="1" x14ac:dyDescent="0.2">
      <c r="DL237" s="237" t="str">
        <f>CONCATENATE($DM$5,$Y$11,$DN$5)</f>
        <v xml:space="preserve">   "42",</v>
      </c>
      <c r="DM237" s="23"/>
      <c r="DN237" s="23"/>
    </row>
    <row r="238" spans="116:118" ht="12.75" customHeight="1" x14ac:dyDescent="0.2">
      <c r="DL238" s="239" t="str">
        <f>CONCATENATE($DM$5,$DN$5)</f>
        <v xml:space="preserve">   "",</v>
      </c>
      <c r="DM238" s="23"/>
      <c r="DN238" s="23"/>
    </row>
    <row r="239" spans="116:118" ht="12.75" customHeight="1" x14ac:dyDescent="0.2">
      <c r="DL239" s="239" t="str">
        <f>CONCATENATE($DM$5,$DN$5)</f>
        <v xml:space="preserve">   "",</v>
      </c>
      <c r="DM239" s="23"/>
      <c r="DN239" s="23"/>
    </row>
    <row r="240" spans="116:118" ht="12.75" customHeight="1" x14ac:dyDescent="0.2">
      <c r="DL240" s="239" t="str">
        <f>CONCATENATE($DM$5,$DN$5)</f>
        <v xml:space="preserve">   "",</v>
      </c>
      <c r="DM240" s="23"/>
      <c r="DN240" s="23"/>
    </row>
    <row r="241" spans="116:118" ht="12.75" customHeight="1" x14ac:dyDescent="0.2">
      <c r="DL241" s="237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39" t="str">
        <f>CONCATENATE($DM$5,$DN$5)</f>
        <v xml:space="preserve">   "",</v>
      </c>
      <c r="DM242" s="23"/>
      <c r="DN242" s="23"/>
    </row>
    <row r="243" spans="116:118" ht="12.75" customHeight="1" x14ac:dyDescent="0.2">
      <c r="DL243" s="237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37" t="str">
        <f>CONCATENATE($DM$5,$Y$30,$DN$6)</f>
        <v xml:space="preserve">   ""</v>
      </c>
      <c r="DM244" s="23"/>
      <c r="DN244" s="23"/>
    </row>
    <row r="245" spans="116:118" ht="12.75" customHeight="1" x14ac:dyDescent="0.2">
      <c r="DL245" s="237" t="s">
        <v>28</v>
      </c>
      <c r="DM245" s="23"/>
      <c r="DN245" s="23"/>
    </row>
    <row r="246" spans="116:118" ht="12.75" customHeight="1" x14ac:dyDescent="0.2">
      <c r="DL246" s="238"/>
      <c r="DM246" s="23"/>
      <c r="DN246" s="23"/>
    </row>
    <row r="247" spans="116:118" ht="12.75" customHeight="1" x14ac:dyDescent="0.2">
      <c r="DL247" s="237" t="s">
        <v>38</v>
      </c>
      <c r="DM247" s="23"/>
      <c r="DN247" s="23"/>
    </row>
    <row r="248" spans="116:118" ht="12.75" customHeight="1" x14ac:dyDescent="0.2">
      <c r="DL248" s="237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37" t="str">
        <f>CONCATENATE($DM$5,$AA$6,$DN$5)</f>
        <v xml:space="preserve">   "V",</v>
      </c>
      <c r="DM249" s="23"/>
      <c r="DN249" s="23"/>
    </row>
    <row r="250" spans="116:118" ht="12.75" customHeight="1" x14ac:dyDescent="0.2">
      <c r="DL250" s="237" t="str">
        <f>CONCATENATE($DM$5,$AA$7,$DN$5)</f>
        <v xml:space="preserve">   "V",</v>
      </c>
      <c r="DM250" s="23"/>
      <c r="DN250" s="23"/>
    </row>
    <row r="251" spans="116:118" ht="12.75" customHeight="1" x14ac:dyDescent="0.2">
      <c r="DL251" s="237" t="str">
        <f>CONCATENATE($DM$5,$AA$8,$DN$5)</f>
        <v xml:space="preserve">   "H",</v>
      </c>
      <c r="DM251" s="23"/>
      <c r="DN251" s="23"/>
    </row>
    <row r="252" spans="116:118" ht="12.75" customHeight="1" x14ac:dyDescent="0.2">
      <c r="DL252" s="237" t="str">
        <f>CONCATENATE($DM$5,$AA$9,$DN$5)</f>
        <v xml:space="preserve">   "H",</v>
      </c>
      <c r="DM252" s="23"/>
      <c r="DN252" s="23"/>
    </row>
    <row r="253" spans="116:118" ht="12.75" customHeight="1" x14ac:dyDescent="0.2">
      <c r="DL253" s="237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37" t="str">
        <f>CONCATENATE($DM$5,$AA$15,$DN$5)</f>
        <v xml:space="preserve">   "H",</v>
      </c>
      <c r="DM254" s="23"/>
      <c r="DN254" s="23"/>
    </row>
    <row r="255" spans="116:118" ht="12.75" customHeight="1" x14ac:dyDescent="0.2">
      <c r="DL255" s="237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37" t="str">
        <f>CONCATENATE($DM$5,$AA$17,$DN$5)</f>
        <v xml:space="preserve">   "H",</v>
      </c>
      <c r="DM256" s="23"/>
      <c r="DN256" s="23"/>
    </row>
    <row r="257" spans="116:118" ht="12.75" customHeight="1" x14ac:dyDescent="0.2">
      <c r="DL257" s="237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37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37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37" t="str">
        <f>CONCATENATE($DM$5,$AA$29,$DN$6)</f>
        <v xml:space="preserve">   ""</v>
      </c>
      <c r="DM260" s="23"/>
      <c r="DN260" s="23"/>
    </row>
    <row r="261" spans="116:118" ht="12.75" customHeight="1" x14ac:dyDescent="0.2">
      <c r="DL261" s="237" t="s">
        <v>28</v>
      </c>
      <c r="DM261" s="23"/>
      <c r="DN261" s="23"/>
    </row>
    <row r="262" spans="116:118" ht="12.75" customHeight="1" x14ac:dyDescent="0.2">
      <c r="DL262" s="237"/>
      <c r="DM262" s="23"/>
      <c r="DN262" s="23"/>
    </row>
    <row r="263" spans="116:118" ht="12.75" customHeight="1" x14ac:dyDescent="0.2">
      <c r="DL263" s="237" t="s">
        <v>39</v>
      </c>
      <c r="DM263" s="23"/>
      <c r="DN263" s="23"/>
    </row>
    <row r="264" spans="116:118" ht="12.75" customHeight="1" x14ac:dyDescent="0.2">
      <c r="DL264" s="237" t="str">
        <f>CONCATENATE($DM$5,$AC$5,$DN$5)</f>
        <v xml:space="preserve">   "12",</v>
      </c>
      <c r="DM264" s="23"/>
      <c r="DN264" s="23"/>
    </row>
    <row r="265" spans="116:118" ht="12.75" customHeight="1" x14ac:dyDescent="0.2">
      <c r="DL265" s="237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37" t="str">
        <f>CONCATENATE($DM$5,$AC$7,$DN$5)</f>
        <v xml:space="preserve">   "14",</v>
      </c>
      <c r="DM266" s="23"/>
      <c r="DN266" s="23"/>
    </row>
    <row r="267" spans="116:118" ht="12.75" customHeight="1" x14ac:dyDescent="0.2">
      <c r="DL267" s="237" t="str">
        <f>CONCATENATE($DM$5,$AC$8,$DN$5)</f>
        <v xml:space="preserve">   "3",</v>
      </c>
      <c r="DM267" s="23"/>
      <c r="DN267" s="23"/>
    </row>
    <row r="268" spans="116:118" ht="12.75" customHeight="1" x14ac:dyDescent="0.2">
      <c r="DL268" s="237" t="str">
        <f>CONCATENATE($DM$5,$AC$9,$DN$5)</f>
        <v xml:space="preserve">   "17",</v>
      </c>
      <c r="DM268" s="23"/>
      <c r="DN268" s="23"/>
    </row>
    <row r="269" spans="116:118" ht="12.75" customHeight="1" x14ac:dyDescent="0.2">
      <c r="DL269" s="237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37" t="str">
        <f>CONCATENATE($DM$5,$AC$15,$DN$5)</f>
        <v xml:space="preserve">   "3",</v>
      </c>
      <c r="DM270" s="23"/>
      <c r="DN270" s="23"/>
    </row>
    <row r="271" spans="116:118" ht="12.75" customHeight="1" x14ac:dyDescent="0.2">
      <c r="DL271" s="237" t="str">
        <f>CONCATENATE($DM$5,$AC$16,$DN$5)</f>
        <v xml:space="preserve">   "7",</v>
      </c>
      <c r="DM271" s="23"/>
      <c r="DN271" s="23"/>
    </row>
    <row r="272" spans="116:118" ht="12.75" customHeight="1" x14ac:dyDescent="0.2">
      <c r="DL272" s="237" t="str">
        <f>CONCATENATE($DM$5,$AC$17,$DN$5)</f>
        <v xml:space="preserve">   "14",</v>
      </c>
      <c r="DM272" s="23"/>
      <c r="DN272" s="23"/>
    </row>
    <row r="273" spans="116:118" ht="12.75" customHeight="1" x14ac:dyDescent="0.2">
      <c r="DL273" s="237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37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37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37" t="str">
        <f>CONCATENATE($DM$5,$AC$29,$DN$6)</f>
        <v xml:space="preserve">   ""</v>
      </c>
      <c r="DM276" s="23"/>
      <c r="DN276" s="23"/>
    </row>
    <row r="277" spans="116:118" ht="12.75" customHeight="1" x14ac:dyDescent="0.2">
      <c r="DL277" s="237" t="s">
        <v>28</v>
      </c>
      <c r="DM277" s="23"/>
      <c r="DN277" s="23"/>
    </row>
    <row r="278" spans="116:118" ht="12.75" customHeight="1" x14ac:dyDescent="0.2">
      <c r="DL278" s="237"/>
      <c r="DM278" s="23"/>
      <c r="DN278" s="23"/>
    </row>
    <row r="279" spans="116:118" ht="12.75" customHeight="1" x14ac:dyDescent="0.2">
      <c r="DL279" s="237" t="s">
        <v>67</v>
      </c>
      <c r="DM279" s="23"/>
      <c r="DN279" s="23"/>
    </row>
    <row r="280" spans="116:118" ht="12.75" customHeight="1" x14ac:dyDescent="0.2">
      <c r="DL280" s="239" t="str">
        <f>CONCATENATE($DM$5,$DN$5)</f>
        <v xml:space="preserve">   "",</v>
      </c>
      <c r="DM280" s="23"/>
      <c r="DN280" s="23"/>
    </row>
    <row r="281" spans="116:118" ht="12.75" customHeight="1" x14ac:dyDescent="0.2">
      <c r="DL281" s="239" t="str">
        <f>CONCATENATE($DM$5,$DN$5)</f>
        <v xml:space="preserve">   "",</v>
      </c>
      <c r="DM281" s="23"/>
      <c r="DN281" s="23"/>
    </row>
    <row r="282" spans="116:118" ht="12.75" customHeight="1" x14ac:dyDescent="0.2">
      <c r="DL282" s="239" t="str">
        <f>CONCATENATE($DM$5,$DN$5)</f>
        <v xml:space="preserve">   "",</v>
      </c>
      <c r="DM282" s="23"/>
      <c r="DN282" s="23"/>
    </row>
    <row r="283" spans="116:118" ht="12.75" customHeight="1" x14ac:dyDescent="0.2">
      <c r="DL283" s="239" t="str">
        <f>CONCATENATE($DM$5,$DN$5)</f>
        <v xml:space="preserve">   "",</v>
      </c>
      <c r="DM283" s="23"/>
      <c r="DN283" s="23"/>
    </row>
    <row r="284" spans="116:118" ht="12.75" customHeight="1" x14ac:dyDescent="0.2">
      <c r="DL284" s="239" t="str">
        <f>CONCATENATE($DM$5,$DN$5)</f>
        <v xml:space="preserve">   "",</v>
      </c>
      <c r="DM284" s="23"/>
      <c r="DN284" s="23"/>
    </row>
    <row r="285" spans="116:118" ht="12.75" customHeight="1" x14ac:dyDescent="0.2">
      <c r="DL285" s="237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39" t="str">
        <f>CONCATENATE($DM$5,$DN$5)</f>
        <v xml:space="preserve">   "",</v>
      </c>
      <c r="DM286" s="23"/>
      <c r="DN286" s="23"/>
    </row>
    <row r="287" spans="116:118" ht="12.75" customHeight="1" x14ac:dyDescent="0.2">
      <c r="DL287" s="239" t="str">
        <f>CONCATENATE($DM$5,$DN$5)</f>
        <v xml:space="preserve">   "",</v>
      </c>
      <c r="DM287" s="23"/>
      <c r="DN287" s="23"/>
    </row>
    <row r="288" spans="116:118" ht="12.75" customHeight="1" x14ac:dyDescent="0.2">
      <c r="DL288" s="239" t="str">
        <f>CONCATENATE($DM$5,$DN$5)</f>
        <v xml:space="preserve">   "",</v>
      </c>
      <c r="DM288" s="23"/>
      <c r="DN288" s="23"/>
    </row>
    <row r="289" spans="116:118" ht="12.75" customHeight="1" x14ac:dyDescent="0.2">
      <c r="DL289" s="237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39" t="str">
        <f>CONCATENATE($DM$5,$DN$5)</f>
        <v xml:space="preserve">   "",</v>
      </c>
      <c r="DM290" s="23"/>
      <c r="DN290" s="23"/>
    </row>
    <row r="291" spans="116:118" ht="12.75" customHeight="1" x14ac:dyDescent="0.2">
      <c r="DL291" s="237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37" t="str">
        <f>CONCATENATE($DM$5,$AC$30,$DN$6)</f>
        <v xml:space="preserve">   ""</v>
      </c>
      <c r="DM292" s="23"/>
      <c r="DN292" s="23"/>
    </row>
    <row r="293" spans="116:118" ht="12.75" customHeight="1" x14ac:dyDescent="0.2">
      <c r="DL293" s="237" t="s">
        <v>28</v>
      </c>
      <c r="DM293" s="23"/>
      <c r="DN293" s="23"/>
    </row>
    <row r="294" spans="116:118" ht="12.75" customHeight="1" x14ac:dyDescent="0.2">
      <c r="DL294" s="238"/>
      <c r="DM294" s="23"/>
      <c r="DN294" s="23"/>
    </row>
    <row r="295" spans="116:118" ht="12.75" customHeight="1" x14ac:dyDescent="0.2">
      <c r="DL295" s="237" t="s">
        <v>40</v>
      </c>
      <c r="DM295" s="23"/>
      <c r="DN295" s="23"/>
    </row>
    <row r="296" spans="116:118" ht="12.75" customHeight="1" x14ac:dyDescent="0.2">
      <c r="DL296" s="237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37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37" t="str">
        <f>CONCATENATE($DM$5,$AE$7,$DN$5)</f>
        <v xml:space="preserve">   "V",</v>
      </c>
      <c r="DM298" s="23"/>
      <c r="DN298" s="23"/>
    </row>
    <row r="299" spans="116:118" ht="12.75" customHeight="1" x14ac:dyDescent="0.2">
      <c r="DL299" s="237" t="str">
        <f>CONCATENATE($DM$5,$AE$8,$DN$5)</f>
        <v xml:space="preserve">   "V",</v>
      </c>
      <c r="DM299" s="23"/>
      <c r="DN299" s="23"/>
    </row>
    <row r="300" spans="116:118" ht="12.75" customHeight="1" x14ac:dyDescent="0.2">
      <c r="DL300" s="237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37" t="str">
        <f>CONCATENATE($DM$5,$AE$10,$DN$5)</f>
        <v xml:space="preserve">   "H",</v>
      </c>
      <c r="DM301" s="23"/>
      <c r="DN301" s="23"/>
    </row>
    <row r="302" spans="116:118" ht="12.75" customHeight="1" x14ac:dyDescent="0.2">
      <c r="DL302" s="237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37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37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37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37" t="str">
        <f>CONCATENATE($DM$5,$AE$23,$DN$5)</f>
        <v xml:space="preserve">   "",</v>
      </c>
      <c r="DM306" s="23"/>
      <c r="DN306" s="23"/>
    </row>
    <row r="307" spans="116:118" ht="12.75" customHeight="1" x14ac:dyDescent="0.2">
      <c r="DL307" s="237" t="str">
        <f>CONCATENATE($DM$5,$AE$24,$DN$5)</f>
        <v xml:space="preserve">   "",</v>
      </c>
      <c r="DM307" s="23"/>
      <c r="DN307" s="23"/>
    </row>
    <row r="308" spans="116:118" ht="12.75" customHeight="1" x14ac:dyDescent="0.2">
      <c r="DL308" s="237" t="str">
        <f>CONCATENATE($DM$5,$AE$29,$DN$6)</f>
        <v xml:space="preserve">   ""</v>
      </c>
      <c r="DM308" s="23"/>
      <c r="DN308" s="23"/>
    </row>
    <row r="309" spans="116:118" ht="12.75" customHeight="1" x14ac:dyDescent="0.2">
      <c r="DL309" s="237" t="s">
        <v>28</v>
      </c>
      <c r="DM309" s="23"/>
      <c r="DN309" s="23"/>
    </row>
    <row r="310" spans="116:118" ht="12.75" customHeight="1" x14ac:dyDescent="0.2">
      <c r="DL310" s="237"/>
      <c r="DM310" s="23"/>
      <c r="DN310" s="23"/>
    </row>
    <row r="311" spans="116:118" ht="12.75" customHeight="1" x14ac:dyDescent="0.2">
      <c r="DL311" s="237" t="s">
        <v>41</v>
      </c>
      <c r="DM311" s="23"/>
      <c r="DN311" s="23"/>
    </row>
    <row r="312" spans="116:118" ht="12.75" customHeight="1" x14ac:dyDescent="0.2">
      <c r="DL312" s="237" t="str">
        <f>CONCATENATE($DM$5,$AG$5,$DN$5)</f>
        <v xml:space="preserve">   "7",</v>
      </c>
      <c r="DM312" s="23"/>
      <c r="DN312" s="23"/>
    </row>
    <row r="313" spans="116:118" ht="12.75" customHeight="1" x14ac:dyDescent="0.2">
      <c r="DL313" s="237" t="str">
        <f>CONCATENATE($DM$5,$AG$6,$DN$5)</f>
        <v xml:space="preserve">   "4",</v>
      </c>
      <c r="DM313" s="23"/>
      <c r="DN313" s="23"/>
    </row>
    <row r="314" spans="116:118" ht="12.75" customHeight="1" x14ac:dyDescent="0.2">
      <c r="DL314" s="237" t="str">
        <f>CONCATENATE($DM$5,$AG$7,$DN$5)</f>
        <v xml:space="preserve">   "8",</v>
      </c>
      <c r="DM314" s="23"/>
      <c r="DN314" s="23"/>
    </row>
    <row r="315" spans="116:118" ht="12.75" customHeight="1" x14ac:dyDescent="0.2">
      <c r="DL315" s="237" t="str">
        <f>CONCATENATE($DM$5,$AG$8,$DN$5)</f>
        <v xml:space="preserve">   "3",</v>
      </c>
      <c r="DM315" s="23"/>
      <c r="DN315" s="23"/>
    </row>
    <row r="316" spans="116:118" ht="12.75" customHeight="1" x14ac:dyDescent="0.2">
      <c r="DL316" s="237" t="str">
        <f>CONCATENATE($DM$5,$AG$9,$DN$5)</f>
        <v xml:space="preserve">   "8",</v>
      </c>
      <c r="DM316" s="23"/>
      <c r="DN316" s="23"/>
    </row>
    <row r="317" spans="116:118" ht="12.75" customHeight="1" x14ac:dyDescent="0.2">
      <c r="DL317" s="237" t="str">
        <f>CONCATENATE($DM$5,$AG$10,$DN$5)</f>
        <v xml:space="preserve">   "5",</v>
      </c>
      <c r="DM317" s="23"/>
      <c r="DN317" s="23"/>
    </row>
    <row r="318" spans="116:118" ht="12.75" customHeight="1" x14ac:dyDescent="0.2">
      <c r="DL318" s="237" t="str">
        <f>CONCATENATE($DM$5,$AG$15,$DN$5)</f>
        <v xml:space="preserve">   "10",</v>
      </c>
      <c r="DM318" s="23"/>
      <c r="DN318" s="23"/>
    </row>
    <row r="319" spans="116:118" ht="12.75" customHeight="1" x14ac:dyDescent="0.2">
      <c r="DL319" s="237" t="str">
        <f>CONCATENATE($DM$5,$AG$16,$DN$5)</f>
        <v xml:space="preserve">   "4",</v>
      </c>
      <c r="DM319" s="23"/>
      <c r="DN319" s="23"/>
    </row>
    <row r="320" spans="116:118" ht="12.75" customHeight="1" x14ac:dyDescent="0.2">
      <c r="DL320" s="237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37" t="str">
        <f>CONCATENATE($DM$5,$AG$18,$DN$5)</f>
        <v xml:space="preserve">   "4",</v>
      </c>
      <c r="DM321" s="23"/>
      <c r="DN321" s="23"/>
    </row>
    <row r="322" spans="116:118" x14ac:dyDescent="0.2">
      <c r="DL322" s="237" t="str">
        <f>CONCATENATE($DM$5,$AG$23,$DN$5)</f>
        <v xml:space="preserve">   "",</v>
      </c>
      <c r="DM322" s="23"/>
      <c r="DN322" s="23"/>
    </row>
    <row r="323" spans="116:118" x14ac:dyDescent="0.2">
      <c r="DL323" s="237" t="str">
        <f>CONCATENATE($DM$5,$AG$24,$DN$5)</f>
        <v xml:space="preserve">   "",</v>
      </c>
      <c r="DM323" s="23"/>
      <c r="DN323" s="23"/>
    </row>
    <row r="324" spans="116:118" x14ac:dyDescent="0.2">
      <c r="DL324" s="237" t="str">
        <f>CONCATENATE($DM$5,$AG$29,$DN$6)</f>
        <v xml:space="preserve">   ""</v>
      </c>
      <c r="DM324" s="23"/>
      <c r="DN324" s="23"/>
    </row>
    <row r="325" spans="116:118" x14ac:dyDescent="0.2">
      <c r="DL325" s="237" t="s">
        <v>28</v>
      </c>
      <c r="DM325" s="23"/>
      <c r="DN325" s="23"/>
    </row>
    <row r="326" spans="116:118" x14ac:dyDescent="0.2">
      <c r="DL326" s="237"/>
      <c r="DM326" s="23"/>
      <c r="DN326" s="23"/>
    </row>
    <row r="327" spans="116:118" x14ac:dyDescent="0.2">
      <c r="DL327" s="237" t="s">
        <v>68</v>
      </c>
      <c r="DM327" s="23"/>
      <c r="DN327" s="23"/>
    </row>
    <row r="328" spans="116:118" x14ac:dyDescent="0.2">
      <c r="DL328" s="239" t="str">
        <f>CONCATENATE($DM$5,$DN$5)</f>
        <v xml:space="preserve">   "",</v>
      </c>
      <c r="DM328" s="23"/>
      <c r="DN328" s="23"/>
    </row>
    <row r="329" spans="116:118" x14ac:dyDescent="0.2">
      <c r="DL329" s="239" t="str">
        <f>CONCATENATE($DM$5,$DN$5)</f>
        <v xml:space="preserve">   "",</v>
      </c>
      <c r="DM329" s="23"/>
      <c r="DN329" s="23"/>
    </row>
    <row r="330" spans="116:118" x14ac:dyDescent="0.2">
      <c r="DL330" s="239" t="str">
        <f>CONCATENATE($DM$5,$DN$5)</f>
        <v xml:space="preserve">   "",</v>
      </c>
      <c r="DM330" s="23"/>
      <c r="DN330" s="23"/>
    </row>
    <row r="331" spans="116:118" x14ac:dyDescent="0.2">
      <c r="DL331" s="239" t="str">
        <f>CONCATENATE($DM$5,$DN$5)</f>
        <v xml:space="preserve">   "",</v>
      </c>
      <c r="DM331" s="23"/>
      <c r="DN331" s="23"/>
    </row>
    <row r="332" spans="116:118" x14ac:dyDescent="0.2">
      <c r="DL332" s="239" t="str">
        <f>CONCATENATE($DM$5,$DN$5)</f>
        <v xml:space="preserve">   "",</v>
      </c>
      <c r="DM332" s="23"/>
      <c r="DN332" s="23"/>
    </row>
    <row r="333" spans="116:118" x14ac:dyDescent="0.2">
      <c r="DL333" s="237" t="str">
        <f>CONCATENATE($DM$5,$AG$11,$DN$5)</f>
        <v xml:space="preserve">   "46",</v>
      </c>
      <c r="DM333" s="23"/>
      <c r="DN333" s="23"/>
    </row>
    <row r="334" spans="116:118" x14ac:dyDescent="0.2">
      <c r="DL334" s="239" t="str">
        <f>CONCATENATE($DM$5,$DN$5)</f>
        <v xml:space="preserve">   "",</v>
      </c>
      <c r="DM334" s="23"/>
      <c r="DN334" s="23"/>
    </row>
    <row r="335" spans="116:118" x14ac:dyDescent="0.2">
      <c r="DL335" s="239" t="str">
        <f>CONCATENATE($DM$5,$DN$5)</f>
        <v xml:space="preserve">   "",</v>
      </c>
      <c r="DM335" s="23"/>
      <c r="DN335" s="23"/>
    </row>
    <row r="336" spans="116:118" x14ac:dyDescent="0.2">
      <c r="DL336" s="239" t="str">
        <f>CONCATENATE($DM$5,$DN$5)</f>
        <v xml:space="preserve">   "",</v>
      </c>
      <c r="DM336" s="23"/>
      <c r="DN336" s="23"/>
    </row>
    <row r="337" spans="116:118" x14ac:dyDescent="0.2">
      <c r="DL337" s="237" t="str">
        <f>CONCATENATE($DM$5,$AG$19,$DN$5)</f>
        <v xml:space="preserve">   "51",</v>
      </c>
      <c r="DM337" s="23"/>
      <c r="DN337" s="23"/>
    </row>
    <row r="338" spans="116:118" x14ac:dyDescent="0.2">
      <c r="DL338" s="239" t="str">
        <f>CONCATENATE($DM$5,$DN$5)</f>
        <v xml:space="preserve">   "",</v>
      </c>
      <c r="DM338" s="23"/>
      <c r="DN338" s="23"/>
    </row>
    <row r="339" spans="116:118" x14ac:dyDescent="0.2">
      <c r="DL339" s="237" t="str">
        <f>CONCATENATE($DM$5,$AG$25,$DN$5)</f>
        <v xml:space="preserve">   "",</v>
      </c>
      <c r="DM339" s="23"/>
      <c r="DN339" s="23"/>
    </row>
    <row r="340" spans="116:118" x14ac:dyDescent="0.2">
      <c r="DL340" s="237" t="str">
        <f>CONCATENATE($DM$5,$AG$30,$DN$6)</f>
        <v xml:space="preserve">   ""</v>
      </c>
      <c r="DM340" s="23"/>
      <c r="DN340" s="23"/>
    </row>
    <row r="341" spans="116:118" x14ac:dyDescent="0.2">
      <c r="DL341" s="237" t="s">
        <v>28</v>
      </c>
      <c r="DM341" s="23"/>
      <c r="DN341" s="23"/>
    </row>
    <row r="342" spans="116:118" x14ac:dyDescent="0.2">
      <c r="DL342" s="238"/>
      <c r="DM342" s="23"/>
      <c r="DN342" s="23"/>
    </row>
    <row r="343" spans="116:118" x14ac:dyDescent="0.2">
      <c r="DL343" s="237" t="s">
        <v>42</v>
      </c>
      <c r="DM343" s="23"/>
      <c r="DN343" s="23"/>
    </row>
    <row r="344" spans="116:118" x14ac:dyDescent="0.2">
      <c r="DL344" s="237" t="str">
        <f>CONCATENATE($DM$5,$AI$5,$DN$5)</f>
        <v xml:space="preserve">   "H",</v>
      </c>
      <c r="DM344" s="23"/>
      <c r="DN344" s="23"/>
    </row>
    <row r="345" spans="116:118" x14ac:dyDescent="0.2">
      <c r="DL345" s="237" t="str">
        <f>CONCATENATE($DM$5,$AI$6,$DN$5)</f>
        <v xml:space="preserve">   "H",</v>
      </c>
      <c r="DM345" s="23"/>
      <c r="DN345" s="23"/>
    </row>
    <row r="346" spans="116:118" x14ac:dyDescent="0.2">
      <c r="DL346" s="237" t="str">
        <f>CONCATENATE($DM$5,$AI$7,$DN$5)</f>
        <v xml:space="preserve">   "V",</v>
      </c>
      <c r="DM346" s="23"/>
      <c r="DN346" s="23"/>
    </row>
    <row r="347" spans="116:118" x14ac:dyDescent="0.2">
      <c r="DL347" s="237" t="str">
        <f>CONCATENATE($DM$5,$AI$8,$DN$5)</f>
        <v xml:space="preserve">   "H",</v>
      </c>
      <c r="DM347" s="23"/>
      <c r="DN347" s="23"/>
    </row>
    <row r="348" spans="116:118" x14ac:dyDescent="0.2">
      <c r="DL348" s="237" t="str">
        <f>CONCATENATE($DM$5,$AI$9,$DN$5)</f>
        <v xml:space="preserve">   "H",</v>
      </c>
      <c r="DM348" s="23"/>
      <c r="DN348" s="23"/>
    </row>
    <row r="349" spans="116:118" x14ac:dyDescent="0.2">
      <c r="DL349" s="237" t="str">
        <f>CONCATENATE($DM$5,$AI$10,$DN$5)</f>
        <v xml:space="preserve">   "V",</v>
      </c>
      <c r="DM349" s="23"/>
      <c r="DN349" s="23"/>
    </row>
    <row r="350" spans="116:118" x14ac:dyDescent="0.2">
      <c r="DL350" s="237" t="str">
        <f>CONCATENATE($DM$5,$AI$15,$DN$5)</f>
        <v xml:space="preserve">   "H",</v>
      </c>
      <c r="DM350" s="23"/>
      <c r="DN350" s="23"/>
    </row>
    <row r="351" spans="116:118" x14ac:dyDescent="0.2">
      <c r="DL351" s="237" t="str">
        <f>CONCATENATE($DM$5,$AI$16,$DN$5)</f>
        <v xml:space="preserve">   "V",</v>
      </c>
      <c r="DM351" s="23"/>
      <c r="DN351" s="23"/>
    </row>
    <row r="352" spans="116:118" x14ac:dyDescent="0.2">
      <c r="DL352" s="237" t="str">
        <f>CONCATENATE($DM$5,$AI$17,$DN$5)</f>
        <v xml:space="preserve">   "H",</v>
      </c>
      <c r="DM352" s="23"/>
      <c r="DN352" s="23"/>
    </row>
    <row r="353" spans="116:118" x14ac:dyDescent="0.2">
      <c r="DL353" s="237" t="str">
        <f>CONCATENATE($DM$5,$AI$18,$DN$5)</f>
        <v xml:space="preserve">   "H",</v>
      </c>
      <c r="DM353" s="23"/>
      <c r="DN353" s="23"/>
    </row>
    <row r="354" spans="116:118" x14ac:dyDescent="0.2">
      <c r="DL354" s="237" t="str">
        <f>CONCATENATE($DM$5,$AI$23,$DN$5)</f>
        <v xml:space="preserve">   "",</v>
      </c>
      <c r="DM354" s="23"/>
      <c r="DN354" s="23"/>
    </row>
    <row r="355" spans="116:118" x14ac:dyDescent="0.2">
      <c r="DL355" s="237" t="str">
        <f>CONCATENATE($DM$5,$AI$24,$DN$5)</f>
        <v xml:space="preserve">   "",</v>
      </c>
      <c r="DM355" s="23"/>
      <c r="DN355" s="23"/>
    </row>
    <row r="356" spans="116:118" x14ac:dyDescent="0.2">
      <c r="DL356" s="237" t="str">
        <f>CONCATENATE($DM$5,$AI$29,$DN$6)</f>
        <v xml:space="preserve">   ""</v>
      </c>
      <c r="DM356" s="23"/>
      <c r="DN356" s="23"/>
    </row>
    <row r="357" spans="116:118" x14ac:dyDescent="0.2">
      <c r="DL357" s="237" t="s">
        <v>28</v>
      </c>
      <c r="DM357" s="23"/>
      <c r="DN357" s="23"/>
    </row>
    <row r="358" spans="116:118" x14ac:dyDescent="0.2">
      <c r="DL358" s="237"/>
      <c r="DM358" s="23"/>
      <c r="DN358" s="23"/>
    </row>
    <row r="359" spans="116:118" x14ac:dyDescent="0.2">
      <c r="DL359" s="237" t="s">
        <v>43</v>
      </c>
      <c r="DM359" s="23"/>
      <c r="DN359" s="23"/>
    </row>
    <row r="360" spans="116:118" x14ac:dyDescent="0.2">
      <c r="DL360" s="237" t="str">
        <f>CONCATENATE($DM$5,$AK$5,$DN$5)</f>
        <v xml:space="preserve">   "3",</v>
      </c>
      <c r="DM360" s="23"/>
      <c r="DN360" s="23"/>
    </row>
    <row r="361" spans="116:118" x14ac:dyDescent="0.2">
      <c r="DL361" s="237" t="str">
        <f>CONCATENATE($DM$5,$AK$6,$DN$5)</f>
        <v xml:space="preserve">   "1",</v>
      </c>
      <c r="DM361" s="23"/>
      <c r="DN361" s="23"/>
    </row>
    <row r="362" spans="116:118" x14ac:dyDescent="0.2">
      <c r="DL362" s="237" t="str">
        <f>CONCATENATE($DM$5,$AK$7,$DN$5)</f>
        <v xml:space="preserve">   "11",</v>
      </c>
      <c r="DM362" s="23"/>
      <c r="DN362" s="23"/>
    </row>
    <row r="363" spans="116:118" x14ac:dyDescent="0.2">
      <c r="DL363" s="237" t="str">
        <f>CONCATENATE($DM$5,$AK$8,$DN$5)</f>
        <v xml:space="preserve">   "1",</v>
      </c>
      <c r="DM363" s="23"/>
      <c r="DN363" s="23"/>
    </row>
    <row r="364" spans="116:118" x14ac:dyDescent="0.2">
      <c r="DL364" s="237" t="str">
        <f>CONCATENATE($DM$5,$AK$9,$DN$5)</f>
        <v xml:space="preserve">   "11",</v>
      </c>
      <c r="DM364" s="23"/>
      <c r="DN364" s="23"/>
    </row>
    <row r="365" spans="116:118" x14ac:dyDescent="0.2">
      <c r="DL365" s="237" t="str">
        <f>CONCATENATE($DM$5,$AK$10,$DN$5)</f>
        <v xml:space="preserve">   "1",</v>
      </c>
      <c r="DM365" s="23"/>
      <c r="DN365" s="23"/>
    </row>
    <row r="366" spans="116:118" x14ac:dyDescent="0.2">
      <c r="DL366" s="237" t="str">
        <f>CONCATENATE($DM$5,$AK$15,$DN$5)</f>
        <v xml:space="preserve">   "4",</v>
      </c>
      <c r="DM366" s="23"/>
      <c r="DN366" s="23"/>
    </row>
    <row r="367" spans="116:118" x14ac:dyDescent="0.2">
      <c r="DL367" s="237" t="str">
        <f>CONCATENATE($DM$5,$AK$16,$DN$5)</f>
        <v xml:space="preserve">   "1",</v>
      </c>
      <c r="DM367" s="23"/>
      <c r="DN367" s="23"/>
    </row>
    <row r="368" spans="116:118" x14ac:dyDescent="0.2">
      <c r="DL368" s="237" t="str">
        <f>CONCATENATE($DM$5,$AK$17,$DN$5)</f>
        <v xml:space="preserve">   "6",</v>
      </c>
      <c r="DM368" s="23"/>
      <c r="DN368" s="23"/>
    </row>
    <row r="369" spans="116:118" x14ac:dyDescent="0.2">
      <c r="DL369" s="237" t="str">
        <f>CONCATENATE($DM$5,$AK$18,$DN$5)</f>
        <v xml:space="preserve">   "1",</v>
      </c>
      <c r="DM369" s="23"/>
      <c r="DN369" s="23"/>
    </row>
    <row r="370" spans="116:118" x14ac:dyDescent="0.2">
      <c r="DL370" s="237" t="str">
        <f>CONCATENATE($DM$5,$AK$23,$DN$5)</f>
        <v xml:space="preserve">   "",</v>
      </c>
      <c r="DM370" s="23"/>
      <c r="DN370" s="23"/>
    </row>
    <row r="371" spans="116:118" x14ac:dyDescent="0.2">
      <c r="DL371" s="237" t="str">
        <f>CONCATENATE($DM$5,$AK$24,$DN$5)</f>
        <v xml:space="preserve">   "",</v>
      </c>
      <c r="DM371" s="23"/>
      <c r="DN371" s="23"/>
    </row>
    <row r="372" spans="116:118" x14ac:dyDescent="0.2">
      <c r="DL372" s="237" t="str">
        <f>CONCATENATE($DM$5,$AK$29,$DN$6)</f>
        <v xml:space="preserve">   ""</v>
      </c>
      <c r="DM372" s="23"/>
      <c r="DN372" s="23"/>
    </row>
    <row r="373" spans="116:118" x14ac:dyDescent="0.2">
      <c r="DL373" s="237" t="s">
        <v>28</v>
      </c>
      <c r="DM373" s="23"/>
      <c r="DN373" s="23"/>
    </row>
    <row r="374" spans="116:118" x14ac:dyDescent="0.2">
      <c r="DL374" s="237"/>
      <c r="DM374" s="23"/>
      <c r="DN374" s="23"/>
    </row>
    <row r="375" spans="116:118" x14ac:dyDescent="0.2">
      <c r="DL375" s="237" t="s">
        <v>69</v>
      </c>
      <c r="DM375" s="23"/>
      <c r="DN375" s="23"/>
    </row>
    <row r="376" spans="116:118" x14ac:dyDescent="0.2">
      <c r="DL376" s="239" t="str">
        <f>CONCATENATE($DM$5,$DN$5)</f>
        <v xml:space="preserve">   "",</v>
      </c>
      <c r="DM376" s="23"/>
      <c r="DN376" s="23"/>
    </row>
    <row r="377" spans="116:118" x14ac:dyDescent="0.2">
      <c r="DL377" s="239" t="str">
        <f>CONCATENATE($DM$5,$DN$5)</f>
        <v xml:space="preserve">   "",</v>
      </c>
      <c r="DM377" s="23"/>
      <c r="DN377" s="23"/>
    </row>
    <row r="378" spans="116:118" x14ac:dyDescent="0.2">
      <c r="DL378" s="239" t="str">
        <f>CONCATENATE($DM$5,$DN$5)</f>
        <v xml:space="preserve">   "",</v>
      </c>
      <c r="DM378" s="23"/>
      <c r="DN378" s="23"/>
    </row>
    <row r="379" spans="116:118" x14ac:dyDescent="0.2">
      <c r="DL379" s="239" t="str">
        <f>CONCATENATE($DM$5,$DN$5)</f>
        <v xml:space="preserve">   "",</v>
      </c>
      <c r="DM379" s="23"/>
      <c r="DN379" s="23"/>
    </row>
    <row r="380" spans="116:118" x14ac:dyDescent="0.2">
      <c r="DL380" s="239" t="str">
        <f>CONCATENATE($DM$5,$DN$5)</f>
        <v xml:space="preserve">   "",</v>
      </c>
      <c r="DM380" s="23"/>
      <c r="DN380" s="23"/>
    </row>
    <row r="381" spans="116:118" x14ac:dyDescent="0.2">
      <c r="DL381" s="237" t="str">
        <f>CONCATENATE($DM$5,$AK$11,$DN$5)</f>
        <v xml:space="preserve">   "50",</v>
      </c>
      <c r="DM381" s="23"/>
      <c r="DN381" s="23"/>
    </row>
    <row r="382" spans="116:118" x14ac:dyDescent="0.2">
      <c r="DL382" s="239" t="str">
        <f>CONCATENATE($DM$5,$DN$5)</f>
        <v xml:space="preserve">   "",</v>
      </c>
      <c r="DM382" s="23"/>
      <c r="DN382" s="23"/>
    </row>
    <row r="383" spans="116:118" x14ac:dyDescent="0.2">
      <c r="DL383" s="239" t="str">
        <f>CONCATENATE($DM$5,$DN$5)</f>
        <v xml:space="preserve">   "",</v>
      </c>
      <c r="DM383" s="23"/>
      <c r="DN383" s="23"/>
    </row>
    <row r="384" spans="116:118" x14ac:dyDescent="0.2">
      <c r="DL384" s="239" t="str">
        <f>CONCATENATE($DM$5,$DN$5)</f>
        <v xml:space="preserve">   "",</v>
      </c>
      <c r="DM384" s="23"/>
      <c r="DN384" s="23"/>
    </row>
    <row r="385" spans="116:118" x14ac:dyDescent="0.2">
      <c r="DL385" s="237" t="str">
        <f>CONCATENATE($DM$5,$AK$19,$DN$5)</f>
        <v xml:space="preserve">   "54",</v>
      </c>
      <c r="DM385" s="23"/>
      <c r="DN385" s="23"/>
    </row>
    <row r="386" spans="116:118" x14ac:dyDescent="0.2">
      <c r="DL386" s="239" t="str">
        <f>CONCATENATE($DM$5,$DN$5)</f>
        <v xml:space="preserve">   "",</v>
      </c>
      <c r="DM386" s="23"/>
      <c r="DN386" s="23"/>
    </row>
    <row r="387" spans="116:118" x14ac:dyDescent="0.2">
      <c r="DL387" s="237" t="str">
        <f>CONCATENATE($DM$5,$AK$25,$DN$5)</f>
        <v xml:space="preserve">   "",</v>
      </c>
      <c r="DM387" s="23"/>
      <c r="DN387" s="23"/>
    </row>
    <row r="388" spans="116:118" x14ac:dyDescent="0.2">
      <c r="DL388" s="237" t="str">
        <f>CONCATENATE($DM$5,$AK$30,$DN$6)</f>
        <v xml:space="preserve">   ""</v>
      </c>
      <c r="DM388" s="23"/>
      <c r="DN388" s="23"/>
    </row>
    <row r="389" spans="116:118" x14ac:dyDescent="0.2">
      <c r="DL389" s="237" t="s">
        <v>28</v>
      </c>
      <c r="DM389" s="23"/>
      <c r="DN389" s="23"/>
    </row>
    <row r="390" spans="116:118" x14ac:dyDescent="0.2">
      <c r="DL390" s="238"/>
      <c r="DM390" s="23"/>
      <c r="DN390" s="23"/>
    </row>
    <row r="391" spans="116:118" x14ac:dyDescent="0.2">
      <c r="DL391" s="237" t="s">
        <v>44</v>
      </c>
      <c r="DM391" s="23"/>
      <c r="DN391" s="23"/>
    </row>
    <row r="392" spans="116:118" x14ac:dyDescent="0.2">
      <c r="DL392" s="237" t="str">
        <f>CONCATENATE($DM$5,$AM$5,$DN$5)</f>
        <v xml:space="preserve">   "H",</v>
      </c>
      <c r="DM392" s="23"/>
      <c r="DN392" s="23"/>
    </row>
    <row r="393" spans="116:118" x14ac:dyDescent="0.2">
      <c r="DL393" s="237" t="str">
        <f>CONCATENATE($DM$5,$AM$6,$DN$5)</f>
        <v xml:space="preserve">   "H",</v>
      </c>
      <c r="DM393" s="23"/>
      <c r="DN393" s="23"/>
    </row>
    <row r="394" spans="116:118" x14ac:dyDescent="0.2">
      <c r="DL394" s="237" t="str">
        <f>CONCATENATE($DM$5,$AM$7,$DN$5)</f>
        <v xml:space="preserve">   "V",</v>
      </c>
      <c r="DM394" s="23"/>
      <c r="DN394" s="23"/>
    </row>
    <row r="395" spans="116:118" x14ac:dyDescent="0.2">
      <c r="DL395" s="237" t="str">
        <f>CONCATENATE($DM$5,$AM$8,$DN$5)</f>
        <v xml:space="preserve">   "V",</v>
      </c>
      <c r="DM395" s="23"/>
      <c r="DN395" s="23"/>
    </row>
    <row r="396" spans="116:118" x14ac:dyDescent="0.2">
      <c r="DL396" s="237" t="str">
        <f>CONCATENATE($DM$5,$AM$9,$DN$5)</f>
        <v xml:space="preserve">   "H",</v>
      </c>
      <c r="DM396" s="23"/>
      <c r="DN396" s="23"/>
    </row>
    <row r="397" spans="116:118" x14ac:dyDescent="0.2">
      <c r="DL397" s="237" t="str">
        <f>CONCATENATE($DM$5,$AM$10,$DN$5)</f>
        <v xml:space="preserve">   "H",</v>
      </c>
      <c r="DM397" s="23"/>
      <c r="DN397" s="23"/>
    </row>
    <row r="398" spans="116:118" x14ac:dyDescent="0.2">
      <c r="DL398" s="237" t="str">
        <f>CONCATENATE($DM$5,$AM$15,$DN$5)</f>
        <v xml:space="preserve">   "H",</v>
      </c>
      <c r="DM398" s="23"/>
      <c r="DN398" s="23"/>
    </row>
    <row r="399" spans="116:118" x14ac:dyDescent="0.2">
      <c r="DL399" s="237" t="str">
        <f>CONCATENATE($DM$5,$AM$16,$DN$5)</f>
        <v xml:space="preserve">   "H",</v>
      </c>
      <c r="DM399" s="23"/>
      <c r="DN399" s="23"/>
    </row>
    <row r="400" spans="116:118" x14ac:dyDescent="0.2">
      <c r="DL400" s="237" t="str">
        <f>CONCATENATE($DM$5,$AM$17,$DN$5)</f>
        <v xml:space="preserve">   "H",</v>
      </c>
      <c r="DM400" s="23"/>
      <c r="DN400" s="23"/>
    </row>
    <row r="401" spans="116:118" x14ac:dyDescent="0.2">
      <c r="DL401" s="237" t="str">
        <f>CONCATENATE($DM$5,$AM$18,$DN$5)</f>
        <v xml:space="preserve">   "H",</v>
      </c>
      <c r="DM401" s="23"/>
      <c r="DN401" s="23"/>
    </row>
    <row r="402" spans="116:118" x14ac:dyDescent="0.2">
      <c r="DL402" s="237" t="str">
        <f>CONCATENATE($DM$5,$AM$23,$DN$5)</f>
        <v xml:space="preserve">   "",</v>
      </c>
      <c r="DM402" s="23"/>
      <c r="DN402" s="23"/>
    </row>
    <row r="403" spans="116:118" x14ac:dyDescent="0.2">
      <c r="DL403" s="237" t="str">
        <f>CONCATENATE($DM$5,$AM$24,$DN$5)</f>
        <v xml:space="preserve">   "",</v>
      </c>
      <c r="DM403" s="23"/>
      <c r="DN403" s="23"/>
    </row>
    <row r="404" spans="116:118" x14ac:dyDescent="0.2">
      <c r="DL404" s="237" t="str">
        <f>CONCATENATE($DM$5,$AM$29,$DN$6)</f>
        <v xml:space="preserve">   ""</v>
      </c>
      <c r="DM404" s="23"/>
      <c r="DN404" s="23"/>
    </row>
    <row r="405" spans="116:118" x14ac:dyDescent="0.2">
      <c r="DL405" s="237" t="s">
        <v>28</v>
      </c>
      <c r="DM405" s="23"/>
      <c r="DN405" s="23"/>
    </row>
    <row r="406" spans="116:118" x14ac:dyDescent="0.2">
      <c r="DL406" s="237"/>
      <c r="DM406" s="23"/>
      <c r="DN406" s="23"/>
    </row>
    <row r="407" spans="116:118" x14ac:dyDescent="0.2">
      <c r="DL407" s="237" t="s">
        <v>45</v>
      </c>
      <c r="DM407" s="23"/>
      <c r="DN407" s="23"/>
    </row>
    <row r="408" spans="116:118" x14ac:dyDescent="0.2">
      <c r="DL408" s="237" t="str">
        <f>CONCATENATE($DM$5,$AO$5,$DN$5)</f>
        <v xml:space="preserve">   "7",</v>
      </c>
      <c r="DM408" s="23"/>
      <c r="DN408" s="23"/>
    </row>
    <row r="409" spans="116:118" x14ac:dyDescent="0.2">
      <c r="DL409" s="237" t="str">
        <f>CONCATENATE($DM$5,$AO$6,$DN$5)</f>
        <v xml:space="preserve">   "3",</v>
      </c>
      <c r="DM409" s="23"/>
      <c r="DN409" s="23"/>
    </row>
    <row r="410" spans="116:118" x14ac:dyDescent="0.2">
      <c r="DL410" s="237" t="str">
        <f>CONCATENATE($DM$5,$AO$7,$DN$5)</f>
        <v xml:space="preserve">   "8",</v>
      </c>
      <c r="DM410" s="23"/>
      <c r="DN410" s="23"/>
    </row>
    <row r="411" spans="116:118" x14ac:dyDescent="0.2">
      <c r="DL411" s="237" t="str">
        <f>CONCATENATE($DM$5,$AO$8,$DN$5)</f>
        <v xml:space="preserve">   "3",</v>
      </c>
      <c r="DM411" s="23"/>
      <c r="DN411" s="23"/>
    </row>
    <row r="412" spans="116:118" x14ac:dyDescent="0.2">
      <c r="DL412" s="237" t="str">
        <f>CONCATENATE($DM$5,$AO$9,$DN$5)</f>
        <v xml:space="preserve">   "10",</v>
      </c>
      <c r="DM412" s="23"/>
      <c r="DN412" s="23"/>
    </row>
    <row r="413" spans="116:118" x14ac:dyDescent="0.2">
      <c r="DL413" s="237" t="str">
        <f>CONCATENATE($DM$5,$AO$10,$DN$5)</f>
        <v xml:space="preserve">   "6",</v>
      </c>
      <c r="DM413" s="23"/>
      <c r="DN413" s="23"/>
    </row>
    <row r="414" spans="116:118" x14ac:dyDescent="0.2">
      <c r="DL414" s="237" t="str">
        <f>CONCATENATE($DM$5,$AO$15,$DN$5)</f>
        <v xml:space="preserve">   "7",</v>
      </c>
      <c r="DM414" s="23"/>
      <c r="DN414" s="23"/>
    </row>
    <row r="415" spans="116:118" x14ac:dyDescent="0.2">
      <c r="DL415" s="237" t="str">
        <f>CONCATENATE($DM$5,$AO$16,$DN$5)</f>
        <v xml:space="preserve">   "3",</v>
      </c>
      <c r="DM415" s="23"/>
      <c r="DN415" s="23"/>
    </row>
    <row r="416" spans="116:118" x14ac:dyDescent="0.2">
      <c r="DL416" s="237" t="str">
        <f>CONCATENATE($DM$5,$AO$17,$DN$5)</f>
        <v xml:space="preserve">   "10",</v>
      </c>
      <c r="DM416" s="23"/>
      <c r="DN416" s="23"/>
    </row>
    <row r="417" spans="99:118" x14ac:dyDescent="0.2">
      <c r="DL417" s="237" t="str">
        <f>CONCATENATE($DM$5,$AO$18,$DN$5)</f>
        <v xml:space="preserve">   "3",</v>
      </c>
      <c r="DM417" s="23"/>
      <c r="DN417" s="23"/>
    </row>
    <row r="418" spans="99:118" x14ac:dyDescent="0.2">
      <c r="DL418" s="237" t="str">
        <f>CONCATENATE($DM$5,$AO$23,$DN$5)</f>
        <v xml:space="preserve">   "",</v>
      </c>
      <c r="DM418" s="23"/>
      <c r="DN418" s="23"/>
    </row>
    <row r="419" spans="99:118" x14ac:dyDescent="0.2">
      <c r="DL419" s="237" t="str">
        <f>CONCATENATE($DM$5,$AO$24,$DN$5)</f>
        <v xml:space="preserve">   "",</v>
      </c>
      <c r="DM419" s="23"/>
      <c r="DN419" s="23"/>
    </row>
    <row r="420" spans="99:118" x14ac:dyDescent="0.2">
      <c r="DL420" s="237" t="str">
        <f>CONCATENATE($DM$5,$AO$29,$DN$6)</f>
        <v xml:space="preserve">   ""</v>
      </c>
      <c r="DM420" s="23"/>
      <c r="DN420" s="23"/>
    </row>
    <row r="421" spans="99:118" x14ac:dyDescent="0.2">
      <c r="DL421" s="237" t="s">
        <v>28</v>
      </c>
      <c r="DM421" s="23"/>
      <c r="DN421" s="23"/>
    </row>
    <row r="422" spans="99:118" x14ac:dyDescent="0.2">
      <c r="CU422" s="53"/>
      <c r="CV422" s="53"/>
      <c r="CW422" s="53"/>
      <c r="DL422" s="237"/>
      <c r="DM422" s="23"/>
      <c r="DN422" s="23"/>
    </row>
    <row r="423" spans="99:118" x14ac:dyDescent="0.2">
      <c r="CU423" s="53"/>
      <c r="CV423" s="53"/>
      <c r="CW423" s="53"/>
      <c r="DL423" s="237" t="s">
        <v>70</v>
      </c>
      <c r="DM423" s="23"/>
      <c r="DN423" s="23"/>
    </row>
    <row r="424" spans="99:118" x14ac:dyDescent="0.2">
      <c r="CU424" s="53"/>
      <c r="CV424" s="53"/>
      <c r="CW424" s="53"/>
      <c r="DL424" s="239" t="str">
        <f>CONCATENATE($DM$5,$DN$5)</f>
        <v xml:space="preserve">   "",</v>
      </c>
      <c r="DM424" s="23"/>
      <c r="DN424" s="23"/>
    </row>
    <row r="425" spans="99:118" x14ac:dyDescent="0.2">
      <c r="CU425" s="53"/>
      <c r="CV425" s="53"/>
      <c r="CW425" s="53"/>
      <c r="DL425" s="239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39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39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39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37" t="str">
        <f>CONCATENATE($DM$5,$AO$11,$DN$5)</f>
        <v xml:space="preserve">   "48",</v>
      </c>
      <c r="DM429" s="23"/>
      <c r="DN429" s="23"/>
    </row>
    <row r="430" spans="99:118" x14ac:dyDescent="0.2">
      <c r="CU430" s="53"/>
      <c r="CV430" s="53"/>
      <c r="CW430" s="53"/>
      <c r="DL430" s="239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39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39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37" t="str">
        <f>CONCATENATE($DM$5,$AO$19,$DN$5)</f>
        <v xml:space="preserve">   "52",</v>
      </c>
      <c r="DM433" s="23"/>
      <c r="DN433" s="23"/>
    </row>
    <row r="434" spans="99:118" x14ac:dyDescent="0.2">
      <c r="CU434" s="53"/>
      <c r="CV434" s="53"/>
      <c r="CW434" s="53"/>
      <c r="DL434" s="239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37" t="str">
        <f>CONCATENATE($DM$5,$AO$25,$DN$5)</f>
        <v xml:space="preserve">   "",</v>
      </c>
      <c r="DM435" s="23"/>
      <c r="DN435" s="23"/>
    </row>
    <row r="436" spans="99:118" x14ac:dyDescent="0.2">
      <c r="CU436" s="53"/>
      <c r="CV436" s="53"/>
      <c r="CW436" s="53"/>
      <c r="DL436" s="237" t="str">
        <f>CONCATENATE($DM$5,$AO$30,$DN$6)</f>
        <v xml:space="preserve">   ""</v>
      </c>
      <c r="DM436" s="23"/>
      <c r="DN436" s="23"/>
    </row>
    <row r="437" spans="99:118" x14ac:dyDescent="0.2">
      <c r="CU437" s="53"/>
      <c r="CV437" s="53"/>
      <c r="CW437" s="53"/>
      <c r="DL437" s="237" t="s">
        <v>28</v>
      </c>
      <c r="DM437" s="23"/>
      <c r="DN437" s="23"/>
    </row>
    <row r="438" spans="99:118" x14ac:dyDescent="0.2">
      <c r="CU438" s="53"/>
      <c r="CV438" s="53"/>
      <c r="CW438" s="53"/>
      <c r="DL438" s="238"/>
      <c r="DM438" s="23"/>
      <c r="DN438" s="23"/>
    </row>
    <row r="439" spans="99:118" x14ac:dyDescent="0.2">
      <c r="CU439" s="53"/>
      <c r="CV439" s="53"/>
      <c r="CW439" s="53"/>
      <c r="DL439" s="237" t="s">
        <v>46</v>
      </c>
      <c r="DM439" s="23"/>
      <c r="DN439" s="23"/>
    </row>
    <row r="440" spans="99:118" x14ac:dyDescent="0.2">
      <c r="CU440" s="53"/>
      <c r="CV440" s="53"/>
      <c r="CW440" s="53"/>
      <c r="DL440" s="237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37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37" t="str">
        <f>CONCATENATE($DM$5,$AQ$7,$DN$5)</f>
        <v xml:space="preserve">   "V",</v>
      </c>
      <c r="DM442" s="23"/>
      <c r="DN442" s="23"/>
    </row>
    <row r="443" spans="99:118" x14ac:dyDescent="0.2">
      <c r="CU443" s="53"/>
      <c r="CV443" s="53"/>
      <c r="CW443" s="53"/>
      <c r="DL443" s="237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37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37" t="str">
        <f>CONCATENATE($DM$5,$AQ$10,$DN$5)</f>
        <v xml:space="preserve">   "H",</v>
      </c>
      <c r="DM445" s="23"/>
      <c r="DN445" s="23"/>
    </row>
    <row r="446" spans="99:118" x14ac:dyDescent="0.2">
      <c r="CU446" s="53"/>
      <c r="CV446" s="53"/>
      <c r="CW446" s="53"/>
      <c r="DL446" s="237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37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37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37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37" t="str">
        <f>CONCATENATE($DM$5,$AQ$23,$DN$5)</f>
        <v xml:space="preserve">   "",</v>
      </c>
      <c r="DM450" s="23"/>
      <c r="DN450" s="23"/>
    </row>
    <row r="451" spans="99:118" x14ac:dyDescent="0.2">
      <c r="CU451" s="53"/>
      <c r="CV451" s="53"/>
      <c r="CW451" s="53"/>
      <c r="DL451" s="237" t="str">
        <f>CONCATENATE($DM$5,$AQ$24,$DN$5)</f>
        <v xml:space="preserve">   "",</v>
      </c>
      <c r="DM451" s="23"/>
      <c r="DN451" s="23"/>
    </row>
    <row r="452" spans="99:118" x14ac:dyDescent="0.2">
      <c r="CU452" s="53"/>
      <c r="CV452" s="53"/>
      <c r="CW452" s="53"/>
      <c r="DL452" s="237" t="str">
        <f>CONCATENATE($DM$5,$AQ$29,$DN$6)</f>
        <v xml:space="preserve">   ""</v>
      </c>
      <c r="DM452" s="23"/>
      <c r="DN452" s="23"/>
    </row>
    <row r="453" spans="99:118" x14ac:dyDescent="0.2">
      <c r="CU453" s="53"/>
      <c r="CV453" s="53"/>
      <c r="CW453" s="53"/>
      <c r="DL453" s="237" t="s">
        <v>28</v>
      </c>
      <c r="DM453" s="23"/>
      <c r="DN453" s="23"/>
    </row>
    <row r="454" spans="99:118" x14ac:dyDescent="0.2">
      <c r="CU454" s="53"/>
      <c r="CV454" s="53"/>
      <c r="CW454" s="53"/>
      <c r="DL454" s="237"/>
      <c r="DM454" s="23"/>
      <c r="DN454" s="23"/>
    </row>
    <row r="455" spans="99:118" x14ac:dyDescent="0.2">
      <c r="CU455" s="53"/>
      <c r="CV455" s="53"/>
      <c r="CW455" s="53"/>
      <c r="DL455" s="237" t="s">
        <v>47</v>
      </c>
      <c r="DM455" s="23"/>
      <c r="DN455" s="23"/>
    </row>
    <row r="456" spans="99:118" x14ac:dyDescent="0.2">
      <c r="CU456" s="53"/>
      <c r="CV456" s="53"/>
      <c r="CW456" s="53"/>
      <c r="DL456" s="237" t="str">
        <f>CONCATENATE($DM$5,$AS$5,$DN$5)</f>
        <v xml:space="preserve">   "7",</v>
      </c>
      <c r="DM456" s="23"/>
      <c r="DN456" s="23"/>
    </row>
    <row r="457" spans="99:118" x14ac:dyDescent="0.2">
      <c r="CU457" s="53"/>
      <c r="CV457" s="53"/>
      <c r="CW457" s="53"/>
      <c r="DL457" s="237" t="str">
        <f>CONCATENATE($DM$5,$AS$6,$DN$5)</f>
        <v xml:space="preserve">   "10",</v>
      </c>
      <c r="DM457" s="23"/>
      <c r="DN457" s="23"/>
    </row>
    <row r="458" spans="99:118" x14ac:dyDescent="0.2">
      <c r="CU458" s="53"/>
      <c r="CV458" s="53"/>
      <c r="CW458" s="53"/>
      <c r="DL458" s="237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37" t="str">
        <f>CONCATENATE($DM$5,$AS$8,$DN$5)</f>
        <v xml:space="preserve">   "10",</v>
      </c>
      <c r="DM459" s="23"/>
      <c r="DN459" s="23"/>
    </row>
    <row r="460" spans="99:118" x14ac:dyDescent="0.2">
      <c r="CU460" s="53"/>
      <c r="CV460" s="53"/>
      <c r="CW460" s="53"/>
      <c r="DL460" s="237" t="str">
        <f>CONCATENATE($DM$5,$AS$9,$DN$5)</f>
        <v xml:space="preserve">   "17",</v>
      </c>
      <c r="DM460" s="23"/>
      <c r="DN460" s="23"/>
    </row>
    <row r="461" spans="99:118" x14ac:dyDescent="0.2">
      <c r="CU461" s="53"/>
      <c r="CV461" s="53"/>
      <c r="CW461" s="53"/>
      <c r="DL461" s="237" t="str">
        <f>CONCATENATE($DM$5,$AS$10,$DN$5)</f>
        <v xml:space="preserve">   "14",</v>
      </c>
      <c r="DM461" s="23"/>
      <c r="DN461" s="23"/>
    </row>
    <row r="462" spans="99:118" x14ac:dyDescent="0.2">
      <c r="CU462" s="53"/>
      <c r="CV462" s="53"/>
      <c r="CW462" s="53"/>
      <c r="DL462" s="237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37" t="str">
        <f>CONCATENATE($DM$5,$AS$16,$DN$5)</f>
        <v xml:space="preserve">   "7",</v>
      </c>
      <c r="DM463" s="23"/>
      <c r="DN463" s="23"/>
    </row>
    <row r="464" spans="99:118" x14ac:dyDescent="0.2">
      <c r="CU464" s="53"/>
      <c r="CV464" s="53"/>
      <c r="CW464" s="53"/>
      <c r="DL464" s="237" t="str">
        <f>CONCATENATE($DM$5,$AS$17,$DN$5)</f>
        <v xml:space="preserve">   "14",</v>
      </c>
      <c r="DM464" s="23"/>
      <c r="DN464" s="23"/>
    </row>
    <row r="465" spans="99:118" x14ac:dyDescent="0.2">
      <c r="CU465" s="53"/>
      <c r="CV465" s="53"/>
      <c r="CW465" s="53"/>
      <c r="DL465" s="237" t="str">
        <f>CONCATENATE($DM$5,$AS$18,$DN$5)</f>
        <v xml:space="preserve">   "7",</v>
      </c>
      <c r="DM465" s="23"/>
      <c r="DN465" s="23"/>
    </row>
    <row r="466" spans="99:118" x14ac:dyDescent="0.2">
      <c r="CU466" s="53"/>
      <c r="CV466" s="53"/>
      <c r="CW466" s="53"/>
      <c r="DL466" s="237" t="str">
        <f>CONCATENATE($DM$5,$AS$23,$DN$5)</f>
        <v xml:space="preserve">   "",</v>
      </c>
      <c r="DM466" s="23"/>
      <c r="DN466" s="23"/>
    </row>
    <row r="467" spans="99:118" x14ac:dyDescent="0.2">
      <c r="CU467" s="53"/>
      <c r="CV467" s="53"/>
      <c r="CW467" s="53"/>
      <c r="DL467" s="237" t="str">
        <f>CONCATENATE($DM$5,$AS$24,$DN$5)</f>
        <v xml:space="preserve">   "",</v>
      </c>
      <c r="DM467" s="23"/>
      <c r="DN467" s="23"/>
    </row>
    <row r="468" spans="99:118" x14ac:dyDescent="0.2">
      <c r="CU468" s="53"/>
      <c r="CV468" s="53"/>
      <c r="CW468" s="53"/>
      <c r="DL468" s="237" t="str">
        <f>CONCATENATE($DM$5,$AS$29,$DN$6)</f>
        <v xml:space="preserve">   ""</v>
      </c>
      <c r="DM468" s="23"/>
      <c r="DN468" s="23"/>
    </row>
    <row r="469" spans="99:118" x14ac:dyDescent="0.2">
      <c r="CU469" s="53"/>
      <c r="CV469" s="53"/>
      <c r="CW469" s="53"/>
      <c r="DL469" s="237" t="s">
        <v>28</v>
      </c>
      <c r="DM469" s="23"/>
      <c r="DN469" s="23"/>
    </row>
    <row r="470" spans="99:118" x14ac:dyDescent="0.2">
      <c r="CU470" s="53"/>
      <c r="CV470" s="53"/>
      <c r="CW470" s="53"/>
      <c r="DL470" s="237"/>
      <c r="DM470" s="23"/>
      <c r="DN470" s="23"/>
    </row>
    <row r="471" spans="99:118" x14ac:dyDescent="0.2">
      <c r="CU471" s="53"/>
      <c r="CV471" s="53"/>
      <c r="CW471" s="53"/>
      <c r="DL471" s="237" t="s">
        <v>71</v>
      </c>
      <c r="DM471" s="23"/>
      <c r="DN471" s="23"/>
    </row>
    <row r="472" spans="99:118" x14ac:dyDescent="0.2">
      <c r="CU472" s="53"/>
      <c r="CV472" s="53"/>
      <c r="CW472" s="53"/>
      <c r="DL472" s="239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39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39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39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39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37" t="str">
        <f>CONCATENATE($DM$5,$AS$11,$DN$5)</f>
        <v xml:space="preserve">   "47",</v>
      </c>
      <c r="DM477" s="23"/>
      <c r="DN477" s="23"/>
    </row>
    <row r="478" spans="99:118" x14ac:dyDescent="0.2">
      <c r="CU478" s="53"/>
      <c r="CV478" s="53"/>
      <c r="CW478" s="53"/>
      <c r="DL478" s="239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39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39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37" t="str">
        <f>CONCATENATE($DM$5,$AS$19,$DN$5)</f>
        <v xml:space="preserve">   "52",</v>
      </c>
      <c r="DM481" s="23"/>
      <c r="DN481" s="23"/>
    </row>
    <row r="482" spans="99:118" x14ac:dyDescent="0.2">
      <c r="CU482" s="53"/>
      <c r="CV482" s="53"/>
      <c r="CW482" s="53"/>
      <c r="DL482" s="239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37" t="str">
        <f>CONCATENATE($DM$5,$AS$25,$DN$5)</f>
        <v xml:space="preserve">   "",</v>
      </c>
      <c r="DM483" s="23"/>
      <c r="DN483" s="23"/>
    </row>
    <row r="484" spans="99:118" x14ac:dyDescent="0.2">
      <c r="CU484" s="53"/>
      <c r="CV484" s="53"/>
      <c r="CW484" s="53"/>
      <c r="DL484" s="237" t="str">
        <f>CONCATENATE($DM$5,$AS$30,$DN$6)</f>
        <v xml:space="preserve">   ""</v>
      </c>
      <c r="DM484" s="23"/>
      <c r="DN484" s="23"/>
    </row>
    <row r="485" spans="99:118" x14ac:dyDescent="0.2">
      <c r="CU485" s="53"/>
      <c r="CV485" s="53"/>
      <c r="CW485" s="53"/>
      <c r="DL485" s="237" t="s">
        <v>28</v>
      </c>
      <c r="DM485" s="23"/>
      <c r="DN485" s="23"/>
    </row>
    <row r="486" spans="99:118" x14ac:dyDescent="0.2">
      <c r="CU486" s="53"/>
      <c r="CV486" s="53"/>
      <c r="CW486" s="53"/>
      <c r="DL486" s="238"/>
      <c r="DM486" s="23"/>
      <c r="DN486" s="23"/>
    </row>
    <row r="487" spans="99:118" x14ac:dyDescent="0.2">
      <c r="CU487" s="53"/>
      <c r="CV487" s="53"/>
      <c r="CW487" s="53"/>
      <c r="DL487" s="237" t="s">
        <v>48</v>
      </c>
      <c r="DM487" s="23"/>
      <c r="DN487" s="23"/>
    </row>
    <row r="488" spans="99:118" x14ac:dyDescent="0.2">
      <c r="CU488" s="53"/>
      <c r="CV488" s="53"/>
      <c r="CW488" s="53"/>
      <c r="DL488" s="237" t="str">
        <f>CONCATENATE($DM$5,$AU$5,$DN$5)</f>
        <v xml:space="preserve">   "H",</v>
      </c>
      <c r="DM488" s="23"/>
      <c r="DN488" s="23"/>
    </row>
    <row r="489" spans="99:118" x14ac:dyDescent="0.2">
      <c r="CU489" s="53"/>
      <c r="CV489" s="53"/>
      <c r="CW489" s="53"/>
      <c r="DL489" s="237" t="str">
        <f>CONCATENATE($DM$5,$AU$6,$DN$5)</f>
        <v xml:space="preserve">   "H",</v>
      </c>
      <c r="DM489" s="23"/>
      <c r="DN489" s="23"/>
    </row>
    <row r="490" spans="99:118" x14ac:dyDescent="0.2">
      <c r="CU490" s="53"/>
      <c r="CV490" s="53"/>
      <c r="CW490" s="53"/>
      <c r="DL490" s="237" t="str">
        <f>CONCATENATE($DM$5,$AU$7,$DN$5)</f>
        <v xml:space="preserve">   "V",</v>
      </c>
      <c r="DM490" s="23"/>
      <c r="DN490" s="23"/>
    </row>
    <row r="491" spans="99:118" x14ac:dyDescent="0.2">
      <c r="CU491" s="53"/>
      <c r="CV491" s="53"/>
      <c r="CW491" s="53"/>
      <c r="DL491" s="237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37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37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37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37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37" t="str">
        <f>CONCATENATE($DM$5,$AU$17,$DN$5)</f>
        <v xml:space="preserve">   "H",</v>
      </c>
      <c r="DM496" s="23"/>
      <c r="DN496" s="23"/>
    </row>
    <row r="497" spans="99:118" x14ac:dyDescent="0.2">
      <c r="CU497" s="53"/>
      <c r="CV497" s="53"/>
      <c r="CW497" s="53"/>
      <c r="DL497" s="237" t="str">
        <f>CONCATENATE($DM$5,$AU$18,$DN$5)</f>
        <v xml:space="preserve">   "H",</v>
      </c>
      <c r="DM497" s="23"/>
      <c r="DN497" s="23"/>
    </row>
    <row r="498" spans="99:118" x14ac:dyDescent="0.2">
      <c r="CU498" s="53"/>
      <c r="CV498" s="53"/>
      <c r="CW498" s="53"/>
      <c r="DL498" s="237" t="str">
        <f>CONCATENATE($DM$5,$AU$23,$DN$5)</f>
        <v xml:space="preserve">   "",</v>
      </c>
      <c r="DM498" s="23"/>
      <c r="DN498" s="23"/>
    </row>
    <row r="499" spans="99:118" x14ac:dyDescent="0.2">
      <c r="CU499" s="53"/>
      <c r="CV499" s="53"/>
      <c r="CW499" s="53"/>
      <c r="DL499" s="237" t="str">
        <f>CONCATENATE($DM$5,$AU$24,$DN$5)</f>
        <v xml:space="preserve">   "",</v>
      </c>
      <c r="DM499" s="23"/>
      <c r="DN499" s="23"/>
    </row>
    <row r="500" spans="99:118" x14ac:dyDescent="0.2">
      <c r="CU500" s="53"/>
      <c r="CV500" s="53"/>
      <c r="CW500" s="53"/>
      <c r="DL500" s="237" t="str">
        <f>CONCATENATE($DM$5,$AU$29,$DN$6)</f>
        <v xml:space="preserve">   ""</v>
      </c>
      <c r="DM500" s="23"/>
      <c r="DN500" s="23"/>
    </row>
    <row r="501" spans="99:118" x14ac:dyDescent="0.2">
      <c r="CU501" s="53"/>
      <c r="CV501" s="53"/>
      <c r="CW501" s="53"/>
      <c r="DL501" s="237" t="s">
        <v>28</v>
      </c>
      <c r="DM501" s="23"/>
      <c r="DN501" s="23"/>
    </row>
    <row r="502" spans="99:118" x14ac:dyDescent="0.2">
      <c r="CU502" s="53"/>
      <c r="CV502" s="53"/>
      <c r="CW502" s="53"/>
      <c r="DL502" s="237"/>
      <c r="DM502" s="23"/>
      <c r="DN502" s="23"/>
    </row>
    <row r="503" spans="99:118" x14ac:dyDescent="0.2">
      <c r="DL503" s="237" t="s">
        <v>49</v>
      </c>
      <c r="DM503" s="23"/>
      <c r="DN503" s="23"/>
    </row>
    <row r="504" spans="99:118" x14ac:dyDescent="0.2">
      <c r="DL504" s="237" t="str">
        <f>CONCATENATE($DM$5,$AW$5,$DN$5)</f>
        <v xml:space="preserve">   "9",</v>
      </c>
      <c r="DM504" s="23"/>
      <c r="DN504" s="23"/>
    </row>
    <row r="505" spans="99:118" x14ac:dyDescent="0.2">
      <c r="DL505" s="237" t="str">
        <f>CONCATENATE($DM$5,$AW$6,$DN$5)</f>
        <v xml:space="preserve">   "4",</v>
      </c>
      <c r="DM505" s="23"/>
      <c r="DN505" s="23"/>
    </row>
    <row r="506" spans="99:118" x14ac:dyDescent="0.2">
      <c r="DL506" s="237" t="str">
        <f>CONCATENATE($DM$5,$AW$7,$DN$5)</f>
        <v xml:space="preserve">   "14",</v>
      </c>
      <c r="DM506" s="23"/>
      <c r="DN506" s="23"/>
    </row>
    <row r="507" spans="99:118" x14ac:dyDescent="0.2">
      <c r="DL507" s="237" t="str">
        <f>CONCATENATE($DM$5,$AW$8,$DN$5)</f>
        <v xml:space="preserve">   "3",</v>
      </c>
      <c r="DM507" s="23"/>
      <c r="DN507" s="23"/>
    </row>
    <row r="508" spans="99:118" x14ac:dyDescent="0.2">
      <c r="DL508" s="237" t="str">
        <f>CONCATENATE($DM$5,$AW$9,$DN$5)</f>
        <v xml:space="preserve">   "7",</v>
      </c>
      <c r="DM508" s="23"/>
      <c r="DN508" s="23"/>
    </row>
    <row r="509" spans="99:118" x14ac:dyDescent="0.2">
      <c r="DL509" s="237" t="str">
        <f>CONCATENATE($DM$5,$AW$10,$DN$5)</f>
        <v xml:space="preserve">   "3",</v>
      </c>
      <c r="DM509" s="23"/>
      <c r="DN509" s="23"/>
    </row>
    <row r="510" spans="99:118" x14ac:dyDescent="0.2">
      <c r="DL510" s="237" t="str">
        <f>CONCATENATE($DM$5,$AW$15,$DN$5)</f>
        <v xml:space="preserve">   "14",</v>
      </c>
      <c r="DM510" s="23"/>
      <c r="DN510" s="23"/>
    </row>
    <row r="511" spans="99:118" x14ac:dyDescent="0.2">
      <c r="DL511" s="237" t="str">
        <f>CONCATENATE($DM$5,$AW$16,$DN$5)</f>
        <v xml:space="preserve">   "10",</v>
      </c>
      <c r="DM511" s="23"/>
      <c r="DN511" s="23"/>
    </row>
    <row r="512" spans="99:118" x14ac:dyDescent="0.2">
      <c r="DL512" s="237" t="str">
        <f>CONCATENATE($DM$5,$AW$17,$DN$5)</f>
        <v xml:space="preserve">   "4",</v>
      </c>
      <c r="DM512" s="23"/>
      <c r="DN512" s="23"/>
    </row>
    <row r="513" spans="116:118" x14ac:dyDescent="0.2">
      <c r="DL513" s="237" t="str">
        <f>CONCATENATE($DM$5,$AW$18,$DN$5)</f>
        <v xml:space="preserve">   "6",</v>
      </c>
      <c r="DM513" s="23"/>
      <c r="DN513" s="23"/>
    </row>
    <row r="514" spans="116:118" x14ac:dyDescent="0.2">
      <c r="DL514" s="237" t="str">
        <f>CONCATENATE($DM$5,$AW$23,$DN$5)</f>
        <v xml:space="preserve">   "",</v>
      </c>
      <c r="DM514" s="23"/>
      <c r="DN514" s="23"/>
    </row>
    <row r="515" spans="116:118" x14ac:dyDescent="0.2">
      <c r="DL515" s="237" t="str">
        <f>CONCATENATE($DM$5,$AW$24,$DN$5)</f>
        <v xml:space="preserve">   "",</v>
      </c>
      <c r="DM515" s="23"/>
      <c r="DN515" s="23"/>
    </row>
    <row r="516" spans="116:118" x14ac:dyDescent="0.2">
      <c r="DL516" s="237" t="str">
        <f>CONCATENATE($DM$5,$AW$29,$DN$6)</f>
        <v xml:space="preserve">   ""</v>
      </c>
      <c r="DM516" s="23"/>
      <c r="DN516" s="23"/>
    </row>
    <row r="517" spans="116:118" x14ac:dyDescent="0.2">
      <c r="DL517" s="237" t="s">
        <v>28</v>
      </c>
      <c r="DM517" s="23"/>
      <c r="DN517" s="23"/>
    </row>
    <row r="518" spans="116:118" x14ac:dyDescent="0.2">
      <c r="DL518" s="237"/>
      <c r="DM518" s="23"/>
      <c r="DN518" s="23"/>
    </row>
    <row r="519" spans="116:118" x14ac:dyDescent="0.2">
      <c r="DL519" s="237" t="s">
        <v>72</v>
      </c>
      <c r="DM519" s="23"/>
      <c r="DN519" s="23"/>
    </row>
    <row r="520" spans="116:118" x14ac:dyDescent="0.2">
      <c r="DL520" s="239" t="str">
        <f>CONCATENATE($DM$5,$DN$5)</f>
        <v xml:space="preserve">   "",</v>
      </c>
      <c r="DM520" s="23"/>
      <c r="DN520" s="23"/>
    </row>
    <row r="521" spans="116:118" x14ac:dyDescent="0.2">
      <c r="DL521" s="239" t="str">
        <f>CONCATENATE($DM$5,$DN$5)</f>
        <v xml:space="preserve">   "",</v>
      </c>
      <c r="DM521" s="23"/>
      <c r="DN521" s="23"/>
    </row>
    <row r="522" spans="116:118" x14ac:dyDescent="0.2">
      <c r="DL522" s="239" t="str">
        <f>CONCATENATE($DM$5,$DN$5)</f>
        <v xml:space="preserve">   "",</v>
      </c>
      <c r="DM522" s="23"/>
    </row>
    <row r="523" spans="116:118" x14ac:dyDescent="0.2">
      <c r="DL523" s="239" t="str">
        <f>CONCATENATE($DM$5,$DN$5)</f>
        <v xml:space="preserve">   "",</v>
      </c>
      <c r="DM523" s="55"/>
    </row>
    <row r="524" spans="116:118" x14ac:dyDescent="0.2">
      <c r="DL524" s="239" t="str">
        <f>CONCATENATE($DM$5,$DN$5)</f>
        <v xml:space="preserve">   "",</v>
      </c>
      <c r="DM524" s="55"/>
    </row>
    <row r="525" spans="116:118" x14ac:dyDescent="0.2">
      <c r="DL525" s="237" t="str">
        <f>CONCATENATE($DM$5,$AW$11,$DN$5)</f>
        <v xml:space="preserve">   "42",</v>
      </c>
      <c r="DM525" s="55"/>
    </row>
    <row r="526" spans="116:118" x14ac:dyDescent="0.2">
      <c r="DL526" s="239" t="str">
        <f>CONCATENATE($DM$5,$DN$5)</f>
        <v xml:space="preserve">   "",</v>
      </c>
      <c r="DM526" s="55"/>
    </row>
    <row r="527" spans="116:118" x14ac:dyDescent="0.2">
      <c r="DL527" s="239" t="str">
        <f>CONCATENATE($DM$5,$DN$5)</f>
        <v xml:space="preserve">   "",</v>
      </c>
      <c r="DM527" s="55"/>
    </row>
    <row r="528" spans="116:118" x14ac:dyDescent="0.2">
      <c r="DL528" s="239" t="str">
        <f>CONCATENATE($DM$5,$DN$5)</f>
        <v xml:space="preserve">   "",</v>
      </c>
      <c r="DM528" s="55"/>
    </row>
    <row r="529" spans="116:118" x14ac:dyDescent="0.2">
      <c r="DL529" s="237" t="str">
        <f>CONCATENATE($DM$5,$AW$19,$DN$5)</f>
        <v xml:space="preserve">   "42",</v>
      </c>
      <c r="DM529" s="55"/>
    </row>
    <row r="530" spans="116:118" x14ac:dyDescent="0.2">
      <c r="DL530" s="239" t="str">
        <f>CONCATENATE($DM$5,$DN$5)</f>
        <v xml:space="preserve">   "",</v>
      </c>
      <c r="DM530" s="55"/>
    </row>
    <row r="531" spans="116:118" x14ac:dyDescent="0.2">
      <c r="DL531" s="237" t="str">
        <f>CONCATENATE($DM$5,$AW$25,$DN$5)</f>
        <v xml:space="preserve">   "",</v>
      </c>
      <c r="DM531" s="55"/>
    </row>
    <row r="532" spans="116:118" x14ac:dyDescent="0.2">
      <c r="DL532" s="237" t="str">
        <f>CONCATENATE($DM$5,$AW$30,$DN$6)</f>
        <v xml:space="preserve">   ""</v>
      </c>
      <c r="DM532" s="55"/>
    </row>
    <row r="533" spans="116:118" x14ac:dyDescent="0.2">
      <c r="DL533" s="237" t="s">
        <v>28</v>
      </c>
      <c r="DM533" s="55"/>
    </row>
    <row r="534" spans="116:118" x14ac:dyDescent="0.2">
      <c r="DL534" s="238"/>
      <c r="DM534" s="55"/>
    </row>
    <row r="535" spans="116:118" x14ac:dyDescent="0.2">
      <c r="DL535" s="237" t="s">
        <v>50</v>
      </c>
      <c r="DM535" s="55"/>
    </row>
    <row r="536" spans="116:118" x14ac:dyDescent="0.2">
      <c r="DL536" s="237" t="str">
        <f>CONCATENATE($DM$5,$AY$5,$DN$5)</f>
        <v xml:space="preserve">   "H",</v>
      </c>
      <c r="DM536" s="55"/>
    </row>
    <row r="537" spans="116:118" x14ac:dyDescent="0.2">
      <c r="DL537" s="237" t="str">
        <f>CONCATENATE($DM$5,$AY$6,$DN$5)</f>
        <v xml:space="preserve">   "H",</v>
      </c>
      <c r="DM537" s="55"/>
    </row>
    <row r="538" spans="116:118" x14ac:dyDescent="0.2">
      <c r="DL538" s="237" t="str">
        <f>CONCATENATE($DM$5,$AY$7,$DN$5)</f>
        <v xml:space="preserve">   "V",</v>
      </c>
      <c r="DM538" s="55"/>
    </row>
    <row r="539" spans="116:118" x14ac:dyDescent="0.2">
      <c r="DL539" s="237" t="str">
        <f>CONCATENATE($DM$5,$AY$8,$DN$5)</f>
        <v xml:space="preserve">   "V",</v>
      </c>
      <c r="DM539" s="55"/>
    </row>
    <row r="540" spans="116:118" x14ac:dyDescent="0.2">
      <c r="DL540" s="237" t="str">
        <f>CONCATENATE($DM$5,$AY$9,$DN$5)</f>
        <v xml:space="preserve">   "H",</v>
      </c>
      <c r="DM540" s="55"/>
    </row>
    <row r="541" spans="116:118" x14ac:dyDescent="0.2">
      <c r="DL541" s="237" t="str">
        <f>CONCATENATE($DM$5,$AY$10,$DN$5)</f>
        <v xml:space="preserve">   "H",</v>
      </c>
      <c r="DM541" s="55"/>
    </row>
    <row r="542" spans="116:118" x14ac:dyDescent="0.2">
      <c r="DL542" s="237" t="str">
        <f>CONCATENATE($DM$5,$AY$15,$DN$5)</f>
        <v xml:space="preserve">   "H",</v>
      </c>
      <c r="DM542" s="55"/>
    </row>
    <row r="543" spans="116:118" x14ac:dyDescent="0.2">
      <c r="DL543" s="237" t="str">
        <f>CONCATENATE($DM$5,$AY$16,$DN$5)</f>
        <v xml:space="preserve">   "H",</v>
      </c>
      <c r="DM543" s="55"/>
    </row>
    <row r="544" spans="116:118" x14ac:dyDescent="0.2">
      <c r="DL544" s="237" t="str">
        <f>CONCATENATE($DM$5,$AY$17,$DN$5)</f>
        <v xml:space="preserve">   "H",</v>
      </c>
      <c r="DM544" s="23"/>
      <c r="DN544" s="23"/>
    </row>
    <row r="545" spans="116:118" x14ac:dyDescent="0.2">
      <c r="DL545" s="237" t="str">
        <f>CONCATENATE($DM$5,$AY$18,$DN$5)</f>
        <v xml:space="preserve">   "H",</v>
      </c>
      <c r="DM545" s="23"/>
      <c r="DN545" s="23"/>
    </row>
    <row r="546" spans="116:118" x14ac:dyDescent="0.2">
      <c r="DL546" s="237" t="str">
        <f>CONCATENATE($DM$5,$AY$23,$DN$5)</f>
        <v xml:space="preserve">   "",</v>
      </c>
      <c r="DM546" s="23"/>
      <c r="DN546" s="23"/>
    </row>
    <row r="547" spans="116:118" x14ac:dyDescent="0.2">
      <c r="DL547" s="237" t="str">
        <f>CONCATENATE($DM$5,$AY$24,$DN$5)</f>
        <v xml:space="preserve">   "",</v>
      </c>
      <c r="DM547" s="23"/>
      <c r="DN547" s="23"/>
    </row>
    <row r="548" spans="116:118" x14ac:dyDescent="0.2">
      <c r="DL548" s="237" t="str">
        <f>CONCATENATE($DM$5,$AY$29,$DN$6)</f>
        <v xml:space="preserve">   ""</v>
      </c>
      <c r="DM548" s="23"/>
      <c r="DN548" s="23"/>
    </row>
    <row r="549" spans="116:118" x14ac:dyDescent="0.2">
      <c r="DL549" s="237" t="s">
        <v>28</v>
      </c>
      <c r="DM549" s="23"/>
      <c r="DN549" s="23"/>
    </row>
    <row r="550" spans="116:118" x14ac:dyDescent="0.2">
      <c r="DL550" s="237"/>
      <c r="DM550" s="23"/>
      <c r="DN550" s="23"/>
    </row>
    <row r="551" spans="116:118" x14ac:dyDescent="0.2">
      <c r="DL551" s="237" t="s">
        <v>51</v>
      </c>
      <c r="DM551" s="23"/>
      <c r="DN551" s="23"/>
    </row>
    <row r="552" spans="116:118" x14ac:dyDescent="0.2">
      <c r="DL552" s="237" t="str">
        <f>CONCATENATE($DM$5,$BA$5,$DN$5)</f>
        <v xml:space="preserve">   "4",</v>
      </c>
      <c r="DM552" s="23"/>
      <c r="DN552" s="23"/>
    </row>
    <row r="553" spans="116:118" x14ac:dyDescent="0.2">
      <c r="DL553" s="237" t="str">
        <f>CONCATENATE($DM$5,$BA$6,$DN$5)</f>
        <v xml:space="preserve">   "1",</v>
      </c>
      <c r="DM553" s="23"/>
      <c r="DN553" s="23"/>
    </row>
    <row r="554" spans="116:118" x14ac:dyDescent="0.2">
      <c r="DL554" s="237" t="str">
        <f>CONCATENATE($DM$5,$BA$7,$DN$5)</f>
        <v xml:space="preserve">   "10",</v>
      </c>
      <c r="DM554" s="23"/>
      <c r="DN554" s="23"/>
    </row>
    <row r="555" spans="116:118" x14ac:dyDescent="0.2">
      <c r="DL555" s="237" t="str">
        <f>CONCATENATE($DM$5,$BA$8,$DN$5)</f>
        <v xml:space="preserve">   "1",</v>
      </c>
      <c r="DM555" s="23"/>
      <c r="DN555" s="23"/>
    </row>
    <row r="556" spans="116:118" x14ac:dyDescent="0.2">
      <c r="DL556" s="237" t="str">
        <f>CONCATENATE($DM$5,$BA$9,$DN$5)</f>
        <v xml:space="preserve">   "7",</v>
      </c>
      <c r="DM556" s="23"/>
      <c r="DN556" s="23"/>
    </row>
    <row r="557" spans="116:118" x14ac:dyDescent="0.2">
      <c r="DL557" s="237" t="str">
        <f>CONCATENATE($DM$5,$BA$10,$DN$5)</f>
        <v xml:space="preserve">   "7",</v>
      </c>
      <c r="DM557" s="23"/>
      <c r="DN557" s="23"/>
    </row>
    <row r="558" spans="116:118" x14ac:dyDescent="0.2">
      <c r="DL558" s="237" t="str">
        <f>CONCATENATE($DM$5,$BA$15,$DN$5)</f>
        <v xml:space="preserve">   "7",</v>
      </c>
      <c r="DM558" s="23"/>
      <c r="DN558" s="23"/>
    </row>
    <row r="559" spans="116:118" x14ac:dyDescent="0.2">
      <c r="DL559" s="237" t="str">
        <f>CONCATENATE($DM$5,$BA$16,$DN$5)</f>
        <v xml:space="preserve">   "3",</v>
      </c>
      <c r="DM559" s="23"/>
      <c r="DN559" s="23"/>
    </row>
    <row r="560" spans="116:118" x14ac:dyDescent="0.2">
      <c r="DL560" s="237" t="str">
        <f>CONCATENATE($DM$5,$BA$17,$DN$5)</f>
        <v xml:space="preserve">   "9",</v>
      </c>
      <c r="DM560" s="23"/>
      <c r="DN560" s="23"/>
    </row>
    <row r="561" spans="116:118" x14ac:dyDescent="0.2">
      <c r="DL561" s="237" t="str">
        <f>CONCATENATE($DM$5,$BA$18,$DN$5)</f>
        <v xml:space="preserve">   "3",</v>
      </c>
      <c r="DM561" s="23"/>
      <c r="DN561" s="23"/>
    </row>
    <row r="562" spans="116:118" x14ac:dyDescent="0.2">
      <c r="DL562" s="237" t="str">
        <f>CONCATENATE($DM$5,$BA$23,$DN$5)</f>
        <v xml:space="preserve">   "",</v>
      </c>
      <c r="DM562" s="23"/>
      <c r="DN562" s="23"/>
    </row>
    <row r="563" spans="116:118" x14ac:dyDescent="0.2">
      <c r="DL563" s="237" t="str">
        <f>CONCATENATE($DM$5,$BA$24,$DN$5)</f>
        <v xml:space="preserve">   "",</v>
      </c>
      <c r="DM563" s="23"/>
      <c r="DN563" s="23"/>
    </row>
    <row r="564" spans="116:118" x14ac:dyDescent="0.2">
      <c r="DL564" s="237" t="str">
        <f>CONCATENATE($DM$5,$BA$29,$DN$6)</f>
        <v xml:space="preserve">   ""</v>
      </c>
      <c r="DM564" s="23"/>
      <c r="DN564" s="23"/>
    </row>
    <row r="565" spans="116:118" x14ac:dyDescent="0.2">
      <c r="DL565" s="237" t="s">
        <v>28</v>
      </c>
      <c r="DM565" s="23"/>
      <c r="DN565" s="23"/>
    </row>
    <row r="566" spans="116:118" x14ac:dyDescent="0.2">
      <c r="DL566" s="237"/>
      <c r="DM566" s="23"/>
      <c r="DN566" s="23"/>
    </row>
    <row r="567" spans="116:118" x14ac:dyDescent="0.2">
      <c r="DL567" s="237" t="s">
        <v>73</v>
      </c>
      <c r="DM567" s="23"/>
      <c r="DN567" s="23"/>
    </row>
    <row r="568" spans="116:118" x14ac:dyDescent="0.2">
      <c r="DL568" s="239" t="str">
        <f>CONCATENATE($DM$5,$DN$5)</f>
        <v xml:space="preserve">   "",</v>
      </c>
      <c r="DM568" s="23"/>
      <c r="DN568" s="23"/>
    </row>
    <row r="569" spans="116:118" x14ac:dyDescent="0.2">
      <c r="DL569" s="239" t="str">
        <f>CONCATENATE($DM$5,$DN$5)</f>
        <v xml:space="preserve">   "",</v>
      </c>
      <c r="DM569" s="23"/>
      <c r="DN569" s="23"/>
    </row>
    <row r="570" spans="116:118" x14ac:dyDescent="0.2">
      <c r="DL570" s="239" t="str">
        <f>CONCATENATE($DM$5,$DN$5)</f>
        <v xml:space="preserve">   "",</v>
      </c>
      <c r="DM570" s="23"/>
      <c r="DN570" s="23"/>
    </row>
    <row r="571" spans="116:118" x14ac:dyDescent="0.2">
      <c r="DL571" s="239" t="str">
        <f>CONCATENATE($DM$5,$DN$5)</f>
        <v xml:space="preserve">   "",</v>
      </c>
      <c r="DM571" s="23"/>
      <c r="DN571" s="23"/>
    </row>
    <row r="572" spans="116:118" x14ac:dyDescent="0.2">
      <c r="DL572" s="239" t="str">
        <f>CONCATENATE($DM$5,$DN$5)</f>
        <v xml:space="preserve">   "",</v>
      </c>
      <c r="DM572" s="23"/>
      <c r="DN572" s="23"/>
    </row>
    <row r="573" spans="116:118" x14ac:dyDescent="0.2">
      <c r="DL573" s="237" t="str">
        <f>CONCATENATE($DM$5,$BA$11,$DN$5)</f>
        <v xml:space="preserve">   "23",</v>
      </c>
      <c r="DM573" s="23"/>
      <c r="DN573" s="23"/>
    </row>
    <row r="574" spans="116:118" x14ac:dyDescent="0.2">
      <c r="DL574" s="239" t="str">
        <f>CONCATENATE($DM$5,$DN$5)</f>
        <v xml:space="preserve">   "",</v>
      </c>
      <c r="DM574" s="23"/>
      <c r="DN574" s="23"/>
    </row>
    <row r="575" spans="116:118" x14ac:dyDescent="0.2">
      <c r="DL575" s="239" t="str">
        <f>CONCATENATE($DM$5,$DN$5)</f>
        <v xml:space="preserve">   "",</v>
      </c>
      <c r="DM575" s="23"/>
      <c r="DN575" s="23"/>
    </row>
    <row r="576" spans="116:118" x14ac:dyDescent="0.2">
      <c r="DL576" s="239" t="str">
        <f>CONCATENATE($DM$5,$DN$5)</f>
        <v xml:space="preserve">   "",</v>
      </c>
      <c r="DM576" s="23"/>
      <c r="DN576" s="23"/>
    </row>
    <row r="577" spans="116:118" x14ac:dyDescent="0.2">
      <c r="DL577" s="237" t="str">
        <f>CONCATENATE($DM$5,$BA$19,$DN$5)</f>
        <v xml:space="preserve">   "52",</v>
      </c>
      <c r="DM577" s="23"/>
      <c r="DN577" s="23"/>
    </row>
    <row r="578" spans="116:118" x14ac:dyDescent="0.2">
      <c r="DL578" s="239" t="str">
        <f>CONCATENATE($DM$5,$DN$5)</f>
        <v xml:space="preserve">   "",</v>
      </c>
      <c r="DM578" s="23"/>
      <c r="DN578" s="23"/>
    </row>
    <row r="579" spans="116:118" x14ac:dyDescent="0.2">
      <c r="DL579" s="237" t="str">
        <f>CONCATENATE($DM$5,$BA$25,$DN$5)</f>
        <v xml:space="preserve">   "",</v>
      </c>
      <c r="DM579" s="23"/>
      <c r="DN579" s="23"/>
    </row>
    <row r="580" spans="116:118" x14ac:dyDescent="0.2">
      <c r="DL580" s="237" t="str">
        <f>CONCATENATE($DM$5,$BA$30,$DN$6)</f>
        <v xml:space="preserve">   ""</v>
      </c>
      <c r="DM580" s="23"/>
      <c r="DN580" s="23"/>
    </row>
    <row r="581" spans="116:118" x14ac:dyDescent="0.2">
      <c r="DL581" s="237" t="s">
        <v>28</v>
      </c>
      <c r="DM581" s="23"/>
      <c r="DN581" s="23"/>
    </row>
    <row r="582" spans="116:118" x14ac:dyDescent="0.2">
      <c r="DL582" s="238"/>
      <c r="DM582" s="23"/>
      <c r="DN582" s="23"/>
    </row>
    <row r="583" spans="116:118" x14ac:dyDescent="0.2">
      <c r="DL583" s="237" t="s">
        <v>52</v>
      </c>
      <c r="DM583" s="23"/>
      <c r="DN583" s="23"/>
    </row>
    <row r="584" spans="116:118" x14ac:dyDescent="0.2">
      <c r="DL584" s="237" t="str">
        <f>CONCATENATE($DM$5,$C$5,$DN$5)</f>
        <v xml:space="preserve">   "Colts",</v>
      </c>
      <c r="DM584" s="23"/>
      <c r="DN584" s="23"/>
    </row>
    <row r="585" spans="116:118" x14ac:dyDescent="0.2">
      <c r="DL585" s="237" t="str">
        <f>CONCATENATE($DM$5,$C$6,$DN$5)</f>
        <v xml:space="preserve">   "Rams",</v>
      </c>
      <c r="DM585" s="23"/>
      <c r="DN585" s="23"/>
    </row>
    <row r="586" spans="116:118" x14ac:dyDescent="0.2">
      <c r="DL586" s="237" t="str">
        <f>CONCATENATE($DM$5,$C$7,$DN$5)</f>
        <v xml:space="preserve">   "Buccaneers",</v>
      </c>
      <c r="DM586" s="23"/>
      <c r="DN586" s="23"/>
    </row>
    <row r="587" spans="116:118" x14ac:dyDescent="0.2">
      <c r="DL587" s="237" t="str">
        <f>CONCATENATE($DM$5,$C$8,$DN$5)</f>
        <v xml:space="preserve">   "Ravens",</v>
      </c>
      <c r="DM587" s="23"/>
      <c r="DN587" s="23"/>
    </row>
    <row r="588" spans="116:118" x14ac:dyDescent="0.2">
      <c r="DL588" s="237" t="str">
        <f>CONCATENATE($DM$5,$C$9,$DN$5)</f>
        <v xml:space="preserve">   "Bears",</v>
      </c>
      <c r="DM588" s="23"/>
      <c r="DN588" s="23"/>
    </row>
    <row r="589" spans="116:118" x14ac:dyDescent="0.2">
      <c r="DL589" s="237" t="str">
        <f>CONCATENATE($DM$5,$C$10,$DN$5)</f>
        <v xml:space="preserve">   "Browns",</v>
      </c>
      <c r="DM589" s="23"/>
      <c r="DN589" s="23"/>
    </row>
    <row r="590" spans="116:118" x14ac:dyDescent="0.2">
      <c r="DL590" s="237" t="str">
        <f>CONCATENATE($DM$5,$C$15,$DN$5)</f>
        <v xml:space="preserve">   "Rams",</v>
      </c>
      <c r="DM590" s="23"/>
      <c r="DN590" s="23"/>
    </row>
    <row r="591" spans="116:118" x14ac:dyDescent="0.2">
      <c r="DL591" s="237" t="str">
        <f>CONCATENATE($DM$5,$C$16,$DN$5)</f>
        <v xml:space="preserve">   "Ravens",</v>
      </c>
      <c r="DM591" s="23"/>
      <c r="DN591" s="23"/>
    </row>
    <row r="592" spans="116:118" x14ac:dyDescent="0.2">
      <c r="DL592" s="237" t="str">
        <f>CONCATENATE($DM$5,$C$17,$DN$5)</f>
        <v xml:space="preserve">   "Browns",</v>
      </c>
      <c r="DM592" s="23"/>
      <c r="DN592" s="23"/>
    </row>
    <row r="593" spans="116:118" x14ac:dyDescent="0.2">
      <c r="DL593" s="237" t="str">
        <f>CONCATENATE($DM$5,$C$18,$DN$5)</f>
        <v xml:space="preserve">   "Buccaneers",</v>
      </c>
      <c r="DM593" s="23"/>
      <c r="DN593" s="23"/>
    </row>
    <row r="594" spans="116:118" x14ac:dyDescent="0.2">
      <c r="DL594" s="237" t="str">
        <f>CONCATENATE($DM$5,$C$23,$DN$5)</f>
        <v xml:space="preserve">   "",</v>
      </c>
      <c r="DM594" s="23"/>
      <c r="DN594" s="23"/>
    </row>
    <row r="595" spans="116:118" x14ac:dyDescent="0.2">
      <c r="DL595" s="237" t="str">
        <f>CONCATENATE($DM$5,$C$24,$DN$5)</f>
        <v xml:space="preserve">   "",</v>
      </c>
      <c r="DM595" s="23"/>
      <c r="DN595" s="23"/>
    </row>
    <row r="596" spans="116:118" x14ac:dyDescent="0.2">
      <c r="DL596" s="237" t="str">
        <f>CONCATENATE($DM$5,$C$29,$DN$6)</f>
        <v xml:space="preserve">   ""</v>
      </c>
      <c r="DM596" s="23"/>
      <c r="DN596" s="23"/>
    </row>
    <row r="597" spans="116:118" x14ac:dyDescent="0.2">
      <c r="DL597" s="237" t="s">
        <v>28</v>
      </c>
      <c r="DM597" s="23"/>
      <c r="DN597" s="23"/>
    </row>
    <row r="598" spans="116:118" x14ac:dyDescent="0.2">
      <c r="DL598" s="237"/>
      <c r="DM598" s="23"/>
      <c r="DN598" s="23"/>
    </row>
    <row r="599" spans="116:118" x14ac:dyDescent="0.2">
      <c r="DL599" s="237" t="s">
        <v>53</v>
      </c>
      <c r="DM599" s="23"/>
      <c r="DN599" s="23"/>
    </row>
    <row r="600" spans="116:118" x14ac:dyDescent="0.2">
      <c r="DL600" s="237" t="str">
        <f>CONCATENATE($DM$5,$E$5,$DN$5)</f>
        <v xml:space="preserve">   "Bills",</v>
      </c>
      <c r="DM600" s="23"/>
      <c r="DN600" s="23"/>
    </row>
    <row r="601" spans="116:118" x14ac:dyDescent="0.2">
      <c r="DL601" s="237" t="str">
        <f>CONCATENATE($DM$5,$E$6,$DN$5)</f>
        <v xml:space="preserve">   "Seahawks",</v>
      </c>
      <c r="DM601" s="23"/>
      <c r="DN601" s="23"/>
    </row>
    <row r="602" spans="116:118" x14ac:dyDescent="0.2">
      <c r="DL602" s="237" t="str">
        <f>CONCATENATE($DM$5,$E$7,$DN$5)</f>
        <v xml:space="preserve">   "Football Team",</v>
      </c>
      <c r="DM602" s="23"/>
      <c r="DN602" s="23"/>
    </row>
    <row r="603" spans="116:118" x14ac:dyDescent="0.2">
      <c r="DL603" s="237" t="str">
        <f>CONCATENATE($DM$5,$E$8,$DN$5)</f>
        <v xml:space="preserve">   "Titans",</v>
      </c>
      <c r="DM603" s="23"/>
      <c r="DN603" s="23"/>
    </row>
    <row r="604" spans="116:118" x14ac:dyDescent="0.2">
      <c r="DL604" s="237" t="str">
        <f>CONCATENATE($DM$5,$E$9,$DN$5)</f>
        <v xml:space="preserve">   "Saints",</v>
      </c>
      <c r="DM604" s="23"/>
      <c r="DN604" s="23"/>
    </row>
    <row r="605" spans="116:118" x14ac:dyDescent="0.2">
      <c r="DL605" s="237" t="str">
        <f>CONCATENATE($DM$5,$E$10,$DN$5)</f>
        <v xml:space="preserve">   "Steelers",</v>
      </c>
      <c r="DM605" s="23"/>
      <c r="DN605" s="23"/>
    </row>
    <row r="606" spans="116:118" x14ac:dyDescent="0.2">
      <c r="DL606" s="237" t="str">
        <f>CONCATENATE($DM$5,$E$15,$DN$5)</f>
        <v xml:space="preserve">   "Packers",</v>
      </c>
      <c r="DM606" s="23"/>
      <c r="DN606" s="23"/>
    </row>
    <row r="607" spans="116:118" x14ac:dyDescent="0.2">
      <c r="DL607" s="237" t="str">
        <f>CONCATENATE($DM$5,$E$16,$DN$5)</f>
        <v xml:space="preserve">   "Bills",</v>
      </c>
      <c r="DM607" s="23"/>
      <c r="DN607" s="23"/>
    </row>
    <row r="608" spans="116:118" x14ac:dyDescent="0.2">
      <c r="DL608" s="237" t="str">
        <f>CONCATENATE($DM$5,$E$17,$DN$5)</f>
        <v xml:space="preserve">   "Chiefs",</v>
      </c>
      <c r="DM608" s="23"/>
      <c r="DN608" s="23"/>
    </row>
    <row r="609" spans="116:118" x14ac:dyDescent="0.2">
      <c r="DL609" s="237" t="str">
        <f>CONCATENATE($DM$5,$E$18,$DN$5)</f>
        <v xml:space="preserve">   "Saints",</v>
      </c>
      <c r="DM609" s="23"/>
      <c r="DN609" s="23"/>
    </row>
    <row r="610" spans="116:118" x14ac:dyDescent="0.2">
      <c r="DL610" s="237" t="str">
        <f>CONCATENATE($DM$5,$E$23,$DN$5)</f>
        <v xml:space="preserve">   "",</v>
      </c>
      <c r="DM610" s="23"/>
      <c r="DN610" s="23"/>
    </row>
    <row r="611" spans="116:118" x14ac:dyDescent="0.2">
      <c r="DL611" s="237" t="str">
        <f>CONCATENATE($DM$5,$E$24,$DN$5)</f>
        <v xml:space="preserve">   "",</v>
      </c>
      <c r="DM611" s="26"/>
      <c r="DN611" s="23"/>
    </row>
    <row r="612" spans="116:118" x14ac:dyDescent="0.2">
      <c r="DL612" s="237" t="str">
        <f>CONCATENATE($DM$5,$E$29,$DN$6)</f>
        <v xml:space="preserve">   ""</v>
      </c>
      <c r="DM612" s="26"/>
      <c r="DN612" s="23"/>
    </row>
    <row r="613" spans="116:118" x14ac:dyDescent="0.2">
      <c r="DL613" s="237" t="s">
        <v>28</v>
      </c>
      <c r="DM613" s="26"/>
      <c r="DN613" s="23"/>
    </row>
    <row r="614" spans="116:118" x14ac:dyDescent="0.2">
      <c r="DL614" s="237"/>
      <c r="DM614" s="26"/>
      <c r="DN614" s="23"/>
    </row>
    <row r="615" spans="116:118" x14ac:dyDescent="0.2">
      <c r="DL615" s="237" t="s">
        <v>55</v>
      </c>
      <c r="DM615" s="26"/>
      <c r="DN615" s="23"/>
    </row>
    <row r="616" spans="116:118" x14ac:dyDescent="0.2">
      <c r="DL616" s="237" t="str">
        <f>CONCATENATE($DM$5,$B$5,$DN$5)</f>
        <v xml:space="preserve">   "24",</v>
      </c>
      <c r="DM616" s="26"/>
      <c r="DN616" s="23"/>
    </row>
    <row r="617" spans="116:118" x14ac:dyDescent="0.2">
      <c r="DL617" s="237" t="str">
        <f>CONCATENATE($DM$5,$B$6,$DN$5)</f>
        <v xml:space="preserve">   "30",</v>
      </c>
      <c r="DM617" s="26"/>
      <c r="DN617" s="23"/>
    </row>
    <row r="618" spans="116:118" x14ac:dyDescent="0.2">
      <c r="DL618" s="237" t="str">
        <f>CONCATENATE($DM$5,$B$7,$DN$5)</f>
        <v xml:space="preserve">   "31",</v>
      </c>
      <c r="DM618" s="26"/>
      <c r="DN618" s="23"/>
    </row>
    <row r="619" spans="116:118" x14ac:dyDescent="0.2">
      <c r="DL619" s="237" t="str">
        <f>CONCATENATE($DM$5,$B$8,$DN$5)</f>
        <v xml:space="preserve">   "20",</v>
      </c>
      <c r="DM619" s="26"/>
      <c r="DN619" s="23"/>
    </row>
    <row r="620" spans="116:118" x14ac:dyDescent="0.2">
      <c r="DL620" s="237" t="str">
        <f>CONCATENATE($DM$5,$B$9,$DN$5)</f>
        <v xml:space="preserve">   "9",</v>
      </c>
      <c r="DM620" s="26"/>
      <c r="DN620" s="23"/>
    </row>
    <row r="621" spans="116:118" x14ac:dyDescent="0.2">
      <c r="DL621" s="237" t="str">
        <f>CONCATENATE($DM$5,$B$10,$DN$5)</f>
        <v xml:space="preserve">   "48",</v>
      </c>
      <c r="DM621" s="26"/>
      <c r="DN621" s="23"/>
    </row>
    <row r="622" spans="116:118" x14ac:dyDescent="0.2">
      <c r="DL622" s="237" t="str">
        <f>CONCATENATE($DM$5,$B$15,$DN$5)</f>
        <v xml:space="preserve">   "18",</v>
      </c>
      <c r="DM622" s="26"/>
      <c r="DN622" s="23"/>
    </row>
    <row r="623" spans="116:118" x14ac:dyDescent="0.2">
      <c r="DL623" s="237" t="str">
        <f>CONCATENATE($DM$5,$B$16,$DN$5)</f>
        <v xml:space="preserve">   "3",</v>
      </c>
      <c r="DM623" s="26"/>
      <c r="DN623" s="23"/>
    </row>
    <row r="624" spans="116:118" x14ac:dyDescent="0.2">
      <c r="DL624" s="237" t="str">
        <f>CONCATENATE($DM$5,$B$17,$DN$5)</f>
        <v xml:space="preserve">   "17",</v>
      </c>
      <c r="DM624" s="26"/>
      <c r="DN624" s="23"/>
    </row>
    <row r="625" spans="116:118" x14ac:dyDescent="0.2">
      <c r="DL625" s="237" t="str">
        <f>CONCATENATE($DM$5,$B$18,$DN$5)</f>
        <v xml:space="preserve">   "30",</v>
      </c>
      <c r="DM625" s="26"/>
      <c r="DN625" s="23"/>
    </row>
    <row r="626" spans="116:118" x14ac:dyDescent="0.2">
      <c r="DL626" s="237" t="str">
        <f>CONCATENATE($DM$5,$B$23,$DN$5)</f>
        <v xml:space="preserve">   "",</v>
      </c>
      <c r="DM626" s="26"/>
      <c r="DN626" s="23"/>
    </row>
    <row r="627" spans="116:118" x14ac:dyDescent="0.2">
      <c r="DL627" s="237" t="str">
        <f>CONCATENATE($DM$5,$B$24,$DN$5)</f>
        <v xml:space="preserve">   "",</v>
      </c>
      <c r="DM627" s="26"/>
      <c r="DN627" s="23"/>
    </row>
    <row r="628" spans="116:118" x14ac:dyDescent="0.2">
      <c r="DL628" s="237" t="str">
        <f>CONCATENATE($DM$5,$B$29,$DN$6)</f>
        <v xml:space="preserve">   ""</v>
      </c>
      <c r="DM628" s="26"/>
      <c r="DN628" s="23"/>
    </row>
    <row r="629" spans="116:118" x14ac:dyDescent="0.2">
      <c r="DL629" s="237" t="s">
        <v>28</v>
      </c>
      <c r="DM629" s="26"/>
      <c r="DN629" s="23"/>
    </row>
    <row r="630" spans="116:118" x14ac:dyDescent="0.2">
      <c r="DL630" s="237"/>
      <c r="DM630" s="26"/>
      <c r="DN630" s="23"/>
    </row>
    <row r="631" spans="116:118" x14ac:dyDescent="0.2">
      <c r="DL631" s="237" t="s">
        <v>54</v>
      </c>
      <c r="DM631" s="26"/>
      <c r="DN631" s="23"/>
    </row>
    <row r="632" spans="116:118" x14ac:dyDescent="0.2">
      <c r="DL632" s="237" t="str">
        <f>CONCATENATE($DM$5,$F$5,$DN$5)</f>
        <v xml:space="preserve">   "27",</v>
      </c>
      <c r="DM632" s="26"/>
      <c r="DN632" s="23"/>
    </row>
    <row r="633" spans="116:118" x14ac:dyDescent="0.2">
      <c r="DL633" s="237" t="str">
        <f>CONCATENATE($DM$5,$F$6,$DN$5)</f>
        <v xml:space="preserve">   "20",</v>
      </c>
      <c r="DM633" s="26"/>
      <c r="DN633" s="23"/>
    </row>
    <row r="634" spans="116:118" x14ac:dyDescent="0.2">
      <c r="DL634" s="237" t="str">
        <f>CONCATENATE($DM$5,$F$7,$DN$5)</f>
        <v xml:space="preserve">   "23",</v>
      </c>
      <c r="DM634" s="26"/>
      <c r="DN634" s="23"/>
    </row>
    <row r="635" spans="116:118" x14ac:dyDescent="0.2">
      <c r="DL635" s="237" t="str">
        <f>CONCATENATE($DM$5,$F$8,$DN$5)</f>
        <v xml:space="preserve">   "13",</v>
      </c>
      <c r="DM635" s="26"/>
      <c r="DN635" s="23"/>
    </row>
    <row r="636" spans="116:118" x14ac:dyDescent="0.2">
      <c r="DL636" s="237" t="str">
        <f>CONCATENATE($DM$5,$F$9,$DN$5)</f>
        <v xml:space="preserve">   "21",</v>
      </c>
      <c r="DM636" s="26"/>
      <c r="DN636" s="23"/>
    </row>
    <row r="637" spans="116:118" x14ac:dyDescent="0.2">
      <c r="DL637" s="237" t="str">
        <f>CONCATENATE($DM$5,$F$10,$DN$5)</f>
        <v xml:space="preserve">   "37",</v>
      </c>
      <c r="DM637" s="26"/>
      <c r="DN637" s="23"/>
    </row>
    <row r="638" spans="116:118" x14ac:dyDescent="0.2">
      <c r="DL638" s="237" t="str">
        <f>CONCATENATE($DM$5,$F$15,$DN$5)</f>
        <v xml:space="preserve">   "32",</v>
      </c>
      <c r="DM638" s="26"/>
      <c r="DN638" s="23"/>
    </row>
    <row r="639" spans="116:118" x14ac:dyDescent="0.2">
      <c r="DL639" s="237" t="str">
        <f>CONCATENATE($DM$5,$F$16,$DN$5)</f>
        <v xml:space="preserve">   "17",</v>
      </c>
      <c r="DM639" s="26"/>
      <c r="DN639" s="23"/>
    </row>
    <row r="640" spans="116:118" x14ac:dyDescent="0.2">
      <c r="DL640" s="237" t="str">
        <f>CONCATENATE($DM$5,$F$17,$DN$5)</f>
        <v xml:space="preserve">   "22",</v>
      </c>
      <c r="DM640" s="26"/>
      <c r="DN640" s="23"/>
    </row>
    <row r="641" spans="116:118" x14ac:dyDescent="0.2">
      <c r="DL641" s="237" t="str">
        <f>CONCATENATE($DM$5,$F$18,$DN$5)</f>
        <v xml:space="preserve">   "20",</v>
      </c>
      <c r="DM641" s="26"/>
      <c r="DN641" s="23"/>
    </row>
    <row r="642" spans="116:118" x14ac:dyDescent="0.2">
      <c r="DL642" s="237" t="str">
        <f>CONCATENATE($DM$5,$F$23,$DN$5)</f>
        <v xml:space="preserve">   "",</v>
      </c>
      <c r="DM642" s="26"/>
      <c r="DN642" s="23"/>
    </row>
    <row r="643" spans="116:118" x14ac:dyDescent="0.2">
      <c r="DL643" s="237" t="str">
        <f>CONCATENATE($DM$5,$F$24,$DN$5)</f>
        <v xml:space="preserve">   "",</v>
      </c>
      <c r="DM643" s="26"/>
      <c r="DN643" s="23"/>
    </row>
    <row r="644" spans="116:118" x14ac:dyDescent="0.2">
      <c r="DL644" s="237" t="str">
        <f>CONCATENATE($DM$5,$F$29,$DN$6)</f>
        <v xml:space="preserve">   ""</v>
      </c>
      <c r="DM644" s="26"/>
      <c r="DN644" s="23"/>
    </row>
    <row r="645" spans="116:118" x14ac:dyDescent="0.2">
      <c r="DL645" s="237" t="s">
        <v>28</v>
      </c>
      <c r="DM645" s="26"/>
      <c r="DN645" s="23"/>
    </row>
    <row r="646" spans="116:118" x14ac:dyDescent="0.2">
      <c r="DL646" s="240"/>
      <c r="DM646" s="26"/>
      <c r="DN646" s="23"/>
    </row>
    <row r="647" spans="116:118" x14ac:dyDescent="0.2">
      <c r="DL647" s="240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40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40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40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40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37"/>
      <c r="DM652" s="26"/>
      <c r="DN652" s="23"/>
    </row>
    <row r="653" spans="116:118" x14ac:dyDescent="0.2">
      <c r="DL653" s="237" t="s">
        <v>130</v>
      </c>
      <c r="DM653" s="26"/>
      <c r="DN653" s="23"/>
    </row>
    <row r="654" spans="116:118" x14ac:dyDescent="0.2">
      <c r="DL654" s="237" t="s">
        <v>131</v>
      </c>
      <c r="DM654" s="26"/>
      <c r="DN654" s="23"/>
    </row>
    <row r="655" spans="116:118" x14ac:dyDescent="0.2">
      <c r="DL655" s="237" t="s">
        <v>131</v>
      </c>
      <c r="DM655" s="26"/>
      <c r="DN655" s="23"/>
    </row>
    <row r="656" spans="116:118" x14ac:dyDescent="0.2">
      <c r="DL656" s="237" t="s">
        <v>131</v>
      </c>
    </row>
    <row r="657" spans="116:116" x14ac:dyDescent="0.2">
      <c r="DL657" s="237" t="s">
        <v>131</v>
      </c>
    </row>
    <row r="658" spans="116:116" x14ac:dyDescent="0.2">
      <c r="DL658" s="237" t="s">
        <v>131</v>
      </c>
    </row>
    <row r="659" spans="116:116" x14ac:dyDescent="0.2">
      <c r="DL659" s="237" t="s">
        <v>131</v>
      </c>
    </row>
    <row r="660" spans="116:116" x14ac:dyDescent="0.2">
      <c r="DL660" s="237" t="s">
        <v>131</v>
      </c>
    </row>
    <row r="661" spans="116:116" x14ac:dyDescent="0.2">
      <c r="DL661" s="237" t="s">
        <v>131</v>
      </c>
    </row>
    <row r="662" spans="116:116" x14ac:dyDescent="0.2">
      <c r="DL662" s="237" t="s">
        <v>131</v>
      </c>
    </row>
    <row r="663" spans="116:116" x14ac:dyDescent="0.2">
      <c r="DL663" s="237" t="s">
        <v>131</v>
      </c>
    </row>
    <row r="664" spans="116:116" x14ac:dyDescent="0.2">
      <c r="DL664" s="237" t="s">
        <v>131</v>
      </c>
    </row>
    <row r="665" spans="116:116" x14ac:dyDescent="0.2">
      <c r="DL665" s="237" t="s">
        <v>131</v>
      </c>
    </row>
    <row r="666" spans="116:116" x14ac:dyDescent="0.2">
      <c r="DL666" s="237" t="s">
        <v>132</v>
      </c>
    </row>
    <row r="667" spans="116:116" x14ac:dyDescent="0.2">
      <c r="DL667" s="237" t="s">
        <v>28</v>
      </c>
    </row>
    <row r="668" spans="116:116" x14ac:dyDescent="0.2">
      <c r="DL668" s="237"/>
    </row>
    <row r="669" spans="116:116" x14ac:dyDescent="0.2">
      <c r="DL669" s="237" t="s">
        <v>133</v>
      </c>
    </row>
    <row r="670" spans="116:116" x14ac:dyDescent="0.2">
      <c r="DL670" s="237" t="s">
        <v>131</v>
      </c>
    </row>
    <row r="671" spans="116:116" x14ac:dyDescent="0.2">
      <c r="DL671" s="237" t="s">
        <v>131</v>
      </c>
    </row>
    <row r="672" spans="116:116" x14ac:dyDescent="0.2">
      <c r="DL672" s="240" t="s">
        <v>131</v>
      </c>
    </row>
    <row r="673" spans="116:116" x14ac:dyDescent="0.2">
      <c r="DL673" s="240" t="s">
        <v>131</v>
      </c>
    </row>
    <row r="674" spans="116:116" x14ac:dyDescent="0.2">
      <c r="DL674" s="240" t="s">
        <v>131</v>
      </c>
    </row>
    <row r="675" spans="116:116" x14ac:dyDescent="0.2">
      <c r="DL675" s="240" t="s">
        <v>131</v>
      </c>
    </row>
    <row r="676" spans="116:116" x14ac:dyDescent="0.2">
      <c r="DL676" s="240" t="s">
        <v>131</v>
      </c>
    </row>
    <row r="677" spans="116:116" x14ac:dyDescent="0.2">
      <c r="DL677" s="240" t="s">
        <v>131</v>
      </c>
    </row>
    <row r="678" spans="116:116" x14ac:dyDescent="0.2">
      <c r="DL678" s="240" t="s">
        <v>131</v>
      </c>
    </row>
    <row r="679" spans="116:116" x14ac:dyDescent="0.2">
      <c r="DL679" s="240" t="s">
        <v>131</v>
      </c>
    </row>
    <row r="680" spans="116:116" x14ac:dyDescent="0.2">
      <c r="DL680" s="240" t="s">
        <v>131</v>
      </c>
    </row>
    <row r="681" spans="116:116" x14ac:dyDescent="0.2">
      <c r="DL681" s="240" t="s">
        <v>131</v>
      </c>
    </row>
    <row r="682" spans="116:116" x14ac:dyDescent="0.2">
      <c r="DL682" s="240" t="s">
        <v>132</v>
      </c>
    </row>
    <row r="683" spans="116:116" x14ac:dyDescent="0.2">
      <c r="DL683" s="240" t="s">
        <v>28</v>
      </c>
    </row>
    <row r="684" spans="116:116" x14ac:dyDescent="0.2">
      <c r="DL684" s="240"/>
    </row>
    <row r="685" spans="116:116" x14ac:dyDescent="0.2">
      <c r="DL685" s="240" t="s">
        <v>134</v>
      </c>
    </row>
    <row r="686" spans="116:116" x14ac:dyDescent="0.2">
      <c r="DL686" s="240" t="s">
        <v>131</v>
      </c>
    </row>
    <row r="687" spans="116:116" x14ac:dyDescent="0.2">
      <c r="DL687" s="240" t="s">
        <v>131</v>
      </c>
    </row>
    <row r="688" spans="116:116" x14ac:dyDescent="0.2">
      <c r="DL688" s="240" t="s">
        <v>131</v>
      </c>
    </row>
    <row r="689" spans="116:116" x14ac:dyDescent="0.2">
      <c r="DL689" s="240" t="s">
        <v>131</v>
      </c>
    </row>
    <row r="690" spans="116:116" x14ac:dyDescent="0.2">
      <c r="DL690" s="240" t="s">
        <v>131</v>
      </c>
    </row>
    <row r="691" spans="116:116" x14ac:dyDescent="0.2">
      <c r="DL691" s="240" t="s">
        <v>131</v>
      </c>
    </row>
    <row r="692" spans="116:116" x14ac:dyDescent="0.2">
      <c r="DL692" s="240" t="s">
        <v>131</v>
      </c>
    </row>
    <row r="693" spans="116:116" x14ac:dyDescent="0.2">
      <c r="DL693" s="240" t="s">
        <v>131</v>
      </c>
    </row>
    <row r="694" spans="116:116" x14ac:dyDescent="0.2">
      <c r="DL694" s="240" t="s">
        <v>131</v>
      </c>
    </row>
    <row r="695" spans="116:116" x14ac:dyDescent="0.2">
      <c r="DL695" s="240" t="s">
        <v>131</v>
      </c>
    </row>
    <row r="696" spans="116:116" x14ac:dyDescent="0.2">
      <c r="DL696" s="240" t="s">
        <v>131</v>
      </c>
    </row>
    <row r="697" spans="116:116" x14ac:dyDescent="0.2">
      <c r="DL697" s="240" t="s">
        <v>131</v>
      </c>
    </row>
    <row r="698" spans="116:116" x14ac:dyDescent="0.2">
      <c r="DL698" s="240" t="s">
        <v>132</v>
      </c>
    </row>
    <row r="699" spans="116:116" x14ac:dyDescent="0.2">
      <c r="DL699" s="240" t="s">
        <v>28</v>
      </c>
    </row>
    <row r="700" spans="116:116" x14ac:dyDescent="0.2">
      <c r="DL700" s="240"/>
    </row>
    <row r="701" spans="116:116" x14ac:dyDescent="0.2">
      <c r="DL701" s="240" t="s">
        <v>135</v>
      </c>
    </row>
    <row r="702" spans="116:116" x14ac:dyDescent="0.2">
      <c r="DL702" s="240" t="s">
        <v>131</v>
      </c>
    </row>
    <row r="703" spans="116:116" x14ac:dyDescent="0.2">
      <c r="DL703" s="240" t="s">
        <v>131</v>
      </c>
    </row>
    <row r="704" spans="116:116" x14ac:dyDescent="0.2">
      <c r="DL704" s="240" t="s">
        <v>131</v>
      </c>
    </row>
    <row r="705" spans="116:116" x14ac:dyDescent="0.2">
      <c r="DL705" s="240" t="s">
        <v>131</v>
      </c>
    </row>
    <row r="706" spans="116:116" x14ac:dyDescent="0.2">
      <c r="DL706" s="240" t="s">
        <v>131</v>
      </c>
    </row>
    <row r="707" spans="116:116" x14ac:dyDescent="0.2">
      <c r="DL707" s="240" t="s">
        <v>131</v>
      </c>
    </row>
    <row r="708" spans="116:116" x14ac:dyDescent="0.2">
      <c r="DL708" s="240" t="s">
        <v>131</v>
      </c>
    </row>
    <row r="709" spans="116:116" x14ac:dyDescent="0.2">
      <c r="DL709" s="240" t="s">
        <v>131</v>
      </c>
    </row>
    <row r="710" spans="116:116" x14ac:dyDescent="0.2">
      <c r="DL710" s="240" t="s">
        <v>131</v>
      </c>
    </row>
    <row r="711" spans="116:116" x14ac:dyDescent="0.2">
      <c r="DL711" s="240" t="s">
        <v>131</v>
      </c>
    </row>
    <row r="712" spans="116:116" x14ac:dyDescent="0.2">
      <c r="DL712" s="240" t="s">
        <v>131</v>
      </c>
    </row>
    <row r="713" spans="116:116" x14ac:dyDescent="0.2">
      <c r="DL713" s="240" t="s">
        <v>131</v>
      </c>
    </row>
    <row r="714" spans="116:116" x14ac:dyDescent="0.2">
      <c r="DL714" s="240" t="s">
        <v>132</v>
      </c>
    </row>
    <row r="715" spans="116:116" x14ac:dyDescent="0.2">
      <c r="DL715" s="240" t="s">
        <v>28</v>
      </c>
    </row>
    <row r="716" spans="116:116" x14ac:dyDescent="0.2">
      <c r="DL716" s="240"/>
    </row>
    <row r="717" spans="116:116" x14ac:dyDescent="0.2">
      <c r="DL717" s="240" t="s">
        <v>136</v>
      </c>
    </row>
    <row r="718" spans="116:116" x14ac:dyDescent="0.2">
      <c r="DL718" s="240" t="s">
        <v>131</v>
      </c>
    </row>
    <row r="719" spans="116:116" x14ac:dyDescent="0.2">
      <c r="DL719" s="240" t="s">
        <v>131</v>
      </c>
    </row>
    <row r="720" spans="116:116" x14ac:dyDescent="0.2">
      <c r="DL720" s="240" t="s">
        <v>131</v>
      </c>
    </row>
    <row r="721" spans="116:116" x14ac:dyDescent="0.2">
      <c r="DL721" s="240" t="s">
        <v>131</v>
      </c>
    </row>
    <row r="722" spans="116:116" x14ac:dyDescent="0.2">
      <c r="DL722" s="240" t="s">
        <v>131</v>
      </c>
    </row>
    <row r="723" spans="116:116" x14ac:dyDescent="0.2">
      <c r="DL723" s="240" t="s">
        <v>131</v>
      </c>
    </row>
    <row r="724" spans="116:116" x14ac:dyDescent="0.2">
      <c r="DL724" s="240" t="s">
        <v>131</v>
      </c>
    </row>
    <row r="725" spans="116:116" x14ac:dyDescent="0.2">
      <c r="DL725" s="240" t="s">
        <v>131</v>
      </c>
    </row>
    <row r="726" spans="116:116" x14ac:dyDescent="0.2">
      <c r="DL726" s="240" t="s">
        <v>131</v>
      </c>
    </row>
    <row r="727" spans="116:116" x14ac:dyDescent="0.2">
      <c r="DL727" s="240" t="s">
        <v>131</v>
      </c>
    </row>
    <row r="728" spans="116:116" x14ac:dyDescent="0.2">
      <c r="DL728" s="240" t="s">
        <v>131</v>
      </c>
    </row>
    <row r="729" spans="116:116" x14ac:dyDescent="0.2">
      <c r="DL729" s="240" t="s">
        <v>131</v>
      </c>
    </row>
    <row r="730" spans="116:116" x14ac:dyDescent="0.2">
      <c r="DL730" s="240" t="s">
        <v>132</v>
      </c>
    </row>
    <row r="731" spans="116:116" x14ac:dyDescent="0.2">
      <c r="DL731" s="240" t="s">
        <v>28</v>
      </c>
    </row>
    <row r="732" spans="116:116" x14ac:dyDescent="0.2">
      <c r="DL732" s="240"/>
    </row>
    <row r="733" spans="116:116" x14ac:dyDescent="0.2">
      <c r="DL733" s="240" t="s">
        <v>137</v>
      </c>
    </row>
    <row r="734" spans="116:116" x14ac:dyDescent="0.2">
      <c r="DL734" s="240" t="s">
        <v>131</v>
      </c>
    </row>
    <row r="735" spans="116:116" x14ac:dyDescent="0.2">
      <c r="DL735" s="240" t="s">
        <v>131</v>
      </c>
    </row>
    <row r="736" spans="116:116" x14ac:dyDescent="0.2">
      <c r="DL736" s="240" t="s">
        <v>131</v>
      </c>
    </row>
    <row r="737" spans="116:116" x14ac:dyDescent="0.2">
      <c r="DL737" s="240" t="s">
        <v>131</v>
      </c>
    </row>
    <row r="738" spans="116:116" x14ac:dyDescent="0.2">
      <c r="DL738" s="240" t="s">
        <v>131</v>
      </c>
    </row>
    <row r="739" spans="116:116" x14ac:dyDescent="0.2">
      <c r="DL739" s="240" t="s">
        <v>131</v>
      </c>
    </row>
    <row r="740" spans="116:116" x14ac:dyDescent="0.2">
      <c r="DL740" s="240" t="s">
        <v>131</v>
      </c>
    </row>
    <row r="741" spans="116:116" x14ac:dyDescent="0.2">
      <c r="DL741" s="240" t="s">
        <v>131</v>
      </c>
    </row>
    <row r="742" spans="116:116" x14ac:dyDescent="0.2">
      <c r="DL742" s="240" t="s">
        <v>131</v>
      </c>
    </row>
    <row r="743" spans="116:116" x14ac:dyDescent="0.2">
      <c r="DL743" s="240" t="s">
        <v>131</v>
      </c>
    </row>
    <row r="744" spans="116:116" x14ac:dyDescent="0.2">
      <c r="DL744" s="240" t="s">
        <v>131</v>
      </c>
    </row>
    <row r="745" spans="116:116" x14ac:dyDescent="0.2">
      <c r="DL745" s="240" t="s">
        <v>131</v>
      </c>
    </row>
    <row r="746" spans="116:116" x14ac:dyDescent="0.2">
      <c r="DL746" s="240" t="s">
        <v>132</v>
      </c>
    </row>
    <row r="747" spans="116:116" x14ac:dyDescent="0.2">
      <c r="DL747" s="240" t="s">
        <v>28</v>
      </c>
    </row>
    <row r="748" spans="116:116" x14ac:dyDescent="0.2">
      <c r="DL748" s="240"/>
    </row>
    <row r="749" spans="116:116" x14ac:dyDescent="0.2">
      <c r="DL749" s="240" t="s">
        <v>138</v>
      </c>
    </row>
    <row r="750" spans="116:116" x14ac:dyDescent="0.2">
      <c r="DL750" s="240" t="s">
        <v>131</v>
      </c>
    </row>
    <row r="751" spans="116:116" x14ac:dyDescent="0.2">
      <c r="DL751" s="240" t="s">
        <v>131</v>
      </c>
    </row>
    <row r="752" spans="116:116" x14ac:dyDescent="0.2">
      <c r="DL752" s="240" t="s">
        <v>131</v>
      </c>
    </row>
    <row r="753" spans="116:116" x14ac:dyDescent="0.2">
      <c r="DL753" s="240" t="s">
        <v>131</v>
      </c>
    </row>
    <row r="754" spans="116:116" x14ac:dyDescent="0.2">
      <c r="DL754" s="240" t="s">
        <v>131</v>
      </c>
    </row>
    <row r="755" spans="116:116" x14ac:dyDescent="0.2">
      <c r="DL755" s="240" t="s">
        <v>131</v>
      </c>
    </row>
    <row r="756" spans="116:116" x14ac:dyDescent="0.2">
      <c r="DL756" s="240" t="s">
        <v>131</v>
      </c>
    </row>
    <row r="757" spans="116:116" x14ac:dyDescent="0.2">
      <c r="DL757" s="240" t="s">
        <v>131</v>
      </c>
    </row>
    <row r="758" spans="116:116" x14ac:dyDescent="0.2">
      <c r="DL758" s="240" t="s">
        <v>131</v>
      </c>
    </row>
    <row r="759" spans="116:116" x14ac:dyDescent="0.2">
      <c r="DL759" s="240" t="s">
        <v>131</v>
      </c>
    </row>
    <row r="760" spans="116:116" x14ac:dyDescent="0.2">
      <c r="DL760" s="240" t="s">
        <v>131</v>
      </c>
    </row>
    <row r="761" spans="116:116" x14ac:dyDescent="0.2">
      <c r="DL761" s="240" t="s">
        <v>131</v>
      </c>
    </row>
    <row r="762" spans="116:116" x14ac:dyDescent="0.2">
      <c r="DL762" s="240" t="s">
        <v>132</v>
      </c>
    </row>
    <row r="763" spans="116:116" x14ac:dyDescent="0.2">
      <c r="DL763" s="240" t="s">
        <v>28</v>
      </c>
    </row>
    <row r="764" spans="116:116" x14ac:dyDescent="0.2">
      <c r="DL764" s="240"/>
    </row>
    <row r="765" spans="116:116" x14ac:dyDescent="0.2">
      <c r="DL765" s="240" t="s">
        <v>139</v>
      </c>
    </row>
    <row r="766" spans="116:116" x14ac:dyDescent="0.2">
      <c r="DL766" s="240" t="s">
        <v>131</v>
      </c>
    </row>
    <row r="767" spans="116:116" x14ac:dyDescent="0.2">
      <c r="DL767" s="240" t="s">
        <v>131</v>
      </c>
    </row>
    <row r="768" spans="116:116" x14ac:dyDescent="0.2">
      <c r="DL768" s="240" t="s">
        <v>131</v>
      </c>
    </row>
    <row r="769" spans="116:116" x14ac:dyDescent="0.2">
      <c r="DL769" s="240" t="s">
        <v>131</v>
      </c>
    </row>
    <row r="770" spans="116:116" x14ac:dyDescent="0.2">
      <c r="DL770" s="240" t="s">
        <v>131</v>
      </c>
    </row>
    <row r="771" spans="116:116" x14ac:dyDescent="0.2">
      <c r="DL771" s="240" t="s">
        <v>131</v>
      </c>
    </row>
    <row r="772" spans="116:116" x14ac:dyDescent="0.2">
      <c r="DL772" s="240" t="s">
        <v>131</v>
      </c>
    </row>
    <row r="773" spans="116:116" x14ac:dyDescent="0.2">
      <c r="DL773" s="237" t="s">
        <v>131</v>
      </c>
    </row>
    <row r="774" spans="116:116" x14ac:dyDescent="0.2">
      <c r="DL774" s="237" t="s">
        <v>131</v>
      </c>
    </row>
    <row r="775" spans="116:116" x14ac:dyDescent="0.2">
      <c r="DL775" s="237" t="s">
        <v>131</v>
      </c>
    </row>
    <row r="776" spans="116:116" x14ac:dyDescent="0.2">
      <c r="DL776" s="237" t="s">
        <v>131</v>
      </c>
    </row>
    <row r="777" spans="116:116" x14ac:dyDescent="0.2">
      <c r="DL777" s="237" t="s">
        <v>131</v>
      </c>
    </row>
    <row r="778" spans="116:116" x14ac:dyDescent="0.2">
      <c r="DL778" s="237" t="s">
        <v>132</v>
      </c>
    </row>
    <row r="779" spans="116:116" x14ac:dyDescent="0.2">
      <c r="DL779" s="237" t="s">
        <v>28</v>
      </c>
    </row>
    <row r="780" spans="116:116" x14ac:dyDescent="0.2">
      <c r="DL780" s="237"/>
    </row>
    <row r="781" spans="116:116" x14ac:dyDescent="0.2">
      <c r="DL781" s="237" t="s">
        <v>140</v>
      </c>
    </row>
    <row r="782" spans="116:116" x14ac:dyDescent="0.2">
      <c r="DL782" s="237" t="s">
        <v>131</v>
      </c>
    </row>
    <row r="783" spans="116:116" x14ac:dyDescent="0.2">
      <c r="DL783" s="237" t="s">
        <v>131</v>
      </c>
    </row>
    <row r="784" spans="116:116" x14ac:dyDescent="0.2">
      <c r="DL784" s="237" t="s">
        <v>131</v>
      </c>
    </row>
    <row r="785" spans="116:116" x14ac:dyDescent="0.2">
      <c r="DL785" s="237" t="s">
        <v>131</v>
      </c>
    </row>
    <row r="786" spans="116:116" x14ac:dyDescent="0.2">
      <c r="DL786" s="237" t="s">
        <v>131</v>
      </c>
    </row>
    <row r="787" spans="116:116" x14ac:dyDescent="0.2">
      <c r="DL787" s="237" t="s">
        <v>131</v>
      </c>
    </row>
    <row r="788" spans="116:116" x14ac:dyDescent="0.2">
      <c r="DL788" s="237" t="s">
        <v>131</v>
      </c>
    </row>
    <row r="789" spans="116:116" x14ac:dyDescent="0.2">
      <c r="DL789" s="237" t="s">
        <v>131</v>
      </c>
    </row>
    <row r="790" spans="116:116" x14ac:dyDescent="0.2">
      <c r="DL790" s="237" t="s">
        <v>131</v>
      </c>
    </row>
    <row r="791" spans="116:116" x14ac:dyDescent="0.2">
      <c r="DL791" s="237" t="s">
        <v>131</v>
      </c>
    </row>
    <row r="792" spans="116:116" x14ac:dyDescent="0.2">
      <c r="DL792" s="237" t="s">
        <v>131</v>
      </c>
    </row>
    <row r="793" spans="116:116" x14ac:dyDescent="0.2">
      <c r="DL793" s="237" t="s">
        <v>131</v>
      </c>
    </row>
    <row r="794" spans="116:116" x14ac:dyDescent="0.2">
      <c r="DL794" s="237" t="s">
        <v>132</v>
      </c>
    </row>
    <row r="795" spans="116:116" x14ac:dyDescent="0.2">
      <c r="DL795" s="237" t="s">
        <v>28</v>
      </c>
    </row>
    <row r="796" spans="116:116" x14ac:dyDescent="0.2">
      <c r="DL796" s="237"/>
    </row>
    <row r="797" spans="116:116" x14ac:dyDescent="0.2">
      <c r="DL797" s="237" t="s">
        <v>141</v>
      </c>
    </row>
    <row r="798" spans="116:116" x14ac:dyDescent="0.2">
      <c r="DL798" s="237" t="s">
        <v>131</v>
      </c>
    </row>
    <row r="799" spans="116:116" x14ac:dyDescent="0.2">
      <c r="DL799" s="237" t="s">
        <v>131</v>
      </c>
    </row>
    <row r="800" spans="116:116" x14ac:dyDescent="0.2">
      <c r="DL800" s="237" t="s">
        <v>131</v>
      </c>
    </row>
    <row r="801" spans="116:116" x14ac:dyDescent="0.2">
      <c r="DL801" s="237" t="s">
        <v>131</v>
      </c>
    </row>
    <row r="802" spans="116:116" x14ac:dyDescent="0.2">
      <c r="DL802" s="237" t="s">
        <v>131</v>
      </c>
    </row>
    <row r="803" spans="116:116" x14ac:dyDescent="0.2">
      <c r="DL803" s="237" t="s">
        <v>131</v>
      </c>
    </row>
    <row r="804" spans="116:116" x14ac:dyDescent="0.2">
      <c r="DL804" s="237" t="s">
        <v>131</v>
      </c>
    </row>
    <row r="805" spans="116:116" x14ac:dyDescent="0.2">
      <c r="DL805" s="237" t="s">
        <v>131</v>
      </c>
    </row>
    <row r="806" spans="116:116" x14ac:dyDescent="0.2">
      <c r="DL806" s="237" t="s">
        <v>131</v>
      </c>
    </row>
    <row r="807" spans="116:116" x14ac:dyDescent="0.2">
      <c r="DL807" s="237" t="s">
        <v>131</v>
      </c>
    </row>
    <row r="808" spans="116:116" x14ac:dyDescent="0.2">
      <c r="DL808" s="237" t="s">
        <v>131</v>
      </c>
    </row>
    <row r="809" spans="116:116" x14ac:dyDescent="0.2">
      <c r="DL809" s="237" t="s">
        <v>131</v>
      </c>
    </row>
    <row r="810" spans="116:116" x14ac:dyDescent="0.2">
      <c r="DL810" s="237" t="s">
        <v>132</v>
      </c>
    </row>
    <row r="811" spans="116:116" x14ac:dyDescent="0.2">
      <c r="DL811" s="237" t="s">
        <v>28</v>
      </c>
    </row>
    <row r="812" spans="116:116" x14ac:dyDescent="0.2">
      <c r="DL812" s="237"/>
    </row>
    <row r="813" spans="116:116" x14ac:dyDescent="0.2">
      <c r="DL813" s="237" t="s">
        <v>142</v>
      </c>
    </row>
    <row r="814" spans="116:116" x14ac:dyDescent="0.2">
      <c r="DL814" s="237" t="s">
        <v>131</v>
      </c>
    </row>
    <row r="815" spans="116:116" x14ac:dyDescent="0.2">
      <c r="DL815" s="237" t="s">
        <v>131</v>
      </c>
    </row>
    <row r="816" spans="116:116" x14ac:dyDescent="0.2">
      <c r="DL816" s="237" t="s">
        <v>131</v>
      </c>
    </row>
    <row r="817" spans="116:116" x14ac:dyDescent="0.2">
      <c r="DL817" s="237" t="s">
        <v>131</v>
      </c>
    </row>
    <row r="818" spans="116:116" x14ac:dyDescent="0.2">
      <c r="DL818" s="237" t="s">
        <v>131</v>
      </c>
    </row>
    <row r="819" spans="116:116" x14ac:dyDescent="0.2">
      <c r="DL819" s="237" t="s">
        <v>131</v>
      </c>
    </row>
    <row r="820" spans="116:116" x14ac:dyDescent="0.2">
      <c r="DL820" s="237" t="s">
        <v>131</v>
      </c>
    </row>
    <row r="821" spans="116:116" x14ac:dyDescent="0.2">
      <c r="DL821" s="237" t="s">
        <v>131</v>
      </c>
    </row>
    <row r="822" spans="116:116" x14ac:dyDescent="0.2">
      <c r="DL822" s="237" t="s">
        <v>131</v>
      </c>
    </row>
    <row r="823" spans="116:116" x14ac:dyDescent="0.2">
      <c r="DL823" s="237" t="s">
        <v>131</v>
      </c>
    </row>
    <row r="824" spans="116:116" x14ac:dyDescent="0.2">
      <c r="DL824" s="237" t="s">
        <v>131</v>
      </c>
    </row>
    <row r="825" spans="116:116" x14ac:dyDescent="0.2">
      <c r="DL825" s="237" t="s">
        <v>131</v>
      </c>
    </row>
    <row r="826" spans="116:116" x14ac:dyDescent="0.2">
      <c r="DL826" s="237" t="s">
        <v>132</v>
      </c>
    </row>
    <row r="827" spans="116:116" x14ac:dyDescent="0.2">
      <c r="DL827" s="237" t="s">
        <v>28</v>
      </c>
    </row>
    <row r="828" spans="116:116" x14ac:dyDescent="0.2">
      <c r="DL828" s="237"/>
    </row>
    <row r="829" spans="116:116" x14ac:dyDescent="0.2">
      <c r="DL829" s="237" t="s">
        <v>143</v>
      </c>
    </row>
    <row r="830" spans="116:116" x14ac:dyDescent="0.2">
      <c r="DL830" s="237" t="s">
        <v>131</v>
      </c>
    </row>
    <row r="831" spans="116:116" x14ac:dyDescent="0.2">
      <c r="DL831" s="237" t="s">
        <v>131</v>
      </c>
    </row>
    <row r="832" spans="116:116" x14ac:dyDescent="0.2">
      <c r="DL832" s="237" t="s">
        <v>131</v>
      </c>
    </row>
    <row r="833" spans="116:116" x14ac:dyDescent="0.2">
      <c r="DL833" s="237" t="s">
        <v>131</v>
      </c>
    </row>
    <row r="834" spans="116:116" x14ac:dyDescent="0.2">
      <c r="DL834" s="237" t="s">
        <v>131</v>
      </c>
    </row>
    <row r="835" spans="116:116" x14ac:dyDescent="0.2">
      <c r="DL835" s="237" t="s">
        <v>131</v>
      </c>
    </row>
    <row r="836" spans="116:116" x14ac:dyDescent="0.2">
      <c r="DL836" s="237" t="s">
        <v>131</v>
      </c>
    </row>
    <row r="837" spans="116:116" x14ac:dyDescent="0.2">
      <c r="DL837" s="237" t="s">
        <v>131</v>
      </c>
    </row>
    <row r="838" spans="116:116" x14ac:dyDescent="0.2">
      <c r="DL838" s="237" t="s">
        <v>131</v>
      </c>
    </row>
    <row r="839" spans="116:116" x14ac:dyDescent="0.2">
      <c r="DL839" s="237" t="s">
        <v>131</v>
      </c>
    </row>
    <row r="840" spans="116:116" x14ac:dyDescent="0.2">
      <c r="DL840" s="237" t="s">
        <v>131</v>
      </c>
    </row>
    <row r="841" spans="116:116" x14ac:dyDescent="0.2">
      <c r="DL841" s="237" t="s">
        <v>131</v>
      </c>
    </row>
    <row r="842" spans="116:116" x14ac:dyDescent="0.2">
      <c r="DL842" s="237" t="s">
        <v>132</v>
      </c>
    </row>
    <row r="843" spans="116:116" x14ac:dyDescent="0.2">
      <c r="DL843" s="237" t="s">
        <v>28</v>
      </c>
    </row>
    <row r="844" spans="116:116" x14ac:dyDescent="0.2">
      <c r="DL844" s="237"/>
    </row>
    <row r="845" spans="116:116" x14ac:dyDescent="0.2">
      <c r="DL845" s="237" t="s">
        <v>144</v>
      </c>
    </row>
    <row r="846" spans="116:116" x14ac:dyDescent="0.2">
      <c r="DL846" s="237" t="s">
        <v>131</v>
      </c>
    </row>
    <row r="847" spans="116:116" x14ac:dyDescent="0.2">
      <c r="DL847" s="237" t="s">
        <v>131</v>
      </c>
    </row>
    <row r="848" spans="116:116" x14ac:dyDescent="0.2">
      <c r="DL848" s="237" t="s">
        <v>131</v>
      </c>
    </row>
    <row r="849" spans="116:116" x14ac:dyDescent="0.2">
      <c r="DL849" s="237" t="s">
        <v>131</v>
      </c>
    </row>
    <row r="850" spans="116:116" x14ac:dyDescent="0.2">
      <c r="DL850" s="237" t="s">
        <v>131</v>
      </c>
    </row>
    <row r="851" spans="116:116" x14ac:dyDescent="0.2">
      <c r="DL851" s="237" t="s">
        <v>131</v>
      </c>
    </row>
    <row r="852" spans="116:116" x14ac:dyDescent="0.2">
      <c r="DL852" s="237" t="s">
        <v>131</v>
      </c>
    </row>
    <row r="853" spans="116:116" x14ac:dyDescent="0.2">
      <c r="DL853" s="237" t="s">
        <v>131</v>
      </c>
    </row>
    <row r="854" spans="116:116" x14ac:dyDescent="0.2">
      <c r="DL854" s="237" t="s">
        <v>131</v>
      </c>
    </row>
    <row r="855" spans="116:116" x14ac:dyDescent="0.2">
      <c r="DL855" s="237" t="s">
        <v>131</v>
      </c>
    </row>
    <row r="856" spans="116:116" x14ac:dyDescent="0.2">
      <c r="DL856" s="237" t="s">
        <v>131</v>
      </c>
    </row>
    <row r="857" spans="116:116" x14ac:dyDescent="0.2">
      <c r="DL857" s="237" t="s">
        <v>131</v>
      </c>
    </row>
    <row r="858" spans="116:116" x14ac:dyDescent="0.2">
      <c r="DL858" s="237" t="s">
        <v>132</v>
      </c>
    </row>
    <row r="859" spans="116:116" x14ac:dyDescent="0.2">
      <c r="DL859" s="237" t="s">
        <v>28</v>
      </c>
    </row>
    <row r="860" spans="116:116" x14ac:dyDescent="0.2">
      <c r="DL860" s="237"/>
    </row>
    <row r="861" spans="116:116" x14ac:dyDescent="0.2">
      <c r="DL861" s="237" t="s">
        <v>145</v>
      </c>
    </row>
    <row r="862" spans="116:116" x14ac:dyDescent="0.2">
      <c r="DL862" s="237" t="s">
        <v>131</v>
      </c>
    </row>
    <row r="863" spans="116:116" x14ac:dyDescent="0.2">
      <c r="DL863" s="237" t="s">
        <v>131</v>
      </c>
    </row>
    <row r="864" spans="116:116" x14ac:dyDescent="0.2">
      <c r="DL864" s="237" t="s">
        <v>131</v>
      </c>
    </row>
    <row r="865" spans="116:116" x14ac:dyDescent="0.2">
      <c r="DL865" s="237" t="s">
        <v>131</v>
      </c>
    </row>
    <row r="866" spans="116:116" x14ac:dyDescent="0.2">
      <c r="DL866" s="237" t="s">
        <v>131</v>
      </c>
    </row>
    <row r="867" spans="116:116" x14ac:dyDescent="0.2">
      <c r="DL867" s="237" t="s">
        <v>131</v>
      </c>
    </row>
    <row r="868" spans="116:116" x14ac:dyDescent="0.2">
      <c r="DL868" s="237" t="s">
        <v>131</v>
      </c>
    </row>
    <row r="869" spans="116:116" x14ac:dyDescent="0.2">
      <c r="DL869" s="237" t="s">
        <v>131</v>
      </c>
    </row>
    <row r="870" spans="116:116" x14ac:dyDescent="0.2">
      <c r="DL870" s="237" t="s">
        <v>131</v>
      </c>
    </row>
    <row r="871" spans="116:116" x14ac:dyDescent="0.2">
      <c r="DL871" s="237" t="s">
        <v>131</v>
      </c>
    </row>
    <row r="872" spans="116:116" x14ac:dyDescent="0.2">
      <c r="DL872" s="237" t="s">
        <v>131</v>
      </c>
    </row>
    <row r="873" spans="116:116" x14ac:dyDescent="0.2">
      <c r="DL873" s="237" t="s">
        <v>131</v>
      </c>
    </row>
    <row r="874" spans="116:116" x14ac:dyDescent="0.2">
      <c r="DL874" s="237" t="s">
        <v>132</v>
      </c>
    </row>
    <row r="875" spans="116:116" x14ac:dyDescent="0.2">
      <c r="DL875" s="237" t="s">
        <v>28</v>
      </c>
    </row>
    <row r="876" spans="116:116" x14ac:dyDescent="0.2">
      <c r="DL876" s="237"/>
    </row>
    <row r="877" spans="116:116" x14ac:dyDescent="0.2">
      <c r="DL877" s="237" t="s">
        <v>146</v>
      </c>
    </row>
    <row r="878" spans="116:116" x14ac:dyDescent="0.2">
      <c r="DL878" s="237" t="s">
        <v>147</v>
      </c>
    </row>
    <row r="879" spans="116:116" x14ac:dyDescent="0.2">
      <c r="DL879" s="237" t="s">
        <v>148</v>
      </c>
    </row>
    <row r="880" spans="116:116" x14ac:dyDescent="0.2">
      <c r="DL880" s="237" t="s">
        <v>149</v>
      </c>
    </row>
    <row r="881" spans="116:116" x14ac:dyDescent="0.2">
      <c r="DL881" s="237" t="s">
        <v>150</v>
      </c>
    </row>
    <row r="882" spans="116:116" x14ac:dyDescent="0.2">
      <c r="DL882" s="237" t="s">
        <v>151</v>
      </c>
    </row>
    <row r="883" spans="116:116" x14ac:dyDescent="0.2">
      <c r="DL883" s="237" t="s">
        <v>152</v>
      </c>
    </row>
    <row r="884" spans="116:116" x14ac:dyDescent="0.2">
      <c r="DL884" s="237" t="s">
        <v>153</v>
      </c>
    </row>
    <row r="885" spans="116:116" x14ac:dyDescent="0.2">
      <c r="DL885" s="237" t="s">
        <v>154</v>
      </c>
    </row>
    <row r="886" spans="116:116" x14ac:dyDescent="0.2">
      <c r="DL886" s="237" t="s">
        <v>155</v>
      </c>
    </row>
    <row r="887" spans="116:116" x14ac:dyDescent="0.2">
      <c r="DL887" s="237" t="s">
        <v>156</v>
      </c>
    </row>
    <row r="888" spans="116:116" x14ac:dyDescent="0.2">
      <c r="DL888" s="237" t="s">
        <v>157</v>
      </c>
    </row>
    <row r="889" spans="116:116" x14ac:dyDescent="0.2">
      <c r="DL889" s="237"/>
    </row>
    <row r="890" spans="116:116" x14ac:dyDescent="0.2">
      <c r="DL890" s="237" t="s">
        <v>158</v>
      </c>
    </row>
    <row r="891" spans="116:116" x14ac:dyDescent="0.2">
      <c r="DL891" s="237" t="s">
        <v>159</v>
      </c>
    </row>
    <row r="892" spans="116:116" x14ac:dyDescent="0.2">
      <c r="DL892" s="237" t="s">
        <v>160</v>
      </c>
    </row>
    <row r="893" spans="116:116" x14ac:dyDescent="0.2">
      <c r="DL893" s="237" t="s">
        <v>161</v>
      </c>
    </row>
    <row r="894" spans="116:116" x14ac:dyDescent="0.2">
      <c r="DL894" s="237" t="s">
        <v>162</v>
      </c>
    </row>
    <row r="895" spans="116:116" x14ac:dyDescent="0.2">
      <c r="DL895" s="237" t="s">
        <v>163</v>
      </c>
    </row>
    <row r="896" spans="116:116" x14ac:dyDescent="0.2">
      <c r="DL896" s="237" t="s">
        <v>164</v>
      </c>
    </row>
    <row r="897" spans="116:116" x14ac:dyDescent="0.2">
      <c r="DL897" s="237" t="s">
        <v>165</v>
      </c>
    </row>
    <row r="898" spans="116:116" x14ac:dyDescent="0.2">
      <c r="DL898" s="237" t="s">
        <v>166</v>
      </c>
    </row>
    <row r="899" spans="116:116" x14ac:dyDescent="0.2">
      <c r="DL899" s="237" t="s">
        <v>167</v>
      </c>
    </row>
    <row r="900" spans="116:116" x14ac:dyDescent="0.2">
      <c r="DL900" s="237" t="s">
        <v>168</v>
      </c>
    </row>
    <row r="901" spans="116:116" x14ac:dyDescent="0.2">
      <c r="DL901" s="237" t="s">
        <v>169</v>
      </c>
    </row>
    <row r="902" spans="116:116" x14ac:dyDescent="0.2">
      <c r="DL902" s="237"/>
    </row>
    <row r="903" spans="116:116" x14ac:dyDescent="0.2">
      <c r="DL903" s="237" t="s">
        <v>170</v>
      </c>
    </row>
    <row r="904" spans="116:116" x14ac:dyDescent="0.2">
      <c r="DL904" s="237" t="s">
        <v>171</v>
      </c>
    </row>
    <row r="905" spans="116:116" x14ac:dyDescent="0.2">
      <c r="DL905" s="237" t="s">
        <v>172</v>
      </c>
    </row>
    <row r="906" spans="116:116" x14ac:dyDescent="0.2">
      <c r="DL906" s="237" t="s">
        <v>173</v>
      </c>
    </row>
    <row r="907" spans="116:116" x14ac:dyDescent="0.2">
      <c r="DL907" s="237" t="s">
        <v>174</v>
      </c>
    </row>
    <row r="908" spans="116:116" x14ac:dyDescent="0.2">
      <c r="DL908" s="237" t="s">
        <v>175</v>
      </c>
    </row>
    <row r="909" spans="116:116" x14ac:dyDescent="0.2">
      <c r="DL909" s="237" t="s">
        <v>176</v>
      </c>
    </row>
    <row r="910" spans="116:116" x14ac:dyDescent="0.2">
      <c r="DL910" s="237" t="s">
        <v>177</v>
      </c>
    </row>
    <row r="911" spans="116:116" x14ac:dyDescent="0.2">
      <c r="DL911" s="237" t="s">
        <v>178</v>
      </c>
    </row>
    <row r="912" spans="116:116" x14ac:dyDescent="0.2">
      <c r="DL912" s="237" t="s">
        <v>179</v>
      </c>
    </row>
    <row r="913" spans="116:116" x14ac:dyDescent="0.2">
      <c r="DL913" s="237" t="s">
        <v>180</v>
      </c>
    </row>
    <row r="914" spans="116:116" x14ac:dyDescent="0.2">
      <c r="DL914" s="237" t="s">
        <v>181</v>
      </c>
    </row>
    <row r="915" spans="116:116" x14ac:dyDescent="0.2">
      <c r="DL915" s="237"/>
    </row>
    <row r="916" spans="116:116" x14ac:dyDescent="0.2">
      <c r="DL916" s="237" t="s">
        <v>182</v>
      </c>
    </row>
    <row r="917" spans="116:116" x14ac:dyDescent="0.2">
      <c r="DL917" s="237" t="s">
        <v>183</v>
      </c>
    </row>
    <row r="918" spans="116:116" x14ac:dyDescent="0.2">
      <c r="DL918" s="237" t="s">
        <v>184</v>
      </c>
    </row>
    <row r="919" spans="116:116" x14ac:dyDescent="0.2">
      <c r="DL919" s="237" t="s">
        <v>185</v>
      </c>
    </row>
    <row r="920" spans="116:116" x14ac:dyDescent="0.2">
      <c r="DL920" s="237" t="s">
        <v>186</v>
      </c>
    </row>
    <row r="921" spans="116:116" x14ac:dyDescent="0.2">
      <c r="DL921" s="237" t="s">
        <v>187</v>
      </c>
    </row>
    <row r="922" spans="116:116" x14ac:dyDescent="0.2">
      <c r="DL922" s="237" t="s">
        <v>188</v>
      </c>
    </row>
    <row r="923" spans="116:116" x14ac:dyDescent="0.2">
      <c r="DL923" s="237" t="s">
        <v>189</v>
      </c>
    </row>
    <row r="924" spans="116:116" x14ac:dyDescent="0.2">
      <c r="DL924" s="237" t="s">
        <v>190</v>
      </c>
    </row>
    <row r="925" spans="116:116" x14ac:dyDescent="0.2">
      <c r="DL925" s="237" t="s">
        <v>191</v>
      </c>
    </row>
    <row r="926" spans="116:116" x14ac:dyDescent="0.2">
      <c r="DL926" s="237" t="s">
        <v>192</v>
      </c>
    </row>
    <row r="927" spans="116:116" x14ac:dyDescent="0.2">
      <c r="DL927" s="237" t="s">
        <v>193</v>
      </c>
    </row>
    <row r="928" spans="116:116" x14ac:dyDescent="0.2">
      <c r="DL928" s="237"/>
    </row>
    <row r="929" spans="116:116" x14ac:dyDescent="0.2">
      <c r="DL929" s="233" t="s">
        <v>195</v>
      </c>
    </row>
  </sheetData>
  <sheetProtection sheet="1" objects="1" scenarios="1"/>
  <sortState xmlns:xlrd2="http://schemas.microsoft.com/office/spreadsheetml/2017/richdata2" ref="CJ69:CS80">
    <sortCondition ref="CJ68"/>
    <sortCondition ref="CK68"/>
  </sortState>
  <mergeCells count="40">
    <mergeCell ref="B33:F33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69:CS80">
    <cfRule type="expression" dxfId="1" priority="2">
      <formula>MOD(CL69,1)&gt;0</formula>
    </cfRule>
  </conditionalFormatting>
  <conditionalFormatting sqref="CY86:CY97 DA86:DA97 DC86:DD97 DF86:DF97 DH86:DH97 DJ86:DJ97 CV86:CW97">
    <cfRule type="expression" dxfId="0" priority="1">
      <formula>MOD(CV86,1)&gt;0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BA23:BA24 BA29 AW23:AW24 AS23:AS24 AO23:AO24 AK23:AK24 AG23:AG24 AC23:AC24 Y23:Y24 U23:U24 Q23:Q24 M23:M24 I23:I24 I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 I25 M25 Q25 U25 Y25 AC25 AG25 AK25 AO25 AS25 AW25 BA25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3:K24 AY29 G29 G23:G24 AY23:AY24 AU29 AU23:AU24 AQ29 AQ23:AQ24 AM29 AM23:AM24 AI29 AI23:AI24 AE29 AE23:AE24 AA29 AA23:AA24 W29 W23:W24 S29 S23:S24 O29 K29 O23:O24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2021-01-18T02:53:07Z</dcterms:modified>
</cp:coreProperties>
</file>