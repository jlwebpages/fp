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D:\Football Pool\Web Pages\2019 Football Pool Page\"/>
    </mc:Choice>
  </mc:AlternateContent>
  <xr:revisionPtr revIDLastSave="0" documentId="8_{1A109800-C631-4C12-BCC1-388D25A3EB86}" xr6:coauthVersionLast="45" xr6:coauthVersionMax="45" xr10:uidLastSave="{00000000-0000-0000-0000-000000000000}"/>
  <bookViews>
    <workbookView xWindow="-120" yWindow="-120" windowWidth="20730" windowHeight="11310" tabRatio="236" xr2:uid="{00000000-000D-0000-FFFF-FFFF00000000}"/>
  </bookViews>
  <sheets>
    <sheet name="NFL Post Season" sheetId="1" r:id="rId1"/>
  </sheets>
  <definedNames>
    <definedName name="_xlnm.Print_Area" localSheetId="0">'NFL Post Season'!$B$1:$BB$34</definedName>
    <definedName name="_xlnm.Print_Titles" localSheetId="0">'NFL Post Season'!$F:$F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I27" i="1" l="1"/>
  <c r="BH27" i="1"/>
  <c r="BF27" i="1"/>
  <c r="BD27" i="1"/>
  <c r="BI22" i="1"/>
  <c r="BH22" i="1"/>
  <c r="BF22" i="1"/>
  <c r="BD22" i="1"/>
  <c r="BI21" i="1"/>
  <c r="BH21" i="1"/>
  <c r="BF21" i="1"/>
  <c r="BD21" i="1"/>
  <c r="BI16" i="1"/>
  <c r="BH16" i="1"/>
  <c r="BF16" i="1"/>
  <c r="BD16" i="1"/>
  <c r="BI15" i="1"/>
  <c r="BK15" i="1" s="1"/>
  <c r="BL15" i="1" s="1"/>
  <c r="BH15" i="1"/>
  <c r="BF15" i="1"/>
  <c r="BD15" i="1"/>
  <c r="BI14" i="1"/>
  <c r="BH14" i="1"/>
  <c r="BF14" i="1"/>
  <c r="BD14" i="1"/>
  <c r="BI13" i="1"/>
  <c r="BK13" i="1" s="1"/>
  <c r="BL13" i="1" s="1"/>
  <c r="BH13" i="1"/>
  <c r="BF13" i="1"/>
  <c r="BD13" i="1"/>
  <c r="BH8" i="1"/>
  <c r="BI8" i="1" s="1"/>
  <c r="BF8" i="1"/>
  <c r="BD8" i="1"/>
  <c r="BH7" i="1"/>
  <c r="BI7" i="1" s="1"/>
  <c r="BK7" i="1" s="1"/>
  <c r="BL7" i="1" s="1"/>
  <c r="BF7" i="1"/>
  <c r="BD7" i="1"/>
  <c r="BH6" i="1"/>
  <c r="BI6" i="1" s="1"/>
  <c r="BF6" i="1"/>
  <c r="BD6" i="1"/>
  <c r="BH5" i="1"/>
  <c r="BI5" i="1" s="1"/>
  <c r="BK5" i="1" s="1"/>
  <c r="BF5" i="1"/>
  <c r="BD5" i="1"/>
  <c r="BL5" i="1" l="1"/>
  <c r="BK21" i="1"/>
  <c r="BL21" i="1" s="1"/>
  <c r="BK27" i="1"/>
  <c r="BL27" i="1" s="1"/>
  <c r="BK22" i="1"/>
  <c r="BL22" i="1" s="1"/>
  <c r="BK14" i="1"/>
  <c r="BL14" i="1" s="1"/>
  <c r="BK16" i="1"/>
  <c r="BL16" i="1" s="1"/>
  <c r="BK6" i="1"/>
  <c r="BL6" i="1" s="1"/>
  <c r="BK8" i="1"/>
  <c r="BL8" i="1" s="1"/>
  <c r="N13" i="1" l="1"/>
  <c r="R13" i="1"/>
  <c r="V13" i="1"/>
  <c r="Z13" i="1"/>
  <c r="AD13" i="1"/>
  <c r="AH13" i="1"/>
  <c r="AL13" i="1"/>
  <c r="AP13" i="1"/>
  <c r="AT13" i="1"/>
  <c r="AX13" i="1"/>
  <c r="BB13" i="1"/>
  <c r="N14" i="1"/>
  <c r="R14" i="1"/>
  <c r="V14" i="1"/>
  <c r="Z14" i="1"/>
  <c r="AD14" i="1"/>
  <c r="AH14" i="1"/>
  <c r="AL14" i="1"/>
  <c r="AP14" i="1"/>
  <c r="AT14" i="1"/>
  <c r="AX14" i="1"/>
  <c r="BB14" i="1"/>
  <c r="CU82" i="1" l="1"/>
  <c r="DD84" i="1"/>
  <c r="CU95" i="1"/>
  <c r="DD95" i="1" s="1"/>
  <c r="CU91" i="1"/>
  <c r="CU96" i="1"/>
  <c r="DD96" i="1" s="1"/>
  <c r="CU88" i="1"/>
  <c r="DD88" i="1" s="1"/>
  <c r="CU97" i="1"/>
  <c r="DD97" i="1" s="1"/>
  <c r="CU90" i="1"/>
  <c r="CU93" i="1"/>
  <c r="DD93" i="1" s="1"/>
  <c r="CU92" i="1"/>
  <c r="DD92" i="1" s="1"/>
  <c r="CU94" i="1"/>
  <c r="DD94" i="1" s="1"/>
  <c r="CU86" i="1"/>
  <c r="CU87" i="1"/>
  <c r="DD87" i="1" s="1"/>
  <c r="CU89" i="1"/>
  <c r="DD89" i="1" s="1"/>
  <c r="DD86" i="1" l="1"/>
  <c r="DD91" i="1"/>
  <c r="DD90" i="1"/>
  <c r="DT17" i="1" l="1"/>
  <c r="DO17" i="1"/>
  <c r="DT16" i="1"/>
  <c r="DO16" i="1"/>
  <c r="DT15" i="1"/>
  <c r="DO15" i="1"/>
  <c r="DT14" i="1"/>
  <c r="DO14" i="1"/>
  <c r="CK80" i="1"/>
  <c r="CM80" i="1" s="1"/>
  <c r="CK70" i="1"/>
  <c r="CM70" i="1" s="1"/>
  <c r="CK79" i="1"/>
  <c r="CM79" i="1" s="1"/>
  <c r="CK78" i="1"/>
  <c r="CM78" i="1" s="1"/>
  <c r="CK77" i="1"/>
  <c r="CM77" i="1" s="1"/>
  <c r="CK76" i="1"/>
  <c r="CM76" i="1" s="1"/>
  <c r="CK69" i="1"/>
  <c r="CM69" i="1" s="1"/>
  <c r="CK75" i="1"/>
  <c r="CK74" i="1"/>
  <c r="CM74" i="1" s="1"/>
  <c r="CK73" i="1"/>
  <c r="CM73" i="1" s="1"/>
  <c r="CK72" i="1"/>
  <c r="CM72" i="1" s="1"/>
  <c r="CK71" i="1"/>
  <c r="CM71" i="1" s="1"/>
  <c r="DL504" i="1"/>
  <c r="DL502" i="1"/>
  <c r="DL501" i="1"/>
  <c r="DL500" i="1"/>
  <c r="DL498" i="1"/>
  <c r="DL497" i="1"/>
  <c r="DL496" i="1"/>
  <c r="DL462" i="1"/>
  <c r="DL460" i="1"/>
  <c r="DL459" i="1"/>
  <c r="DL458" i="1"/>
  <c r="DL456" i="1"/>
  <c r="DL455" i="1"/>
  <c r="DL454" i="1"/>
  <c r="DL420" i="1"/>
  <c r="DL418" i="1"/>
  <c r="DL417" i="1"/>
  <c r="DL416" i="1"/>
  <c r="DL414" i="1"/>
  <c r="DL413" i="1"/>
  <c r="DL412" i="1"/>
  <c r="DL378" i="1"/>
  <c r="DL376" i="1"/>
  <c r="DL375" i="1"/>
  <c r="DL374" i="1"/>
  <c r="DL372" i="1"/>
  <c r="DL371" i="1"/>
  <c r="DL370" i="1"/>
  <c r="DL336" i="1"/>
  <c r="DL334" i="1"/>
  <c r="DL333" i="1"/>
  <c r="DL332" i="1"/>
  <c r="DL330" i="1"/>
  <c r="DL329" i="1"/>
  <c r="DL328" i="1"/>
  <c r="DL294" i="1"/>
  <c r="DL292" i="1"/>
  <c r="DL291" i="1"/>
  <c r="DL290" i="1"/>
  <c r="DL288" i="1"/>
  <c r="DL287" i="1"/>
  <c r="DL286" i="1"/>
  <c r="DL252" i="1"/>
  <c r="DL250" i="1"/>
  <c r="DL249" i="1"/>
  <c r="DL248" i="1"/>
  <c r="DL246" i="1"/>
  <c r="DL245" i="1"/>
  <c r="DL244" i="1"/>
  <c r="DL210" i="1"/>
  <c r="DL208" i="1"/>
  <c r="DL207" i="1"/>
  <c r="DL206" i="1"/>
  <c r="DL204" i="1"/>
  <c r="DL203" i="1"/>
  <c r="DL202" i="1"/>
  <c r="DL168" i="1"/>
  <c r="DL166" i="1"/>
  <c r="DL165" i="1"/>
  <c r="DL164" i="1"/>
  <c r="DL162" i="1"/>
  <c r="DL161" i="1"/>
  <c r="DL160" i="1"/>
  <c r="DL126" i="1"/>
  <c r="DL124" i="1"/>
  <c r="DL123" i="1"/>
  <c r="DL122" i="1"/>
  <c r="DL120" i="1"/>
  <c r="DL119" i="1"/>
  <c r="DL118" i="1"/>
  <c r="DL84" i="1"/>
  <c r="DL82" i="1"/>
  <c r="DL81" i="1"/>
  <c r="DL80" i="1"/>
  <c r="DL78" i="1"/>
  <c r="DL77" i="1"/>
  <c r="DL76" i="1"/>
  <c r="DL42" i="1"/>
  <c r="DL40" i="1"/>
  <c r="DL39" i="1"/>
  <c r="DL38" i="1"/>
  <c r="DL36" i="1"/>
  <c r="DL35" i="1"/>
  <c r="DL34" i="1"/>
  <c r="F28" i="1"/>
  <c r="F23" i="1"/>
  <c r="F17" i="1"/>
  <c r="F9" i="1"/>
  <c r="DL506" i="1"/>
  <c r="DL464" i="1"/>
  <c r="DL422" i="1"/>
  <c r="DL380" i="1"/>
  <c r="DL338" i="1"/>
  <c r="DL296" i="1"/>
  <c r="DL254" i="1"/>
  <c r="DL212" i="1"/>
  <c r="DL170" i="1"/>
  <c r="DL128" i="1"/>
  <c r="DL86" i="1"/>
  <c r="DL44" i="1"/>
  <c r="DL505" i="1"/>
  <c r="DL503" i="1"/>
  <c r="DL499" i="1"/>
  <c r="DL463" i="1"/>
  <c r="DL461" i="1"/>
  <c r="DL457" i="1"/>
  <c r="DL421" i="1"/>
  <c r="DL419" i="1"/>
  <c r="DL415" i="1"/>
  <c r="DL379" i="1"/>
  <c r="DL377" i="1"/>
  <c r="DL373" i="1"/>
  <c r="DL337" i="1"/>
  <c r="DL335" i="1"/>
  <c r="DL331" i="1"/>
  <c r="DL295" i="1"/>
  <c r="DL293" i="1"/>
  <c r="DL289" i="1"/>
  <c r="DL253" i="1"/>
  <c r="DL251" i="1"/>
  <c r="DL247" i="1"/>
  <c r="DL211" i="1"/>
  <c r="DL209" i="1"/>
  <c r="DL205" i="1"/>
  <c r="DL169" i="1"/>
  <c r="DL167" i="1"/>
  <c r="DL163" i="1"/>
  <c r="DL127" i="1"/>
  <c r="DL125" i="1"/>
  <c r="DL121" i="1"/>
  <c r="DL85" i="1"/>
  <c r="DL83" i="1"/>
  <c r="DL79" i="1"/>
  <c r="DL43" i="1"/>
  <c r="DL41" i="1"/>
  <c r="DL37" i="1"/>
  <c r="BK28" i="1"/>
  <c r="BK23" i="1"/>
  <c r="BK17" i="1"/>
  <c r="BK9" i="1"/>
  <c r="J5" i="1"/>
  <c r="N5" i="1"/>
  <c r="R5" i="1"/>
  <c r="V5" i="1"/>
  <c r="Z5" i="1"/>
  <c r="AD5" i="1"/>
  <c r="AH5" i="1"/>
  <c r="AL5" i="1"/>
  <c r="AP5" i="1"/>
  <c r="AT5" i="1"/>
  <c r="AX5" i="1"/>
  <c r="BB5" i="1"/>
  <c r="AM46" i="1"/>
  <c r="DL6" i="1"/>
  <c r="J6" i="1"/>
  <c r="N6" i="1"/>
  <c r="R6" i="1"/>
  <c r="V6" i="1"/>
  <c r="Z6" i="1"/>
  <c r="AD6" i="1"/>
  <c r="AH6" i="1"/>
  <c r="AL6" i="1"/>
  <c r="AP6" i="1"/>
  <c r="AT6" i="1"/>
  <c r="AX6" i="1"/>
  <c r="BB6" i="1"/>
  <c r="K47" i="1"/>
  <c r="DL7" i="1"/>
  <c r="J7" i="1"/>
  <c r="N7" i="1"/>
  <c r="R7" i="1"/>
  <c r="V7" i="1"/>
  <c r="Z7" i="1"/>
  <c r="AD7" i="1"/>
  <c r="AH7" i="1"/>
  <c r="AL7" i="1"/>
  <c r="AP7" i="1"/>
  <c r="AT7" i="1"/>
  <c r="AX7" i="1"/>
  <c r="BB7" i="1"/>
  <c r="AM48" i="1"/>
  <c r="DL8" i="1"/>
  <c r="J8" i="1"/>
  <c r="N8" i="1"/>
  <c r="R8" i="1"/>
  <c r="V8" i="1"/>
  <c r="Z8" i="1"/>
  <c r="AD8" i="1"/>
  <c r="AH8" i="1"/>
  <c r="AL8" i="1"/>
  <c r="AP8" i="1"/>
  <c r="AT8" i="1"/>
  <c r="AX8" i="1"/>
  <c r="BB8" i="1"/>
  <c r="AU49" i="1"/>
  <c r="DL9" i="1"/>
  <c r="DL10" i="1"/>
  <c r="DL11" i="1"/>
  <c r="G61" i="1"/>
  <c r="H61" i="1"/>
  <c r="I61" i="1"/>
  <c r="J61" i="1"/>
  <c r="K61" i="1"/>
  <c r="L61" i="1"/>
  <c r="M61" i="1"/>
  <c r="N61" i="1"/>
  <c r="O61" i="1"/>
  <c r="P61" i="1"/>
  <c r="Q61" i="1"/>
  <c r="R61" i="1"/>
  <c r="DL12" i="1"/>
  <c r="J13" i="1"/>
  <c r="AY50" i="1"/>
  <c r="DL13" i="1"/>
  <c r="J14" i="1"/>
  <c r="K51" i="1"/>
  <c r="DL14" i="1"/>
  <c r="J15" i="1"/>
  <c r="N15" i="1"/>
  <c r="R15" i="1"/>
  <c r="V15" i="1"/>
  <c r="Z15" i="1"/>
  <c r="AD15" i="1"/>
  <c r="AH15" i="1"/>
  <c r="AL15" i="1"/>
  <c r="AP15" i="1"/>
  <c r="AT15" i="1"/>
  <c r="AX15" i="1"/>
  <c r="BB15" i="1"/>
  <c r="S52" i="1"/>
  <c r="DL15" i="1"/>
  <c r="J16" i="1"/>
  <c r="N16" i="1"/>
  <c r="R16" i="1"/>
  <c r="V16" i="1"/>
  <c r="Z16" i="1"/>
  <c r="AD16" i="1"/>
  <c r="AH16" i="1"/>
  <c r="AL16" i="1"/>
  <c r="AP16" i="1"/>
  <c r="AT16" i="1"/>
  <c r="AX16" i="1"/>
  <c r="BB16" i="1"/>
  <c r="AE53" i="1"/>
  <c r="DL16" i="1"/>
  <c r="J18" i="1"/>
  <c r="I18" i="1" s="1"/>
  <c r="J38" i="1" s="1"/>
  <c r="N18" i="1"/>
  <c r="M18" i="1" s="1"/>
  <c r="N38" i="1" s="1"/>
  <c r="R18" i="1"/>
  <c r="Q18" i="1" s="1"/>
  <c r="R38" i="1" s="1"/>
  <c r="V18" i="1"/>
  <c r="U18" i="1" s="1"/>
  <c r="V38" i="1" s="1"/>
  <c r="Z18" i="1"/>
  <c r="Y18" i="1" s="1"/>
  <c r="Z38" i="1" s="1"/>
  <c r="AD18" i="1"/>
  <c r="AC18" i="1" s="1"/>
  <c r="AD38" i="1" s="1"/>
  <c r="AH18" i="1"/>
  <c r="AG18" i="1" s="1"/>
  <c r="AH38" i="1" s="1"/>
  <c r="AL18" i="1"/>
  <c r="AK18" i="1" s="1"/>
  <c r="AL38" i="1" s="1"/>
  <c r="AP18" i="1"/>
  <c r="AO18" i="1" s="1"/>
  <c r="AP38" i="1" s="1"/>
  <c r="AT18" i="1"/>
  <c r="AS18" i="1" s="1"/>
  <c r="AT38" i="1" s="1"/>
  <c r="AX18" i="1"/>
  <c r="AX39" i="1" s="1"/>
  <c r="BB18" i="1"/>
  <c r="BA18" i="1" s="1"/>
  <c r="BB38" i="1" s="1"/>
  <c r="J21" i="1"/>
  <c r="N21" i="1"/>
  <c r="R21" i="1"/>
  <c r="V21" i="1"/>
  <c r="Z21" i="1"/>
  <c r="AD21" i="1"/>
  <c r="AH21" i="1"/>
  <c r="AL21" i="1"/>
  <c r="AP21" i="1"/>
  <c r="AT21" i="1"/>
  <c r="AX21" i="1"/>
  <c r="BB21" i="1"/>
  <c r="AQ54" i="1"/>
  <c r="J22" i="1"/>
  <c r="N22" i="1"/>
  <c r="R22" i="1"/>
  <c r="V22" i="1"/>
  <c r="Z22" i="1"/>
  <c r="AD22" i="1"/>
  <c r="AH22" i="1"/>
  <c r="AL22" i="1"/>
  <c r="AP22" i="1"/>
  <c r="AT22" i="1"/>
  <c r="AX22" i="1"/>
  <c r="BB22" i="1"/>
  <c r="O55" i="1"/>
  <c r="DL20" i="1"/>
  <c r="J24" i="1"/>
  <c r="I24" i="1" s="1"/>
  <c r="J40" i="1" s="1"/>
  <c r="N24" i="1"/>
  <c r="M24" i="1" s="1"/>
  <c r="N40" i="1" s="1"/>
  <c r="R24" i="1"/>
  <c r="Q24" i="1" s="1"/>
  <c r="R40" i="1" s="1"/>
  <c r="V24" i="1"/>
  <c r="U24" i="1" s="1"/>
  <c r="V40" i="1" s="1"/>
  <c r="Z24" i="1"/>
  <c r="Z41" i="1" s="1"/>
  <c r="AD24" i="1"/>
  <c r="AC24" i="1" s="1"/>
  <c r="AD40" i="1" s="1"/>
  <c r="AH24" i="1"/>
  <c r="AG24" i="1" s="1"/>
  <c r="AH40" i="1" s="1"/>
  <c r="AL24" i="1"/>
  <c r="AL41" i="1" s="1"/>
  <c r="AP24" i="1"/>
  <c r="AO24" i="1" s="1"/>
  <c r="AP40" i="1" s="1"/>
  <c r="AT24" i="1"/>
  <c r="AT41" i="1" s="1"/>
  <c r="AX24" i="1"/>
  <c r="AW24" i="1" s="1"/>
  <c r="AX40" i="1" s="1"/>
  <c r="BB24" i="1"/>
  <c r="BA24" i="1" s="1"/>
  <c r="BB40" i="1" s="1"/>
  <c r="DL21" i="1"/>
  <c r="DL22" i="1"/>
  <c r="J27" i="1"/>
  <c r="N27" i="1"/>
  <c r="R27" i="1"/>
  <c r="V27" i="1"/>
  <c r="Z27" i="1"/>
  <c r="AD27" i="1"/>
  <c r="AH27" i="1"/>
  <c r="AL27" i="1"/>
  <c r="AP27" i="1"/>
  <c r="AT27" i="1"/>
  <c r="AX27" i="1"/>
  <c r="BB27" i="1"/>
  <c r="DL23" i="1"/>
  <c r="J29" i="1"/>
  <c r="I29" i="1" s="1"/>
  <c r="J42" i="1" s="1"/>
  <c r="N29" i="1"/>
  <c r="M29" i="1" s="1"/>
  <c r="N42" i="1" s="1"/>
  <c r="R29" i="1"/>
  <c r="Q29" i="1" s="1"/>
  <c r="R42" i="1" s="1"/>
  <c r="V29" i="1"/>
  <c r="U29" i="1" s="1"/>
  <c r="V42" i="1" s="1"/>
  <c r="Z29" i="1"/>
  <c r="Y29" i="1" s="1"/>
  <c r="Z42" i="1" s="1"/>
  <c r="AD29" i="1"/>
  <c r="AC29" i="1" s="1"/>
  <c r="AD42" i="1" s="1"/>
  <c r="AH29" i="1"/>
  <c r="AH43" i="1" s="1"/>
  <c r="AL29" i="1"/>
  <c r="AP29" i="1"/>
  <c r="AO29" i="1" s="1"/>
  <c r="AP42" i="1" s="1"/>
  <c r="AT29" i="1"/>
  <c r="AS29" i="1" s="1"/>
  <c r="AT42" i="1" s="1"/>
  <c r="AX29" i="1"/>
  <c r="AW29" i="1" s="1"/>
  <c r="AX42" i="1" s="1"/>
  <c r="BB29" i="1"/>
  <c r="BA29" i="1" s="1"/>
  <c r="BB42" i="1" s="1"/>
  <c r="DL24" i="1"/>
  <c r="DL25" i="1"/>
  <c r="DL26" i="1"/>
  <c r="DL27" i="1"/>
  <c r="DL28" i="1"/>
  <c r="BO37" i="1"/>
  <c r="BO38" i="1"/>
  <c r="BO39" i="1"/>
  <c r="BO40" i="1"/>
  <c r="K49" i="1"/>
  <c r="O49" i="1"/>
  <c r="AM55" i="1"/>
  <c r="DL29" i="1"/>
  <c r="DL30" i="1"/>
  <c r="DL48" i="1"/>
  <c r="DL49" i="1"/>
  <c r="DL50" i="1"/>
  <c r="DL51" i="1"/>
  <c r="DL52" i="1"/>
  <c r="DL53" i="1"/>
  <c r="DL54" i="1"/>
  <c r="DL55" i="1"/>
  <c r="DL56" i="1"/>
  <c r="DL57" i="1"/>
  <c r="DL58" i="1"/>
  <c r="DL62" i="1"/>
  <c r="DL63" i="1"/>
  <c r="DL64" i="1"/>
  <c r="DL65" i="1"/>
  <c r="DL66" i="1"/>
  <c r="DL67" i="1"/>
  <c r="DL68" i="1"/>
  <c r="DL69" i="1"/>
  <c r="DL70" i="1"/>
  <c r="DL71" i="1"/>
  <c r="DL72" i="1"/>
  <c r="DL90" i="1"/>
  <c r="DL91" i="1"/>
  <c r="DL92" i="1"/>
  <c r="DL93" i="1"/>
  <c r="DL94" i="1"/>
  <c r="DL95" i="1"/>
  <c r="DL96" i="1"/>
  <c r="DL97" i="1"/>
  <c r="DL98" i="1"/>
  <c r="DL99" i="1"/>
  <c r="DL100" i="1"/>
  <c r="DL104" i="1"/>
  <c r="DL105" i="1"/>
  <c r="DL106" i="1"/>
  <c r="DL107" i="1"/>
  <c r="DL108" i="1"/>
  <c r="DL109" i="1"/>
  <c r="DL110" i="1"/>
  <c r="DL111" i="1"/>
  <c r="DL112" i="1"/>
  <c r="DL113" i="1"/>
  <c r="DL114" i="1"/>
  <c r="DL132" i="1"/>
  <c r="DL133" i="1"/>
  <c r="DL134" i="1"/>
  <c r="DL135" i="1"/>
  <c r="DL136" i="1"/>
  <c r="DL137" i="1"/>
  <c r="DL138" i="1"/>
  <c r="DL139" i="1"/>
  <c r="DL140" i="1"/>
  <c r="DL141" i="1"/>
  <c r="DL142" i="1"/>
  <c r="DL146" i="1"/>
  <c r="DL147" i="1"/>
  <c r="DL148" i="1"/>
  <c r="DL149" i="1"/>
  <c r="DL150" i="1"/>
  <c r="DL151" i="1"/>
  <c r="DL152" i="1"/>
  <c r="DL153" i="1"/>
  <c r="DL154" i="1"/>
  <c r="DL155" i="1"/>
  <c r="DL156" i="1"/>
  <c r="DL174" i="1"/>
  <c r="DL175" i="1"/>
  <c r="DL176" i="1"/>
  <c r="DL177" i="1"/>
  <c r="DL178" i="1"/>
  <c r="DL179" i="1"/>
  <c r="DL180" i="1"/>
  <c r="DL181" i="1"/>
  <c r="DL182" i="1"/>
  <c r="DL183" i="1"/>
  <c r="DL184" i="1"/>
  <c r="DL188" i="1"/>
  <c r="DL189" i="1"/>
  <c r="DL190" i="1"/>
  <c r="DL191" i="1"/>
  <c r="DL192" i="1"/>
  <c r="DL193" i="1"/>
  <c r="DL194" i="1"/>
  <c r="DL195" i="1"/>
  <c r="DL196" i="1"/>
  <c r="DL197" i="1"/>
  <c r="DL198" i="1"/>
  <c r="DL216" i="1"/>
  <c r="DL217" i="1"/>
  <c r="DL218" i="1"/>
  <c r="DL219" i="1"/>
  <c r="DL220" i="1"/>
  <c r="DL221" i="1"/>
  <c r="DL222" i="1"/>
  <c r="DL223" i="1"/>
  <c r="DL224" i="1"/>
  <c r="DL225" i="1"/>
  <c r="DL226" i="1"/>
  <c r="DL230" i="1"/>
  <c r="DL231" i="1"/>
  <c r="DL232" i="1"/>
  <c r="DL233" i="1"/>
  <c r="DL234" i="1"/>
  <c r="DL235" i="1"/>
  <c r="DL236" i="1"/>
  <c r="DL237" i="1"/>
  <c r="DL238" i="1"/>
  <c r="DL239" i="1"/>
  <c r="DL240" i="1"/>
  <c r="DL258" i="1"/>
  <c r="DL259" i="1"/>
  <c r="DL260" i="1"/>
  <c r="DL261" i="1"/>
  <c r="DL262" i="1"/>
  <c r="DL263" i="1"/>
  <c r="DL264" i="1"/>
  <c r="DL265" i="1"/>
  <c r="DL266" i="1"/>
  <c r="DL267" i="1"/>
  <c r="DL268" i="1"/>
  <c r="DL272" i="1"/>
  <c r="DL273" i="1"/>
  <c r="DL274" i="1"/>
  <c r="DL275" i="1"/>
  <c r="DL276" i="1"/>
  <c r="DL277" i="1"/>
  <c r="DL278" i="1"/>
  <c r="DL279" i="1"/>
  <c r="DL280" i="1"/>
  <c r="DL281" i="1"/>
  <c r="DL282" i="1"/>
  <c r="DL300" i="1"/>
  <c r="DL301" i="1"/>
  <c r="DL302" i="1"/>
  <c r="DL303" i="1"/>
  <c r="DL304" i="1"/>
  <c r="DL305" i="1"/>
  <c r="DL306" i="1"/>
  <c r="DL307" i="1"/>
  <c r="DL308" i="1"/>
  <c r="DL309" i="1"/>
  <c r="DL310" i="1"/>
  <c r="DL314" i="1"/>
  <c r="DL315" i="1"/>
  <c r="DL316" i="1"/>
  <c r="DL317" i="1"/>
  <c r="DL318" i="1"/>
  <c r="DL319" i="1"/>
  <c r="DL320" i="1"/>
  <c r="DL321" i="1"/>
  <c r="DL322" i="1"/>
  <c r="DL323" i="1"/>
  <c r="DL324" i="1"/>
  <c r="DL342" i="1"/>
  <c r="DL343" i="1"/>
  <c r="DL344" i="1"/>
  <c r="DL345" i="1"/>
  <c r="DL346" i="1"/>
  <c r="DL347" i="1"/>
  <c r="DL348" i="1"/>
  <c r="DL349" i="1"/>
  <c r="DL350" i="1"/>
  <c r="DL351" i="1"/>
  <c r="DL352" i="1"/>
  <c r="DL356" i="1"/>
  <c r="DL357" i="1"/>
  <c r="DL358" i="1"/>
  <c r="DL359" i="1"/>
  <c r="DL360" i="1"/>
  <c r="DL361" i="1"/>
  <c r="DL362" i="1"/>
  <c r="DL363" i="1"/>
  <c r="DL364" i="1"/>
  <c r="DL365" i="1"/>
  <c r="DL366" i="1"/>
  <c r="DL384" i="1"/>
  <c r="DL385" i="1"/>
  <c r="DL386" i="1"/>
  <c r="DL387" i="1"/>
  <c r="DL388" i="1"/>
  <c r="DL389" i="1"/>
  <c r="DL390" i="1"/>
  <c r="DL391" i="1"/>
  <c r="DL392" i="1"/>
  <c r="DL393" i="1"/>
  <c r="DL394" i="1"/>
  <c r="DL398" i="1"/>
  <c r="DL399" i="1"/>
  <c r="DL400" i="1"/>
  <c r="DL401" i="1"/>
  <c r="DL402" i="1"/>
  <c r="DL403" i="1"/>
  <c r="DL404" i="1"/>
  <c r="DL405" i="1"/>
  <c r="DL406" i="1"/>
  <c r="DL407" i="1"/>
  <c r="DL408" i="1"/>
  <c r="DL426" i="1"/>
  <c r="DL427" i="1"/>
  <c r="DL428" i="1"/>
  <c r="DL429" i="1"/>
  <c r="DL430" i="1"/>
  <c r="DL431" i="1"/>
  <c r="DL432" i="1"/>
  <c r="DL433" i="1"/>
  <c r="DL434" i="1"/>
  <c r="DL435" i="1"/>
  <c r="DL436" i="1"/>
  <c r="DL440" i="1"/>
  <c r="DL441" i="1"/>
  <c r="DL442" i="1"/>
  <c r="DL443" i="1"/>
  <c r="DL444" i="1"/>
  <c r="DL445" i="1"/>
  <c r="DL446" i="1"/>
  <c r="DL447" i="1"/>
  <c r="DL448" i="1"/>
  <c r="DL449" i="1"/>
  <c r="DL450" i="1"/>
  <c r="DL468" i="1"/>
  <c r="DL469" i="1"/>
  <c r="DL470" i="1"/>
  <c r="DL471" i="1"/>
  <c r="DL472" i="1"/>
  <c r="DL473" i="1"/>
  <c r="DL474" i="1"/>
  <c r="DL475" i="1"/>
  <c r="DL476" i="1"/>
  <c r="DL477" i="1"/>
  <c r="DL478" i="1"/>
  <c r="DL482" i="1"/>
  <c r="DL483" i="1"/>
  <c r="DL484" i="1"/>
  <c r="DL485" i="1"/>
  <c r="DL486" i="1"/>
  <c r="DL487" i="1"/>
  <c r="DL488" i="1"/>
  <c r="DL489" i="1"/>
  <c r="DL490" i="1"/>
  <c r="DL491" i="1"/>
  <c r="DL492" i="1"/>
  <c r="DL510" i="1"/>
  <c r="DL511" i="1"/>
  <c r="DL512" i="1"/>
  <c r="DL513" i="1"/>
  <c r="DL514" i="1"/>
  <c r="DL515" i="1"/>
  <c r="DL516" i="1"/>
  <c r="DL517" i="1"/>
  <c r="DL518" i="1"/>
  <c r="DL519" i="1"/>
  <c r="DL520" i="1"/>
  <c r="DL524" i="1"/>
  <c r="DL525" i="1"/>
  <c r="DL526" i="1"/>
  <c r="DL527" i="1"/>
  <c r="DL528" i="1"/>
  <c r="DL529" i="1"/>
  <c r="DL530" i="1"/>
  <c r="DL531" i="1"/>
  <c r="DL532" i="1"/>
  <c r="DL533" i="1"/>
  <c r="DL534" i="1"/>
  <c r="DL538" i="1"/>
  <c r="DL539" i="1"/>
  <c r="DL540" i="1"/>
  <c r="DL541" i="1"/>
  <c r="DL542" i="1"/>
  <c r="DL543" i="1"/>
  <c r="DL544" i="1"/>
  <c r="DL545" i="1"/>
  <c r="DL546" i="1"/>
  <c r="DL547" i="1"/>
  <c r="DL548" i="1"/>
  <c r="DL552" i="1"/>
  <c r="DL553" i="1"/>
  <c r="DL554" i="1"/>
  <c r="DL555" i="1"/>
  <c r="DL556" i="1"/>
  <c r="DL557" i="1"/>
  <c r="DL558" i="1"/>
  <c r="DL559" i="1"/>
  <c r="DL560" i="1"/>
  <c r="DL561" i="1"/>
  <c r="DL562" i="1"/>
  <c r="DL565" i="1"/>
  <c r="DL566" i="1"/>
  <c r="DL567" i="1"/>
  <c r="DL568" i="1"/>
  <c r="DL569" i="1"/>
  <c r="G49" i="1"/>
  <c r="W49" i="1"/>
  <c r="S49" i="1"/>
  <c r="AE49" i="1"/>
  <c r="BI53" i="1"/>
  <c r="CM75" i="1"/>
  <c r="AQ50" i="1"/>
  <c r="G53" i="1"/>
  <c r="S53" i="1"/>
  <c r="W53" i="1"/>
  <c r="AM53" i="1"/>
  <c r="W50" i="1"/>
  <c r="BO45" i="1"/>
  <c r="J10" i="1" l="1"/>
  <c r="AL10" i="1"/>
  <c r="AL37" i="1" s="1"/>
  <c r="AD10" i="1"/>
  <c r="AD37" i="1" s="1"/>
  <c r="AH10" i="1"/>
  <c r="BB10" i="1"/>
  <c r="Z10" i="1"/>
  <c r="R10" i="1"/>
  <c r="AX10" i="1"/>
  <c r="N10" i="1"/>
  <c r="AP10" i="1"/>
  <c r="AT10" i="1"/>
  <c r="V10" i="1"/>
  <c r="W56" i="1"/>
  <c r="G62" i="1"/>
  <c r="W54" i="1"/>
  <c r="AY53" i="1"/>
  <c r="AL39" i="1"/>
  <c r="AI49" i="1"/>
  <c r="G50" i="1"/>
  <c r="O53" i="1"/>
  <c r="AA53" i="1"/>
  <c r="AA55" i="1"/>
  <c r="BB39" i="1"/>
  <c r="AA49" i="1"/>
  <c r="BI49" i="1"/>
  <c r="AQ49" i="1"/>
  <c r="S54" i="1"/>
  <c r="AL28" i="1"/>
  <c r="AL60" i="1" s="1"/>
  <c r="AH28" i="1"/>
  <c r="AH60" i="1" s="1"/>
  <c r="R43" i="1"/>
  <c r="AQ53" i="1"/>
  <c r="AU53" i="1"/>
  <c r="BI46" i="1"/>
  <c r="K53" i="1"/>
  <c r="AY49" i="1"/>
  <c r="AM49" i="1"/>
  <c r="G46" i="1"/>
  <c r="Y24" i="1"/>
  <c r="Z40" i="1" s="1"/>
  <c r="BB17" i="1"/>
  <c r="BB58" i="1" s="1"/>
  <c r="AI55" i="1"/>
  <c r="AA46" i="1"/>
  <c r="AX28" i="1"/>
  <c r="AX60" i="1" s="1"/>
  <c r="W51" i="1"/>
  <c r="AY46" i="1"/>
  <c r="K54" i="1"/>
  <c r="BB28" i="1"/>
  <c r="BB60" i="1" s="1"/>
  <c r="AQ55" i="1"/>
  <c r="AE54" i="1"/>
  <c r="BI47" i="1"/>
  <c r="AM47" i="1"/>
  <c r="AH41" i="1"/>
  <c r="G55" i="1"/>
  <c r="S46" i="1"/>
  <c r="O54" i="1"/>
  <c r="AD39" i="1"/>
  <c r="V28" i="1"/>
  <c r="V60" i="1" s="1"/>
  <c r="K46" i="1"/>
  <c r="K55" i="1"/>
  <c r="AU54" i="1"/>
  <c r="AU46" i="1"/>
  <c r="W46" i="1"/>
  <c r="R28" i="1"/>
  <c r="R60" i="1" s="1"/>
  <c r="O46" i="1"/>
  <c r="AE56" i="1"/>
  <c r="AU47" i="1"/>
  <c r="AT28" i="1"/>
  <c r="AT60" i="1" s="1"/>
  <c r="N43" i="1"/>
  <c r="R17" i="1"/>
  <c r="R58" i="1" s="1"/>
  <c r="AA51" i="1"/>
  <c r="G51" i="1"/>
  <c r="N28" i="1"/>
  <c r="N60" i="1" s="1"/>
  <c r="AA47" i="1"/>
  <c r="O56" i="1"/>
  <c r="BO44" i="1"/>
  <c r="AE46" i="1"/>
  <c r="AY55" i="1"/>
  <c r="AU48" i="1"/>
  <c r="AI46" i="1"/>
  <c r="AU56" i="1"/>
  <c r="O51" i="1"/>
  <c r="AQ46" i="1"/>
  <c r="BI48" i="1"/>
  <c r="G48" i="1"/>
  <c r="BO42" i="1"/>
  <c r="AX17" i="1"/>
  <c r="AX58" i="1" s="1"/>
  <c r="AI56" i="1"/>
  <c r="AA48" i="1"/>
  <c r="S56" i="1"/>
  <c r="BB41" i="1"/>
  <c r="AP41" i="1"/>
  <c r="AY48" i="1"/>
  <c r="O48" i="1"/>
  <c r="W48" i="1"/>
  <c r="AA56" i="1"/>
  <c r="AE48" i="1"/>
  <c r="AA52" i="1"/>
  <c r="AD17" i="1"/>
  <c r="AD58" i="1" s="1"/>
  <c r="K56" i="1"/>
  <c r="AI48" i="1"/>
  <c r="N41" i="1"/>
  <c r="J37" i="1"/>
  <c r="K48" i="1"/>
  <c r="AQ48" i="1"/>
  <c r="S48" i="1"/>
  <c r="AT39" i="1"/>
  <c r="AT43" i="1"/>
  <c r="AG29" i="1"/>
  <c r="AH42" i="1" s="1"/>
  <c r="Z28" i="1"/>
  <c r="Z60" i="1" s="1"/>
  <c r="Z43" i="1"/>
  <c r="J43" i="1"/>
  <c r="J28" i="1"/>
  <c r="J60" i="1" s="1"/>
  <c r="AD23" i="1"/>
  <c r="AD59" i="1" s="1"/>
  <c r="Z17" i="1"/>
  <c r="Z58" i="1" s="1"/>
  <c r="AL43" i="1"/>
  <c r="AP43" i="1"/>
  <c r="AH23" i="1"/>
  <c r="AH59" i="1" s="1"/>
  <c r="BI51" i="1"/>
  <c r="AY54" i="1"/>
  <c r="Z39" i="1"/>
  <c r="S55" i="1"/>
  <c r="O52" i="1"/>
  <c r="AQ47" i="1"/>
  <c r="S47" i="1"/>
  <c r="BL28" i="1"/>
  <c r="W47" i="1"/>
  <c r="BB43" i="1"/>
  <c r="AI54" i="1"/>
  <c r="BI55" i="1"/>
  <c r="AM54" i="1"/>
  <c r="AE55" i="1"/>
  <c r="AP17" i="1"/>
  <c r="AP58" i="1" s="1"/>
  <c r="G47" i="1"/>
  <c r="AU51" i="1"/>
  <c r="AA54" i="1"/>
  <c r="AP28" i="1"/>
  <c r="AP60" i="1" s="1"/>
  <c r="AU55" i="1"/>
  <c r="AL23" i="1"/>
  <c r="AL59" i="1" s="1"/>
  <c r="Z23" i="1"/>
  <c r="Z59" i="1" s="1"/>
  <c r="AM51" i="1"/>
  <c r="BI54" i="1"/>
  <c r="G54" i="1"/>
  <c r="W55" i="1"/>
  <c r="BB23" i="1"/>
  <c r="BB59" i="1" s="1"/>
  <c r="AQ51" i="1"/>
  <c r="AI47" i="1"/>
  <c r="O47" i="1"/>
  <c r="BO41" i="1"/>
  <c r="V43" i="1"/>
  <c r="R39" i="1"/>
  <c r="AE51" i="1"/>
  <c r="AY47" i="1"/>
  <c r="AE47" i="1"/>
  <c r="R41" i="1"/>
  <c r="BL17" i="1"/>
  <c r="AW18" i="1"/>
  <c r="AX38" i="1" s="1"/>
  <c r="BO20" i="1" s="1"/>
  <c r="BI56" i="1"/>
  <c r="AQ56" i="1"/>
  <c r="AK29" i="1"/>
  <c r="AL42" i="1" s="1"/>
  <c r="AT17" i="1"/>
  <c r="AT58" i="1" s="1"/>
  <c r="AX43" i="1"/>
  <c r="J39" i="1"/>
  <c r="AP23" i="1"/>
  <c r="AP59" i="1" s="1"/>
  <c r="BL23" i="1"/>
  <c r="AD43" i="1"/>
  <c r="AX23" i="1"/>
  <c r="AX59" i="1" s="1"/>
  <c r="J17" i="1"/>
  <c r="J58" i="1" s="1"/>
  <c r="AM56" i="1"/>
  <c r="G56" i="1"/>
  <c r="AY51" i="1"/>
  <c r="S51" i="1"/>
  <c r="AP39" i="1"/>
  <c r="AI53" i="1"/>
  <c r="AL17" i="1"/>
  <c r="AL58" i="1" s="1"/>
  <c r="O50" i="1"/>
  <c r="N23" i="1"/>
  <c r="N59" i="1" s="1"/>
  <c r="R23" i="1"/>
  <c r="R59" i="1" s="1"/>
  <c r="AX41" i="1"/>
  <c r="AY56" i="1"/>
  <c r="AI51" i="1"/>
  <c r="V41" i="1"/>
  <c r="BL9" i="1"/>
  <c r="AK24" i="1"/>
  <c r="AH39" i="1"/>
  <c r="BL10" i="1"/>
  <c r="AE50" i="1"/>
  <c r="V17" i="1"/>
  <c r="V58" i="1" s="1"/>
  <c r="AD41" i="1"/>
  <c r="S50" i="1"/>
  <c r="AA50" i="1"/>
  <c r="AM52" i="1"/>
  <c r="K52" i="1"/>
  <c r="BO7" i="1"/>
  <c r="N17" i="1"/>
  <c r="N58" i="1" s="1"/>
  <c r="AS24" i="1"/>
  <c r="AT40" i="1" s="1"/>
  <c r="CB67" i="1"/>
  <c r="BL18" i="1"/>
  <c r="BK18" i="1" s="1"/>
  <c r="AM50" i="1"/>
  <c r="AD28" i="1"/>
  <c r="AD60" i="1" s="1"/>
  <c r="V23" i="1"/>
  <c r="V59" i="1" s="1"/>
  <c r="AT23" i="1"/>
  <c r="AT59" i="1" s="1"/>
  <c r="AQ52" i="1"/>
  <c r="AU50" i="1"/>
  <c r="BI50" i="1"/>
  <c r="K50" i="1"/>
  <c r="BO43" i="1"/>
  <c r="W52" i="1"/>
  <c r="AY52" i="1"/>
  <c r="N39" i="1"/>
  <c r="AI52" i="1"/>
  <c r="BL24" i="1"/>
  <c r="BK24" i="1" s="1"/>
  <c r="BL29" i="1"/>
  <c r="BK29" i="1" s="1"/>
  <c r="AH17" i="1"/>
  <c r="AH58" i="1" s="1"/>
  <c r="AE52" i="1"/>
  <c r="BI52" i="1"/>
  <c r="V39" i="1"/>
  <c r="AI50" i="1"/>
  <c r="G52" i="1"/>
  <c r="AU52" i="1"/>
  <c r="J41" i="1"/>
  <c r="J23" i="1"/>
  <c r="J59" i="1" s="1"/>
  <c r="AX37" i="1" l="1"/>
  <c r="AX9" i="1" s="1"/>
  <c r="AX57" i="1" s="1"/>
  <c r="AH37" i="1"/>
  <c r="BB37" i="1"/>
  <c r="Z37" i="1"/>
  <c r="Z9" i="1" s="1"/>
  <c r="Z57" i="1" s="1"/>
  <c r="R37" i="1"/>
  <c r="N37" i="1"/>
  <c r="AP37" i="1"/>
  <c r="N9" i="1" s="1"/>
  <c r="N57" i="1" s="1"/>
  <c r="AT37" i="1"/>
  <c r="AT9" i="1" s="1"/>
  <c r="AT57" i="1" s="1"/>
  <c r="V37" i="1"/>
  <c r="DO8" i="1"/>
  <c r="DO9" i="1"/>
  <c r="BO31" i="1"/>
  <c r="BO46" i="1"/>
  <c r="AP32" i="1" s="1"/>
  <c r="CD74" i="1" s="1"/>
  <c r="CC74" i="1" s="1"/>
  <c r="BL38" i="1"/>
  <c r="BL39" i="1"/>
  <c r="BL42" i="1"/>
  <c r="BL43" i="1"/>
  <c r="BL37" i="1"/>
  <c r="AL40" i="1"/>
  <c r="BO26" i="1" s="1"/>
  <c r="BL40" i="1"/>
  <c r="BL41" i="1"/>
  <c r="AH9" i="1" l="1"/>
  <c r="AH57" i="1" s="1"/>
  <c r="V9" i="1"/>
  <c r="V57" i="1" s="1"/>
  <c r="BB9" i="1"/>
  <c r="BB57" i="1" s="1"/>
  <c r="J9" i="1"/>
  <c r="J57" i="1" s="1"/>
  <c r="AL9" i="1"/>
  <c r="AL57" i="1" s="1"/>
  <c r="R9" i="1"/>
  <c r="R57" i="1" s="1"/>
  <c r="AP9" i="1"/>
  <c r="AP57" i="1" s="1"/>
  <c r="AD9" i="1"/>
  <c r="AD57" i="1" s="1"/>
  <c r="I10" i="1"/>
  <c r="J36" i="1" s="1"/>
  <c r="AG10" i="1"/>
  <c r="AH36" i="1" s="1"/>
  <c r="Y10" i="1"/>
  <c r="Z36" i="1" s="1"/>
  <c r="BA10" i="1"/>
  <c r="BB36" i="1" s="1"/>
  <c r="Q10" i="1"/>
  <c r="R36" i="1" s="1"/>
  <c r="AC10" i="1"/>
  <c r="AD36" i="1" s="1"/>
  <c r="AK10" i="1"/>
  <c r="AL36" i="1" s="1"/>
  <c r="BK10" i="1"/>
  <c r="BL36" i="1" s="1"/>
  <c r="AW10" i="1"/>
  <c r="AX36" i="1" s="1"/>
  <c r="U10" i="1"/>
  <c r="V36" i="1" s="1"/>
  <c r="M10" i="1"/>
  <c r="N36" i="1" s="1"/>
  <c r="AO10" i="1"/>
  <c r="AP36" i="1" s="1"/>
  <c r="AS10" i="1"/>
  <c r="AT36" i="1" s="1"/>
  <c r="CN72" i="1"/>
  <c r="CO72" i="1" s="1"/>
  <c r="J32" i="1"/>
  <c r="I33" i="1" s="1"/>
  <c r="CN79" i="1"/>
  <c r="CO79" i="1" s="1"/>
  <c r="BP37" i="1"/>
  <c r="B2" i="1" s="1"/>
  <c r="BB32" i="1"/>
  <c r="CH76" i="1" s="1"/>
  <c r="CG76" i="1" s="1"/>
  <c r="CN71" i="1"/>
  <c r="CO71" i="1" s="1"/>
  <c r="CN75" i="1"/>
  <c r="CO75" i="1" s="1"/>
  <c r="CN70" i="1"/>
  <c r="CO70" i="1" s="1"/>
  <c r="AT32" i="1"/>
  <c r="CH73" i="1" s="1"/>
  <c r="CG73" i="1" s="1"/>
  <c r="DE94" i="1"/>
  <c r="DF94" i="1" s="1"/>
  <c r="Z32" i="1"/>
  <c r="Y33" i="1" s="1"/>
  <c r="CN76" i="1"/>
  <c r="CO76" i="1" s="1"/>
  <c r="DE95" i="1"/>
  <c r="DF95" i="1" s="1"/>
  <c r="AL32" i="1"/>
  <c r="AK33" i="1" s="1"/>
  <c r="AX32" i="1"/>
  <c r="AW33" i="1" s="1"/>
  <c r="CN77" i="1"/>
  <c r="CO77" i="1" s="1"/>
  <c r="DE91" i="1"/>
  <c r="DF91" i="1" s="1"/>
  <c r="DE86" i="1"/>
  <c r="DF86" i="1" s="1"/>
  <c r="DE87" i="1"/>
  <c r="DF87" i="1" s="1"/>
  <c r="DE90" i="1"/>
  <c r="DE96" i="1"/>
  <c r="DF96" i="1" s="1"/>
  <c r="N32" i="1"/>
  <c r="N45" i="1" s="1"/>
  <c r="AH32" i="1"/>
  <c r="CH75" i="1" s="1"/>
  <c r="CG75" i="1" s="1"/>
  <c r="CN73" i="1"/>
  <c r="CO73" i="1" s="1"/>
  <c r="DE89" i="1"/>
  <c r="DF89" i="1" s="1"/>
  <c r="DE93" i="1"/>
  <c r="DF93" i="1" s="1"/>
  <c r="V32" i="1"/>
  <c r="R32" i="1"/>
  <c r="CH72" i="1" s="1"/>
  <c r="CG72" i="1" s="1"/>
  <c r="AD32" i="1"/>
  <c r="AC33" i="1" s="1"/>
  <c r="BL32" i="1"/>
  <c r="BK33" i="1" s="1"/>
  <c r="DE97" i="1"/>
  <c r="DF97" i="1" s="1"/>
  <c r="DE88" i="1"/>
  <c r="DF88" i="1" s="1"/>
  <c r="DE92" i="1"/>
  <c r="DF92" i="1" s="1"/>
  <c r="AO33" i="1"/>
  <c r="AP33" i="1" s="1"/>
  <c r="AP45" i="1"/>
  <c r="CH74" i="1"/>
  <c r="CG74" i="1" s="1"/>
  <c r="CN80" i="1" l="1"/>
  <c r="CO80" i="1" s="1"/>
  <c r="CN74" i="1"/>
  <c r="CO74" i="1" s="1"/>
  <c r="CN69" i="1"/>
  <c r="CN78" i="1"/>
  <c r="CO78" i="1" s="1"/>
  <c r="CH71" i="1"/>
  <c r="CG71" i="1" s="1"/>
  <c r="J33" i="1"/>
  <c r="BO12" i="1"/>
  <c r="DF90" i="1" s="1"/>
  <c r="J45" i="1"/>
  <c r="CD71" i="1"/>
  <c r="CC71" i="1" s="1"/>
  <c r="BB45" i="1"/>
  <c r="CD76" i="1"/>
  <c r="CC76" i="1" s="1"/>
  <c r="BA33" i="1"/>
  <c r="BB33" i="1" s="1"/>
  <c r="CD72" i="1"/>
  <c r="CC72" i="1" s="1"/>
  <c r="CH78" i="1"/>
  <c r="CG78" i="1" s="1"/>
  <c r="Z33" i="1"/>
  <c r="CH70" i="1"/>
  <c r="CG70" i="1" s="1"/>
  <c r="Z45" i="1"/>
  <c r="AX33" i="1"/>
  <c r="AT45" i="1"/>
  <c r="CD78" i="1"/>
  <c r="CC78" i="1" s="1"/>
  <c r="AX45" i="1"/>
  <c r="CD77" i="1"/>
  <c r="CC77" i="1" s="1"/>
  <c r="CD73" i="1"/>
  <c r="CC73" i="1" s="1"/>
  <c r="AS33" i="1"/>
  <c r="AT33" i="1" s="1"/>
  <c r="CH79" i="1"/>
  <c r="CG79" i="1" s="1"/>
  <c r="CH77" i="1"/>
  <c r="CG77" i="1" s="1"/>
  <c r="V45" i="1"/>
  <c r="M33" i="1"/>
  <c r="N33" i="1" s="1"/>
  <c r="AL45" i="1"/>
  <c r="AL33" i="1"/>
  <c r="CD79" i="1"/>
  <c r="CC79" i="1" s="1"/>
  <c r="CD70" i="1"/>
  <c r="CC70" i="1" s="1"/>
  <c r="AH45" i="1"/>
  <c r="Q33" i="1"/>
  <c r="R33" i="1" s="1"/>
  <c r="R45" i="1"/>
  <c r="CD75" i="1"/>
  <c r="CC75" i="1" s="1"/>
  <c r="AG33" i="1"/>
  <c r="AH33" i="1" s="1"/>
  <c r="U33" i="1"/>
  <c r="V33" i="1" s="1"/>
  <c r="CD80" i="1"/>
  <c r="CC80" i="1" s="1"/>
  <c r="CH80" i="1"/>
  <c r="CG80" i="1" s="1"/>
  <c r="AD45" i="1"/>
  <c r="CD69" i="1"/>
  <c r="CC69" i="1" s="1"/>
  <c r="AD33" i="1"/>
  <c r="BL33" i="1"/>
  <c r="BL45" i="1"/>
  <c r="CH69" i="1"/>
  <c r="CG69" i="1" s="1"/>
  <c r="CO69" i="1" l="1"/>
  <c r="BK32" i="1"/>
  <c r="BL44" i="1" s="1"/>
  <c r="AC32" i="1"/>
  <c r="CB69" i="1" s="1"/>
  <c r="CF73" i="1"/>
  <c r="BA32" i="1"/>
  <c r="CP80" i="1" s="1"/>
  <c r="I32" i="1"/>
  <c r="CR71" i="1" s="1"/>
  <c r="AS32" i="1"/>
  <c r="CB73" i="1" s="1"/>
  <c r="AO32" i="1"/>
  <c r="AP44" i="1" s="1"/>
  <c r="CF75" i="1"/>
  <c r="CF78" i="1"/>
  <c r="CF72" i="1"/>
  <c r="U32" i="1"/>
  <c r="DG88" i="1" s="1"/>
  <c r="AG32" i="1"/>
  <c r="CR76" i="1" s="1"/>
  <c r="CS76" i="1" s="1"/>
  <c r="M32" i="1"/>
  <c r="DG91" i="1" s="1"/>
  <c r="AK32" i="1"/>
  <c r="CB77" i="1" s="1"/>
  <c r="AW32" i="1"/>
  <c r="CB70" i="1" s="1"/>
  <c r="Q32" i="1"/>
  <c r="DG96" i="1" s="1"/>
  <c r="Y32" i="1"/>
  <c r="Z44" i="1" s="1"/>
  <c r="CF70" i="1"/>
  <c r="CF69" i="1"/>
  <c r="CF76" i="1"/>
  <c r="CF80" i="1"/>
  <c r="CF77" i="1"/>
  <c r="CF71" i="1"/>
  <c r="CF74" i="1"/>
  <c r="CF79" i="1"/>
  <c r="DG86" i="1"/>
  <c r="CB71" i="1" l="1"/>
  <c r="DI90" i="1"/>
  <c r="DJ90" i="1" s="1"/>
  <c r="CP69" i="1"/>
  <c r="CR70" i="1"/>
  <c r="CP79" i="1"/>
  <c r="CP72" i="1"/>
  <c r="DI95" i="1"/>
  <c r="CP71" i="1"/>
  <c r="J44" i="1"/>
  <c r="DG95" i="1"/>
  <c r="DI91" i="1"/>
  <c r="DJ91" i="1" s="1"/>
  <c r="DG97" i="1"/>
  <c r="AD44" i="1"/>
  <c r="CB78" i="1"/>
  <c r="CR72" i="1"/>
  <c r="CS72" i="1" s="1"/>
  <c r="CB79" i="1"/>
  <c r="N44" i="1"/>
  <c r="CR77" i="1"/>
  <c r="CS77" i="1" s="1"/>
  <c r="CP75" i="1"/>
  <c r="DG90" i="1"/>
  <c r="AL44" i="1"/>
  <c r="CR69" i="1"/>
  <c r="CS69" i="1" s="1"/>
  <c r="DI96" i="1"/>
  <c r="DJ96" i="1" s="1"/>
  <c r="CB72" i="1"/>
  <c r="DI89" i="1"/>
  <c r="DJ89" i="1" s="1"/>
  <c r="CB80" i="1"/>
  <c r="DI92" i="1"/>
  <c r="DJ92" i="1" s="1"/>
  <c r="DI93" i="1"/>
  <c r="DJ93" i="1" s="1"/>
  <c r="AH44" i="1"/>
  <c r="CB75" i="1"/>
  <c r="CR80" i="1"/>
  <c r="CS80" i="1" s="1"/>
  <c r="BB44" i="1"/>
  <c r="CB76" i="1"/>
  <c r="CP73" i="1"/>
  <c r="DG93" i="1"/>
  <c r="AX44" i="1"/>
  <c r="R44" i="1"/>
  <c r="CR73" i="1"/>
  <c r="CS73" i="1" s="1"/>
  <c r="DG89" i="1"/>
  <c r="CR74" i="1"/>
  <c r="CS74" i="1" s="1"/>
  <c r="CP76" i="1"/>
  <c r="DG94" i="1"/>
  <c r="CP78" i="1"/>
  <c r="DI94" i="1"/>
  <c r="DJ94" i="1" s="1"/>
  <c r="DI86" i="1"/>
  <c r="DJ86" i="1" s="1"/>
  <c r="CB74" i="1"/>
  <c r="DI87" i="1"/>
  <c r="CR78" i="1"/>
  <c r="CS78" i="1" s="1"/>
  <c r="AT44" i="1"/>
  <c r="CR79" i="1"/>
  <c r="CS79" i="1" s="1"/>
  <c r="DG87" i="1"/>
  <c r="DI88" i="1"/>
  <c r="DJ88" i="1" s="1"/>
  <c r="CP74" i="1"/>
  <c r="CP77" i="1"/>
  <c r="V44" i="1"/>
  <c r="CR75" i="1"/>
  <c r="CS75" i="1" s="1"/>
  <c r="DI97" i="1"/>
  <c r="DJ97" i="1" s="1"/>
  <c r="CP70" i="1"/>
  <c r="DG92" i="1"/>
  <c r="BP33" i="1" l="1"/>
  <c r="BO33" i="1"/>
  <c r="DH94" i="1" s="1"/>
  <c r="CV94" i="1" s="1"/>
  <c r="R2" i="1"/>
  <c r="BB2" i="1"/>
  <c r="N2" i="1"/>
  <c r="AT2" i="1"/>
  <c r="J2" i="1"/>
  <c r="AH2" i="1"/>
  <c r="Z2" i="1"/>
  <c r="AP2" i="1"/>
  <c r="AL2" i="1"/>
  <c r="AX2" i="1"/>
  <c r="V2" i="1"/>
  <c r="AD2" i="1"/>
  <c r="DJ87" i="1" l="1"/>
  <c r="CS71" i="1"/>
  <c r="DJ95" i="1"/>
  <c r="CS70" i="1"/>
  <c r="CQ78" i="1"/>
  <c r="CL78" i="1" s="1"/>
  <c r="DH97" i="1"/>
  <c r="CV97" i="1" s="1"/>
  <c r="CQ74" i="1"/>
  <c r="CL74" i="1" s="1"/>
  <c r="DH87" i="1"/>
  <c r="DH95" i="1"/>
  <c r="CQ70" i="1"/>
  <c r="DH88" i="1"/>
  <c r="CV88" i="1" s="1"/>
  <c r="CQ72" i="1"/>
  <c r="CL72" i="1" s="1"/>
  <c r="CQ75" i="1"/>
  <c r="CL75" i="1" s="1"/>
  <c r="CQ80" i="1"/>
  <c r="CL80" i="1" s="1"/>
  <c r="DH96" i="1"/>
  <c r="CV96" i="1" s="1"/>
  <c r="DH91" i="1"/>
  <c r="CV91" i="1" s="1"/>
  <c r="CQ69" i="1"/>
  <c r="CL69" i="1" s="1"/>
  <c r="DH86" i="1"/>
  <c r="CV86" i="1" s="1"/>
  <c r="DH93" i="1"/>
  <c r="CV93" i="1" s="1"/>
  <c r="CQ76" i="1"/>
  <c r="CL76" i="1" s="1"/>
  <c r="CQ71" i="1"/>
  <c r="CL71" i="1" s="1"/>
  <c r="DH90" i="1"/>
  <c r="CV90" i="1" s="1"/>
  <c r="DH92" i="1"/>
  <c r="CV92" i="1" s="1"/>
  <c r="CQ79" i="1"/>
  <c r="CL79" i="1" s="1"/>
  <c r="DH89" i="1"/>
  <c r="CV89" i="1" s="1"/>
  <c r="CQ77" i="1"/>
  <c r="CL77" i="1" s="1"/>
  <c r="CQ73" i="1"/>
  <c r="CL73" i="1" s="1"/>
  <c r="CV87" i="1" l="1"/>
  <c r="CV95" i="1"/>
  <c r="CL70" i="1"/>
  <c r="CJ73" i="1" s="1"/>
  <c r="CJ78" i="1" l="1"/>
  <c r="CJ80" i="1"/>
  <c r="CJ69" i="1"/>
  <c r="CJ74" i="1"/>
  <c r="CJ72" i="1"/>
  <c r="CJ71" i="1"/>
  <c r="CJ70" i="1"/>
  <c r="CJ75" i="1"/>
  <c r="CJ76" i="1"/>
  <c r="CJ77" i="1"/>
  <c r="CJ79" i="1"/>
</calcChain>
</file>

<file path=xl/sharedStrings.xml><?xml version="1.0" encoding="utf-8"?>
<sst xmlns="http://schemas.openxmlformats.org/spreadsheetml/2006/main" count="724" uniqueCount="151">
  <si>
    <t>by</t>
  </si>
  <si>
    <t>Score</t>
  </si>
  <si>
    <t>Rank =</t>
  </si>
  <si>
    <t>at</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</si>
  <si>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</si>
  <si>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</si>
  <si>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</si>
  <si>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</si>
  <si>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</si>
  <si>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</si>
  <si>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</si>
  <si>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</si>
  <si>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</si>
  <si>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</si>
  <si>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</si>
  <si>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</si>
  <si>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</si>
  <si>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</si>
  <si>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</si>
  <si>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</si>
  <si>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</si>
  <si>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</si>
  <si>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</si>
  <si>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</si>
  <si>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</si>
  <si>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</si>
  <si>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</si>
  <si>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</si>
  <si>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</si>
  <si>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</si>
  <si>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</si>
  <si>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</si>
  <si>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</si>
  <si>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</si>
  <si>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</si>
  <si>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</si>
  <si>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</si>
  <si>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</si>
  <si>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</si>
  <si>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</si>
  <si>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</si>
  <si>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</si>
  <si>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</si>
  <si>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</si>
  <si>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</si>
  <si>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</si>
  <si>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</si>
  <si>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</si>
  <si>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</si>
  <si>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</si>
  <si>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</si>
  <si>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</si>
  <si>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</si>
  <si>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</si>
  <si>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</si>
  <si>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</si>
  <si>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</si>
  <si>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</si>
  <si>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</si>
  <si>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</si>
  <si>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</si>
  <si>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On-Line Form JavaScript</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</si>
  <si>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</si>
  <si>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</si>
  <si>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</si>
  <si>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</si>
  <si>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</si>
  <si>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</si>
  <si>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</si>
  <si>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</si>
  <si>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</si>
  <si>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</si>
  <si>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</si>
  <si>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</si>
  <si>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</si>
  <si>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</si>
  <si>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</si>
  <si>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</si>
  <si>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</si>
  <si>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</si>
  <si>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</si>
  <si>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</si>
  <si>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</si>
  <si>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</si>
  <si>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</si>
  <si>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</si>
  <si>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</si>
  <si>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</si>
  <si>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</si>
  <si>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</si>
  <si>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</si>
  <si>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</si>
  <si>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</si>
  <si>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</si>
  <si>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</si>
  <si>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</si>
  <si>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</si>
  <si>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</si>
  <si>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 xml:space="preserve">Actual Total Points: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</si>
  <si>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</si>
  <si>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</si>
  <si>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</si>
  <si>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</si>
  <si>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</si>
  <si>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</si>
  <si>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</si>
  <si>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</si>
  <si>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</si>
  <si>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</si>
  <si>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</si>
  <si>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</si>
  <si>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</si>
  <si>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</si>
  <si>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</si>
  <si>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</si>
  <si>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</si>
  <si>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</si>
  <si>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</si>
  <si>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</si>
  <si>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</si>
  <si>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</si>
  <si>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</si>
  <si>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</si>
  <si>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</si>
  <si>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</si>
  <si>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</si>
  <si>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</si>
  <si>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Pick</t>
  </si>
  <si>
    <t>2019 Football Pool</t>
  </si>
  <si>
    <t>BM</t>
  </si>
  <si>
    <t>CK</t>
  </si>
  <si>
    <t>CP</t>
  </si>
  <si>
    <t>DC</t>
  </si>
  <si>
    <t>DH</t>
  </si>
  <si>
    <t>JG</t>
  </si>
  <si>
    <t>JH</t>
  </si>
  <si>
    <t>JL</t>
  </si>
  <si>
    <t>KC</t>
  </si>
  <si>
    <t>KK</t>
  </si>
  <si>
    <t>MB</t>
  </si>
  <si>
    <t>RR</t>
  </si>
  <si>
    <t/>
  </si>
  <si>
    <t>✓</t>
  </si>
  <si>
    <t>Bills</t>
  </si>
  <si>
    <t>Texans</t>
  </si>
  <si>
    <t>Titans</t>
  </si>
  <si>
    <t>Patriots</t>
  </si>
  <si>
    <t>Vikings</t>
  </si>
  <si>
    <t>Saints</t>
  </si>
  <si>
    <t>Seahawks</t>
  </si>
  <si>
    <t>Eagles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</si>
</sst>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Red]\-&quot;$&quot;#,##0"/>
    <numFmt numFmtId="165" formatCode="0_);[Red]\(0\)"/>
    <numFmt numFmtId="166" formatCode="0.0"/>
    <numFmt numFmtId="167" formatCode="#,##0;[Red]#,##0"/>
  </numFmts>
  <fonts count="39" x14ac:knownFonts="1">
    <font>
      <sz val="10"/>
      <name val="Arial"/>
    </font>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0.5"/>
      <color theme="1"/>
      <name val="Calibri"/>
      <family val="2"/>
      <scheme val="minor"/>
    </font>
    <font>
      <b/>
      <sz val="10.5"/>
      <color indexed="12"/>
      <name val="Calibri"/>
      <family val="2"/>
      <scheme val="minor"/>
    </font>
    <font>
      <b/>
      <sz val="12"/>
      <color theme="1"/>
      <name val="Calibri"/>
      <family val="2"/>
      <scheme val="minor"/>
    </font>
    <font>
      <b/>
      <sz val="10.5"/>
      <color rgb="FF0000FF"/>
      <name val="Calibri"/>
      <family val="2"/>
      <scheme val="minor"/>
    </font>
    <font>
      <b/>
      <sz val="12"/>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51">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style="medium">
        <color indexed="64"/>
      </top>
      <bottom style="medium">
        <color indexed="64"/>
      </bottom>
      <diagonal/>
    </border>
    <border>
      <left style="thick">
        <color theme="1"/>
      </left>
      <right/>
      <top/>
      <bottom/>
      <diagonal/>
    </border>
    <border>
      <left style="thick">
        <color theme="1"/>
      </left>
      <right/>
      <top/>
      <bottom style="thin">
        <color rgb="FFD3D3D3"/>
      </bottom>
      <diagonal/>
    </border>
    <border>
      <left style="thick">
        <color theme="1"/>
      </left>
      <right/>
      <top style="thin">
        <color rgb="FFD3D3D3"/>
      </top>
      <bottom style="thin">
        <color indexed="64"/>
      </bottom>
      <diagonal/>
    </border>
    <border>
      <left style="thick">
        <color theme="1"/>
      </left>
      <right/>
      <top/>
      <bottom style="medium">
        <color indexed="64"/>
      </bottom>
      <diagonal/>
    </border>
    <border>
      <left style="thick">
        <color theme="1"/>
      </left>
      <right/>
      <top style="thin">
        <color indexed="64"/>
      </top>
      <bottom style="medium">
        <color indexed="64"/>
      </bottom>
      <diagonal/>
    </border>
    <border>
      <left style="thick">
        <color theme="1"/>
      </left>
      <right/>
      <top style="medium">
        <color indexed="64"/>
      </top>
      <bottom style="thin">
        <color rgb="FFD3D3D3"/>
      </bottom>
      <diagonal/>
    </border>
    <border>
      <left style="thick">
        <color theme="1"/>
      </left>
      <right/>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ck">
        <color theme="1"/>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style="thick">
        <color theme="1"/>
      </left>
      <right/>
      <top style="medium">
        <color indexed="64"/>
      </top>
      <bottom style="thin">
        <color theme="1"/>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309">
    <xf numFmtId="0" fontId="0" fillId="0" borderId="0" xfId="0"/>
    <xf numFmtId="164" fontId="5" fillId="3" borderId="0" xfId="0" applyNumberFormat="1" applyFont="1" applyFill="1" applyBorder="1" applyAlignment="1">
      <alignment horizontal="center" vertical="center"/>
    </xf>
    <xf numFmtId="49" fontId="4" fillId="2" borderId="25" xfId="0" applyNumberFormat="1" applyFont="1" applyFill="1" applyBorder="1" applyAlignment="1">
      <alignment horizontal="center" vertical="center"/>
    </xf>
    <xf numFmtId="49" fontId="4" fillId="2" borderId="26" xfId="0" applyNumberFormat="1" applyFont="1" applyFill="1" applyBorder="1" applyAlignment="1">
      <alignment horizontal="center" vertical="center"/>
    </xf>
    <xf numFmtId="0" fontId="7" fillId="0" borderId="0" xfId="0" applyNumberFormat="1" applyFont="1" applyAlignment="1" applyProtection="1">
      <alignment horizontal="center" vertical="center"/>
    </xf>
    <xf numFmtId="1" fontId="7" fillId="0" borderId="0" xfId="0" applyNumberFormat="1" applyFont="1" applyAlignment="1" applyProtection="1">
      <alignment horizontal="center" vertical="center"/>
    </xf>
    <xf numFmtId="0" fontId="7" fillId="0" borderId="0" xfId="0" applyFont="1" applyAlignment="1" applyProtection="1">
      <alignment vertical="center"/>
    </xf>
    <xf numFmtId="0" fontId="8" fillId="0" borderId="0" xfId="0" applyFont="1" applyAlignment="1" applyProtection="1">
      <alignment horizontal="center" vertical="center"/>
    </xf>
    <xf numFmtId="0" fontId="7" fillId="0" borderId="0" xfId="0" applyFont="1" applyAlignment="1" applyProtection="1">
      <alignment horizontal="center" vertical="center"/>
    </xf>
    <xf numFmtId="0" fontId="7" fillId="0" borderId="0" xfId="0" applyFont="1" applyAlignment="1" applyProtection="1">
      <alignment horizontal="left" vertical="center"/>
    </xf>
    <xf numFmtId="0" fontId="11" fillId="0" borderId="0" xfId="0" applyNumberFormat="1" applyFont="1" applyAlignment="1" applyProtection="1">
      <alignment vertical="center"/>
    </xf>
    <xf numFmtId="0" fontId="9" fillId="0" borderId="0" xfId="0" applyNumberFormat="1" applyFont="1" applyAlignment="1" applyProtection="1">
      <alignment vertical="center"/>
    </xf>
    <xf numFmtId="0" fontId="10" fillId="0" borderId="0" xfId="0" applyNumberFormat="1" applyFont="1" applyAlignment="1" applyProtection="1">
      <alignment vertical="center"/>
    </xf>
    <xf numFmtId="0" fontId="12" fillId="0" borderId="0" xfId="0"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xf>
    <xf numFmtId="0" fontId="10" fillId="0" borderId="0" xfId="0" applyNumberFormat="1" applyFont="1" applyAlignment="1" applyProtection="1">
      <alignment horizontal="center" vertical="center"/>
    </xf>
    <xf numFmtId="0" fontId="13" fillId="0" borderId="0" xfId="1" applyNumberFormat="1" applyFont="1" applyAlignment="1" applyProtection="1">
      <alignment horizontal="center" vertical="center"/>
    </xf>
    <xf numFmtId="0" fontId="13" fillId="0" borderId="0" xfId="1"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wrapText="1"/>
    </xf>
    <xf numFmtId="0" fontId="16" fillId="0" borderId="0" xfId="1" applyNumberFormat="1" applyFont="1" applyAlignment="1" applyProtection="1">
      <alignment vertical="center"/>
    </xf>
    <xf numFmtId="0" fontId="9" fillId="0" borderId="0" xfId="0" applyNumberFormat="1" applyFont="1" applyBorder="1" applyAlignment="1" applyProtection="1">
      <alignment horizontal="center" vertical="center"/>
    </xf>
    <xf numFmtId="0" fontId="10" fillId="0" borderId="0" xfId="1" applyNumberFormat="1" applyFont="1" applyAlignment="1" applyProtection="1">
      <alignment vertical="center"/>
    </xf>
    <xf numFmtId="0" fontId="7" fillId="0" borderId="0" xfId="1" applyNumberFormat="1" applyFont="1" applyAlignment="1" applyProtection="1">
      <alignment vertical="center"/>
    </xf>
    <xf numFmtId="0" fontId="10" fillId="0" borderId="20" xfId="0" applyNumberFormat="1" applyFont="1" applyBorder="1" applyAlignment="1" applyProtection="1">
      <alignment horizontal="left" vertical="center"/>
    </xf>
    <xf numFmtId="0" fontId="10" fillId="0" borderId="0" xfId="0" applyFont="1" applyBorder="1" applyAlignment="1" applyProtection="1">
      <alignment vertical="center"/>
    </xf>
    <xf numFmtId="0" fontId="14" fillId="0" borderId="0" xfId="0" applyNumberFormat="1" applyFont="1" applyBorder="1" applyAlignment="1" applyProtection="1">
      <alignment horizontal="center" vertical="center"/>
    </xf>
    <xf numFmtId="0" fontId="7" fillId="0" borderId="0" xfId="0" applyNumberFormat="1" applyFont="1" applyAlignment="1" applyProtection="1">
      <alignment vertical="center"/>
    </xf>
    <xf numFmtId="0" fontId="10" fillId="0" borderId="19" xfId="0" applyNumberFormat="1" applyFont="1" applyBorder="1" applyAlignment="1" applyProtection="1">
      <alignment horizontal="left" vertical="center"/>
    </xf>
    <xf numFmtId="0" fontId="10" fillId="0" borderId="0" xfId="0" applyFont="1" applyAlignment="1" applyProtection="1">
      <alignment vertical="center"/>
    </xf>
    <xf numFmtId="0" fontId="16" fillId="0" borderId="0" xfId="0" applyNumberFormat="1" applyFont="1" applyAlignment="1" applyProtection="1">
      <alignment vertical="center"/>
    </xf>
    <xf numFmtId="0" fontId="15" fillId="0" borderId="0" xfId="0" applyFont="1" applyAlignment="1" applyProtection="1">
      <alignment horizontal="center" vertical="center"/>
    </xf>
    <xf numFmtId="0" fontId="16" fillId="0" borderId="0" xfId="0" applyNumberFormat="1" applyFont="1" applyFill="1" applyAlignment="1" applyProtection="1">
      <alignment vertical="center"/>
    </xf>
    <xf numFmtId="0" fontId="7" fillId="0" borderId="0" xfId="0" applyFont="1" applyFill="1" applyAlignment="1" applyProtection="1">
      <alignment vertical="center"/>
    </xf>
    <xf numFmtId="0" fontId="8" fillId="0" borderId="0" xfId="0" applyFont="1" applyFill="1" applyAlignment="1" applyProtection="1">
      <alignment horizontal="center" vertical="center"/>
    </xf>
    <xf numFmtId="0" fontId="7" fillId="0" borderId="0" xfId="0" applyFont="1" applyFill="1" applyAlignment="1" applyProtection="1">
      <alignment horizontal="center" vertical="center"/>
    </xf>
    <xf numFmtId="0" fontId="7" fillId="0" borderId="0" xfId="0" applyFont="1" applyFill="1" applyAlignment="1" applyProtection="1">
      <alignment horizontal="left" vertical="center"/>
    </xf>
    <xf numFmtId="0" fontId="10" fillId="0" borderId="19" xfId="0" applyNumberFormat="1" applyFont="1" applyFill="1" applyBorder="1" applyAlignment="1" applyProtection="1">
      <alignment horizontal="left" vertical="center"/>
    </xf>
    <xf numFmtId="0" fontId="10" fillId="0" borderId="0" xfId="0" applyFont="1" applyFill="1" applyBorder="1" applyAlignment="1" applyProtection="1">
      <alignment vertical="center"/>
    </xf>
    <xf numFmtId="0" fontId="16" fillId="0" borderId="0" xfId="0" applyNumberFormat="1" applyFont="1" applyFill="1" applyAlignment="1" applyProtection="1">
      <alignment horizontal="center" vertical="center"/>
    </xf>
    <xf numFmtId="0" fontId="16" fillId="0" borderId="0" xfId="0" applyNumberFormat="1" applyFont="1" applyFill="1" applyAlignment="1" applyProtection="1">
      <alignment horizontal="left" vertical="center"/>
    </xf>
    <xf numFmtId="0" fontId="16" fillId="0" borderId="0" xfId="0" applyNumberFormat="1" applyFont="1" applyFill="1" applyAlignment="1" applyProtection="1">
      <alignment horizontal="right" vertical="center"/>
    </xf>
    <xf numFmtId="0" fontId="7" fillId="0" borderId="0" xfId="0" applyFont="1" applyFill="1" applyAlignment="1" applyProtection="1">
      <alignment horizontal="right" vertical="center"/>
    </xf>
    <xf numFmtId="0" fontId="7" fillId="0" borderId="0" xfId="0" applyNumberFormat="1" applyFont="1" applyFill="1" applyAlignment="1" applyProtection="1">
      <alignment horizontal="center" vertical="center"/>
    </xf>
    <xf numFmtId="0" fontId="7" fillId="0" borderId="0" xfId="0" applyNumberFormat="1" applyFont="1" applyFill="1" applyAlignment="1" applyProtection="1">
      <alignment horizontal="left" vertical="center"/>
    </xf>
    <xf numFmtId="0" fontId="7" fillId="0" borderId="0" xfId="0" applyNumberFormat="1" applyFont="1" applyFill="1" applyAlignment="1" applyProtection="1">
      <alignment vertical="center"/>
    </xf>
    <xf numFmtId="1" fontId="16" fillId="0" borderId="0" xfId="0" applyNumberFormat="1" applyFont="1" applyFill="1" applyAlignment="1" applyProtection="1">
      <alignment horizontal="center" vertical="center"/>
    </xf>
    <xf numFmtId="0" fontId="10" fillId="0" borderId="19" xfId="0" applyNumberFormat="1" applyFont="1" applyFill="1" applyBorder="1" applyAlignment="1" applyProtection="1">
      <alignment horizontal="left" vertical="center" wrapText="1"/>
    </xf>
    <xf numFmtId="166" fontId="16" fillId="0" borderId="0" xfId="0" applyNumberFormat="1" applyFont="1" applyFill="1" applyAlignment="1" applyProtection="1">
      <alignment horizontal="center" vertical="center"/>
    </xf>
    <xf numFmtId="0" fontId="16" fillId="0" borderId="0" xfId="1" applyNumberFormat="1" applyFont="1" applyAlignment="1" applyProtection="1">
      <alignment horizontal="center" vertical="center"/>
    </xf>
    <xf numFmtId="0" fontId="10" fillId="0" borderId="0" xfId="1" applyNumberFormat="1" applyFont="1" applyFill="1" applyAlignment="1" applyProtection="1">
      <alignment horizontal="center" vertical="center"/>
    </xf>
    <xf numFmtId="0" fontId="10" fillId="0" borderId="0" xfId="1" applyNumberFormat="1" applyFont="1" applyFill="1" applyAlignment="1" applyProtection="1">
      <alignment horizontal="left" vertical="center"/>
    </xf>
    <xf numFmtId="0" fontId="16" fillId="0" borderId="0" xfId="0" applyNumberFormat="1" applyFont="1" applyAlignment="1" applyProtection="1">
      <alignment horizontal="center" vertical="center"/>
    </xf>
    <xf numFmtId="0" fontId="18" fillId="0" borderId="0" xfId="0" applyNumberFormat="1" applyFont="1" applyAlignment="1" applyProtection="1">
      <alignment horizontal="center" vertical="center"/>
    </xf>
    <xf numFmtId="0" fontId="19" fillId="0" borderId="0" xfId="0" applyNumberFormat="1" applyFont="1" applyAlignment="1" applyProtection="1">
      <alignment horizontal="center" vertical="center"/>
    </xf>
    <xf numFmtId="0" fontId="17" fillId="0" borderId="0" xfId="0" applyNumberFormat="1" applyFont="1" applyAlignment="1" applyProtection="1">
      <alignment horizontal="center" vertical="center"/>
    </xf>
    <xf numFmtId="0" fontId="17" fillId="0" borderId="0" xfId="0" applyNumberFormat="1" applyFont="1" applyAlignment="1" applyProtection="1">
      <alignment horizontal="left" vertical="center"/>
    </xf>
    <xf numFmtId="0" fontId="7" fillId="0" borderId="0" xfId="0" applyNumberFormat="1" applyFont="1" applyAlignment="1" applyProtection="1">
      <alignment horizontal="left" vertical="center"/>
    </xf>
    <xf numFmtId="0" fontId="16" fillId="0" borderId="0" xfId="0" applyNumberFormat="1" applyFont="1" applyBorder="1" applyAlignment="1" applyProtection="1">
      <alignment vertical="center"/>
    </xf>
    <xf numFmtId="0" fontId="10" fillId="0" borderId="0" xfId="0" applyNumberFormat="1" applyFont="1" applyBorder="1" applyAlignment="1" applyProtection="1">
      <alignment horizontal="left" vertical="center"/>
    </xf>
    <xf numFmtId="0" fontId="10" fillId="0" borderId="0" xfId="0" applyNumberFormat="1" applyFont="1" applyBorder="1" applyAlignment="1" applyProtection="1">
      <alignment horizontal="center" vertical="center"/>
    </xf>
    <xf numFmtId="0" fontId="10" fillId="0" borderId="19" xfId="0" applyFont="1" applyBorder="1" applyAlignment="1" applyProtection="1">
      <alignment vertical="center"/>
    </xf>
    <xf numFmtId="0" fontId="10" fillId="0" borderId="0" xfId="0" applyNumberFormat="1" applyFont="1" applyAlignment="1" applyProtection="1">
      <alignment horizontal="left" vertical="center"/>
    </xf>
    <xf numFmtId="0" fontId="21" fillId="0" borderId="0" xfId="0" applyNumberFormat="1" applyFont="1" applyFill="1" applyAlignment="1" applyProtection="1">
      <alignment horizontal="center" vertical="top"/>
    </xf>
    <xf numFmtId="49" fontId="4" fillId="2" borderId="50" xfId="0" applyNumberFormat="1" applyFont="1" applyFill="1" applyBorder="1" applyAlignment="1">
      <alignment horizontal="center" vertical="center"/>
    </xf>
    <xf numFmtId="49" fontId="4" fillId="2" borderId="51" xfId="0" applyNumberFormat="1" applyFont="1" applyFill="1" applyBorder="1" applyAlignment="1">
      <alignment horizontal="center" vertical="center"/>
    </xf>
    <xf numFmtId="165" fontId="20" fillId="3" borderId="52" xfId="0" applyNumberFormat="1" applyFont="1" applyFill="1" applyBorder="1" applyAlignment="1" applyProtection="1">
      <alignment horizontal="center" vertical="center"/>
    </xf>
    <xf numFmtId="1" fontId="20" fillId="3" borderId="53" xfId="0" applyNumberFormat="1" applyFont="1" applyFill="1" applyBorder="1" applyAlignment="1" applyProtection="1">
      <alignment horizontal="center" vertical="center"/>
    </xf>
    <xf numFmtId="165" fontId="20" fillId="3" borderId="54" xfId="0" applyNumberFormat="1" applyFont="1" applyFill="1" applyBorder="1" applyAlignment="1" applyProtection="1">
      <alignment horizontal="center" vertical="center"/>
    </xf>
    <xf numFmtId="1" fontId="20" fillId="3" borderId="55" xfId="0" applyNumberFormat="1" applyFont="1" applyFill="1" applyBorder="1" applyAlignment="1" applyProtection="1">
      <alignment horizontal="center" vertical="center"/>
    </xf>
    <xf numFmtId="165" fontId="20" fillId="3" borderId="56" xfId="0" applyNumberFormat="1" applyFont="1" applyFill="1" applyBorder="1" applyAlignment="1" applyProtection="1">
      <alignment horizontal="center" vertical="center"/>
    </xf>
    <xf numFmtId="1" fontId="20" fillId="3" borderId="57" xfId="0" applyNumberFormat="1" applyFont="1" applyFill="1" applyBorder="1" applyAlignment="1" applyProtection="1">
      <alignment horizontal="center" vertical="center"/>
    </xf>
    <xf numFmtId="167" fontId="4" fillId="2" borderId="58" xfId="0" applyNumberFormat="1" applyFont="1" applyFill="1" applyBorder="1" applyAlignment="1">
      <alignment horizontal="center" vertical="center"/>
    </xf>
    <xf numFmtId="167" fontId="4" fillId="2" borderId="59" xfId="0" applyNumberFormat="1" applyFont="1" applyFill="1" applyBorder="1" applyAlignment="1">
      <alignment horizontal="center" vertical="center"/>
    </xf>
    <xf numFmtId="167" fontId="4" fillId="2" borderId="60" xfId="0" applyNumberFormat="1" applyFont="1" applyFill="1" applyBorder="1" applyAlignment="1">
      <alignment horizontal="center" vertical="center"/>
    </xf>
    <xf numFmtId="167" fontId="4" fillId="2" borderId="61" xfId="0" applyNumberFormat="1" applyFont="1" applyFill="1" applyBorder="1" applyAlignment="1">
      <alignment horizontal="center" vertical="center"/>
    </xf>
    <xf numFmtId="167" fontId="4" fillId="2" borderId="62" xfId="0" applyNumberFormat="1" applyFont="1" applyFill="1" applyBorder="1" applyAlignment="1">
      <alignment horizontal="center" vertical="center"/>
    </xf>
    <xf numFmtId="167" fontId="4" fillId="2" borderId="63" xfId="0" applyNumberFormat="1" applyFont="1" applyFill="1" applyBorder="1" applyAlignment="1">
      <alignment horizontal="center" vertical="center"/>
    </xf>
    <xf numFmtId="167" fontId="4" fillId="2" borderId="64" xfId="0" applyNumberFormat="1" applyFont="1" applyFill="1" applyBorder="1" applyAlignment="1">
      <alignment horizontal="center" vertical="center"/>
    </xf>
    <xf numFmtId="164" fontId="5" fillId="3" borderId="53" xfId="0" applyNumberFormat="1" applyFont="1" applyFill="1" applyBorder="1" applyAlignment="1">
      <alignment horizontal="center" vertical="center" shrinkToFit="1"/>
    </xf>
    <xf numFmtId="164" fontId="5" fillId="3" borderId="65" xfId="0" applyNumberFormat="1" applyFont="1" applyFill="1" applyBorder="1" applyAlignment="1">
      <alignment horizontal="center" vertical="center" shrinkToFit="1"/>
    </xf>
    <xf numFmtId="167" fontId="4" fillId="2" borderId="66" xfId="0" applyNumberFormat="1" applyFont="1" applyFill="1" applyBorder="1" applyAlignment="1">
      <alignment horizontal="center" vertical="center"/>
    </xf>
    <xf numFmtId="164" fontId="5" fillId="3" borderId="55" xfId="0" applyNumberFormat="1" applyFont="1" applyFill="1" applyBorder="1" applyAlignment="1">
      <alignment horizontal="center" vertical="center" shrinkToFit="1"/>
    </xf>
    <xf numFmtId="164" fontId="5" fillId="3" borderId="67" xfId="0" applyNumberFormat="1" applyFont="1" applyFill="1" applyBorder="1" applyAlignment="1">
      <alignment horizontal="center" vertical="center" shrinkToFit="1"/>
    </xf>
    <xf numFmtId="167" fontId="4" fillId="2" borderId="68" xfId="0" applyNumberFormat="1" applyFont="1" applyFill="1" applyBorder="1" applyAlignment="1">
      <alignment horizontal="center" vertical="center"/>
    </xf>
    <xf numFmtId="164" fontId="5" fillId="3" borderId="57" xfId="0" applyNumberFormat="1" applyFont="1" applyFill="1" applyBorder="1" applyAlignment="1">
      <alignment horizontal="center" vertical="center" shrinkToFit="1"/>
    </xf>
    <xf numFmtId="164" fontId="5" fillId="3" borderId="69" xfId="0" applyNumberFormat="1" applyFont="1" applyFill="1" applyBorder="1" applyAlignment="1">
      <alignment horizontal="center" vertical="center" shrinkToFit="1"/>
    </xf>
    <xf numFmtId="49" fontId="4" fillId="2" borderId="70" xfId="0" applyNumberFormat="1" applyFont="1" applyFill="1" applyBorder="1" applyAlignment="1">
      <alignment horizontal="center" vertical="center"/>
    </xf>
    <xf numFmtId="164" fontId="5" fillId="3" borderId="71" xfId="0" applyNumberFormat="1" applyFont="1" applyFill="1" applyBorder="1" applyAlignment="1">
      <alignment horizontal="center" vertical="center" shrinkToFit="1"/>
    </xf>
    <xf numFmtId="164" fontId="5" fillId="3" borderId="72" xfId="0" applyNumberFormat="1" applyFont="1" applyFill="1" applyBorder="1" applyAlignment="1">
      <alignment horizontal="center" vertical="center" shrinkToFit="1"/>
    </xf>
    <xf numFmtId="164" fontId="5" fillId="3" borderId="73" xfId="0" applyNumberFormat="1" applyFont="1" applyFill="1" applyBorder="1" applyAlignment="1">
      <alignment horizontal="center" vertical="center" shrinkToFit="1"/>
    </xf>
    <xf numFmtId="164" fontId="5" fillId="3" borderId="75" xfId="0" applyNumberFormat="1" applyFont="1" applyFill="1" applyBorder="1" applyAlignment="1">
      <alignment horizontal="center" vertical="center" shrinkToFit="1"/>
    </xf>
    <xf numFmtId="164" fontId="5" fillId="3" borderId="77" xfId="0" applyNumberFormat="1" applyFont="1" applyFill="1" applyBorder="1" applyAlignment="1">
      <alignment horizontal="center" vertical="center" shrinkToFit="1"/>
    </xf>
    <xf numFmtId="164" fontId="5" fillId="3" borderId="79" xfId="0" applyNumberFormat="1" applyFont="1" applyFill="1" applyBorder="1" applyAlignment="1">
      <alignment horizontal="center" vertical="center" shrinkToFit="1"/>
    </xf>
    <xf numFmtId="0" fontId="24" fillId="0" borderId="41" xfId="1" applyNumberFormat="1" applyFont="1" applyBorder="1" applyAlignment="1" applyProtection="1">
      <alignment horizontal="center" vertical="center"/>
    </xf>
    <xf numFmtId="0" fontId="24" fillId="0" borderId="42" xfId="1" applyNumberFormat="1" applyFont="1" applyBorder="1" applyAlignment="1" applyProtection="1">
      <alignment horizontal="center" vertical="center"/>
    </xf>
    <xf numFmtId="0" fontId="24" fillId="0" borderId="42" xfId="1" applyNumberFormat="1" applyFont="1" applyBorder="1" applyAlignment="1" applyProtection="1">
      <alignment horizontal="right" vertical="center"/>
    </xf>
    <xf numFmtId="0" fontId="24" fillId="0" borderId="42" xfId="1" applyNumberFormat="1" applyFont="1" applyFill="1" applyBorder="1" applyAlignment="1" applyProtection="1">
      <alignment horizontal="right" vertical="center"/>
    </xf>
    <xf numFmtId="0" fontId="24" fillId="0" borderId="43" xfId="1" applyNumberFormat="1" applyFont="1" applyFill="1" applyBorder="1" applyAlignment="1" applyProtection="1">
      <alignment horizontal="center" vertical="center"/>
    </xf>
    <xf numFmtId="0" fontId="24" fillId="0" borderId="44" xfId="1" applyNumberFormat="1" applyFont="1" applyBorder="1" applyAlignment="1" applyProtection="1">
      <alignment horizontal="center" vertical="center"/>
      <protection locked="0"/>
    </xf>
    <xf numFmtId="0" fontId="24" fillId="0" borderId="42" xfId="1" applyNumberFormat="1" applyFont="1" applyBorder="1" applyAlignment="1" applyProtection="1">
      <alignment horizontal="right" vertical="center"/>
      <protection locked="0"/>
    </xf>
    <xf numFmtId="0" fontId="24" fillId="0" borderId="45" xfId="1" applyNumberFormat="1" applyFont="1" applyBorder="1" applyAlignment="1" applyProtection="1">
      <alignment horizontal="center" vertical="center"/>
      <protection locked="0"/>
    </xf>
    <xf numFmtId="0" fontId="24" fillId="0" borderId="45" xfId="1" applyNumberFormat="1" applyFont="1" applyBorder="1" applyAlignment="1" applyProtection="1">
      <alignment horizontal="center" vertical="center"/>
    </xf>
    <xf numFmtId="0" fontId="23" fillId="0" borderId="3" xfId="1" applyNumberFormat="1" applyFont="1" applyBorder="1" applyAlignment="1" applyProtection="1">
      <alignment horizontal="center" vertical="center"/>
    </xf>
    <xf numFmtId="0" fontId="22" fillId="0" borderId="0" xfId="0" applyFont="1" applyAlignment="1" applyProtection="1">
      <alignment vertical="center"/>
    </xf>
    <xf numFmtId="0" fontId="28" fillId="0" borderId="43" xfId="1" applyNumberFormat="1" applyFont="1" applyBorder="1" applyAlignment="1" applyProtection="1">
      <alignment horizontal="center" vertical="center"/>
    </xf>
    <xf numFmtId="0" fontId="28" fillId="0" borderId="93" xfId="1" applyNumberFormat="1" applyFont="1" applyBorder="1" applyAlignment="1" applyProtection="1">
      <alignment horizontal="center" vertical="center"/>
    </xf>
    <xf numFmtId="0" fontId="24" fillId="0" borderId="100" xfId="1" applyNumberFormat="1" applyFont="1" applyBorder="1" applyAlignment="1" applyProtection="1">
      <alignment horizontal="center" vertical="center"/>
    </xf>
    <xf numFmtId="0" fontId="29" fillId="0" borderId="30" xfId="1" applyNumberFormat="1" applyFont="1" applyBorder="1" applyAlignment="1" applyProtection="1">
      <alignment horizontal="center" vertical="center"/>
      <protection locked="0"/>
    </xf>
    <xf numFmtId="0" fontId="29" fillId="0" borderId="10" xfId="1" applyNumberFormat="1" applyFont="1" applyBorder="1" applyAlignment="1" applyProtection="1">
      <alignment horizontal="center" vertical="center"/>
      <protection locked="0"/>
    </xf>
    <xf numFmtId="0" fontId="29" fillId="0" borderId="10" xfId="1" applyNumberFormat="1" applyFont="1" applyBorder="1" applyAlignment="1" applyProtection="1">
      <alignment horizontal="center" vertical="center"/>
    </xf>
    <xf numFmtId="0" fontId="29" fillId="0" borderId="28" xfId="1" applyNumberFormat="1" applyFont="1" applyFill="1" applyBorder="1" applyAlignment="1" applyProtection="1">
      <alignment horizontal="center" vertical="center"/>
      <protection locked="0"/>
    </xf>
    <xf numFmtId="0" fontId="29" fillId="0" borderId="24" xfId="1" applyNumberFormat="1" applyFont="1" applyFill="1" applyBorder="1" applyAlignment="1" applyProtection="1">
      <alignment horizontal="center" vertical="center"/>
      <protection locked="0"/>
    </xf>
    <xf numFmtId="0" fontId="29" fillId="0" borderId="18" xfId="1" applyNumberFormat="1" applyFont="1" applyBorder="1" applyAlignment="1" applyProtection="1">
      <alignment horizontal="center" vertical="center"/>
      <protection locked="0"/>
    </xf>
    <xf numFmtId="0" fontId="29" fillId="0" borderId="0" xfId="1" applyNumberFormat="1" applyFont="1" applyBorder="1" applyAlignment="1" applyProtection="1">
      <alignment horizontal="center" vertical="center"/>
      <protection locked="0"/>
    </xf>
    <xf numFmtId="0" fontId="29" fillId="0" borderId="28" xfId="1" applyNumberFormat="1" applyFont="1" applyBorder="1" applyAlignment="1" applyProtection="1">
      <alignment horizontal="center" vertical="center"/>
      <protection locked="0"/>
    </xf>
    <xf numFmtId="0" fontId="30" fillId="0" borderId="5" xfId="1" applyNumberFormat="1" applyFont="1" applyBorder="1" applyAlignment="1" applyProtection="1">
      <alignment horizontal="center" vertical="center"/>
    </xf>
    <xf numFmtId="0" fontId="30" fillId="0" borderId="90" xfId="1" applyNumberFormat="1" applyFont="1" applyBorder="1" applyAlignment="1" applyProtection="1">
      <alignment horizontal="center" vertical="center"/>
    </xf>
    <xf numFmtId="0" fontId="29" fillId="0" borderId="0" xfId="0" applyFont="1" applyAlignment="1" applyProtection="1">
      <alignment vertical="center"/>
    </xf>
    <xf numFmtId="0" fontId="29" fillId="0" borderId="0" xfId="0" applyNumberFormat="1" applyFont="1" applyBorder="1" applyAlignment="1" applyProtection="1">
      <alignment horizontal="center" vertical="center"/>
    </xf>
    <xf numFmtId="0" fontId="29" fillId="0" borderId="98" xfId="1" applyNumberFormat="1" applyFont="1" applyBorder="1" applyAlignment="1" applyProtection="1">
      <alignment horizontal="center" vertical="center"/>
    </xf>
    <xf numFmtId="0" fontId="29" fillId="0" borderId="0" xfId="1" applyNumberFormat="1" applyFont="1" applyBorder="1" applyAlignment="1" applyProtection="1">
      <alignment horizontal="center" vertical="center"/>
    </xf>
    <xf numFmtId="0" fontId="29" fillId="0" borderId="28" xfId="1" applyNumberFormat="1" applyFont="1" applyBorder="1" applyAlignment="1" applyProtection="1">
      <alignment horizontal="center" vertical="center"/>
    </xf>
    <xf numFmtId="0" fontId="29" fillId="0" borderId="31" xfId="1" applyNumberFormat="1" applyFont="1" applyBorder="1" applyAlignment="1" applyProtection="1">
      <alignment horizontal="center" vertical="center"/>
      <protection locked="0"/>
    </xf>
    <xf numFmtId="0" fontId="29" fillId="0" borderId="32" xfId="1" applyNumberFormat="1" applyFont="1" applyFill="1" applyBorder="1" applyAlignment="1" applyProtection="1">
      <alignment horizontal="center" vertical="center"/>
      <protection locked="0"/>
    </xf>
    <xf numFmtId="0" fontId="29" fillId="0" borderId="5" xfId="1" applyNumberFormat="1" applyFont="1" applyFill="1" applyBorder="1" applyAlignment="1" applyProtection="1">
      <alignment horizontal="center" vertical="center"/>
      <protection locked="0"/>
    </xf>
    <xf numFmtId="0" fontId="29" fillId="0" borderId="32" xfId="1" applyNumberFormat="1" applyFont="1" applyBorder="1" applyAlignment="1" applyProtection="1">
      <alignment horizontal="center" vertical="center"/>
      <protection locked="0"/>
    </xf>
    <xf numFmtId="0" fontId="30" fillId="0" borderId="91" xfId="1" applyNumberFormat="1" applyFont="1" applyBorder="1" applyAlignment="1" applyProtection="1">
      <alignment horizontal="center" vertical="center"/>
    </xf>
    <xf numFmtId="0" fontId="29" fillId="0" borderId="32" xfId="1" applyNumberFormat="1" applyFont="1" applyBorder="1" applyAlignment="1" applyProtection="1">
      <alignment horizontal="center" vertical="center"/>
    </xf>
    <xf numFmtId="0" fontId="29" fillId="0" borderId="36" xfId="1" applyNumberFormat="1" applyFont="1" applyBorder="1" applyAlignment="1" applyProtection="1">
      <alignment horizontal="center" vertical="center"/>
      <protection locked="0"/>
    </xf>
    <xf numFmtId="0" fontId="29" fillId="0" borderId="37" xfId="1" applyNumberFormat="1" applyFont="1" applyBorder="1" applyAlignment="1" applyProtection="1">
      <alignment horizontal="center" vertical="center"/>
      <protection locked="0"/>
    </xf>
    <xf numFmtId="0" fontId="29" fillId="0" borderId="37" xfId="1" applyNumberFormat="1" applyFont="1" applyBorder="1" applyAlignment="1" applyProtection="1">
      <alignment horizontal="center" vertical="center"/>
    </xf>
    <xf numFmtId="0" fontId="29" fillId="0" borderId="38" xfId="1" applyNumberFormat="1" applyFont="1" applyFill="1" applyBorder="1" applyAlignment="1" applyProtection="1">
      <alignment horizontal="center" vertical="center"/>
      <protection locked="0"/>
    </xf>
    <xf numFmtId="0" fontId="29" fillId="0" borderId="39" xfId="1" applyNumberFormat="1" applyFont="1" applyFill="1" applyBorder="1" applyAlignment="1" applyProtection="1">
      <alignment horizontal="center" vertical="center"/>
      <protection locked="0"/>
    </xf>
    <xf numFmtId="0" fontId="29" fillId="0" borderId="40" xfId="1" applyNumberFormat="1" applyFont="1" applyBorder="1" applyAlignment="1" applyProtection="1">
      <alignment horizontal="center" vertical="center"/>
      <protection locked="0"/>
    </xf>
    <xf numFmtId="0" fontId="29" fillId="0" borderId="38" xfId="1" applyNumberFormat="1" applyFont="1" applyBorder="1" applyAlignment="1" applyProtection="1">
      <alignment horizontal="center" vertical="center"/>
      <protection locked="0"/>
    </xf>
    <xf numFmtId="0" fontId="30" fillId="0" borderId="39" xfId="1" applyNumberFormat="1" applyFont="1" applyBorder="1" applyAlignment="1" applyProtection="1">
      <alignment horizontal="center" vertical="center"/>
    </xf>
    <xf numFmtId="0" fontId="30" fillId="0" borderId="92" xfId="1" applyNumberFormat="1" applyFont="1" applyBorder="1" applyAlignment="1" applyProtection="1">
      <alignment horizontal="center" vertical="center"/>
    </xf>
    <xf numFmtId="0" fontId="29" fillId="0" borderId="99" xfId="1" applyNumberFormat="1" applyFont="1" applyBorder="1" applyAlignment="1" applyProtection="1">
      <alignment horizontal="center" vertical="center"/>
    </xf>
    <xf numFmtId="0" fontId="29" fillId="0" borderId="38" xfId="1" applyNumberFormat="1" applyFont="1" applyBorder="1" applyAlignment="1" applyProtection="1">
      <alignment horizontal="center" vertical="center"/>
    </xf>
    <xf numFmtId="0" fontId="29" fillId="0" borderId="46" xfId="1" applyNumberFormat="1" applyFont="1" applyBorder="1" applyAlignment="1" applyProtection="1">
      <alignment horizontal="center" vertical="center"/>
      <protection locked="0"/>
    </xf>
    <xf numFmtId="0" fontId="29" fillId="0" borderId="47" xfId="1" applyNumberFormat="1" applyFont="1" applyBorder="1" applyAlignment="1" applyProtection="1">
      <alignment horizontal="center" vertical="center"/>
      <protection locked="0"/>
    </xf>
    <xf numFmtId="0" fontId="29" fillId="0" borderId="47" xfId="1" applyNumberFormat="1" applyFont="1" applyBorder="1" applyAlignment="1" applyProtection="1">
      <alignment horizontal="center" vertical="center"/>
    </xf>
    <xf numFmtId="0" fontId="29" fillId="0" borderId="48" xfId="1" applyNumberFormat="1" applyFont="1" applyFill="1" applyBorder="1" applyAlignment="1" applyProtection="1">
      <alignment horizontal="center" vertical="center"/>
      <protection locked="0"/>
    </xf>
    <xf numFmtId="0" fontId="29" fillId="0" borderId="49" xfId="1" applyNumberFormat="1" applyFont="1" applyBorder="1" applyAlignment="1" applyProtection="1">
      <alignment horizontal="center" vertical="center"/>
      <protection locked="0"/>
    </xf>
    <xf numFmtId="0" fontId="29" fillId="0" borderId="48" xfId="1" applyNumberFormat="1" applyFont="1" applyBorder="1" applyAlignment="1" applyProtection="1">
      <alignment horizontal="center" vertical="center"/>
      <protection locked="0"/>
    </xf>
    <xf numFmtId="0" fontId="29" fillId="0" borderId="103" xfId="1" applyNumberFormat="1" applyFont="1" applyBorder="1" applyAlignment="1" applyProtection="1">
      <alignment horizontal="center" vertical="center"/>
    </xf>
    <xf numFmtId="0" fontId="29" fillId="0" borderId="48" xfId="1" applyNumberFormat="1" applyFont="1" applyBorder="1" applyAlignment="1" applyProtection="1">
      <alignment horizontal="center" vertical="center"/>
    </xf>
    <xf numFmtId="0" fontId="29" fillId="0" borderId="0" xfId="0" applyFont="1" applyBorder="1" applyAlignment="1" applyProtection="1">
      <alignment vertical="center"/>
    </xf>
    <xf numFmtId="0" fontId="6" fillId="0" borderId="0" xfId="0" applyNumberFormat="1" applyFont="1" applyBorder="1" applyAlignment="1" applyProtection="1">
      <alignment horizontal="center" vertical="center"/>
    </xf>
    <xf numFmtId="0" fontId="27" fillId="0" borderId="8" xfId="1" applyNumberFormat="1" applyFont="1" applyBorder="1" applyAlignment="1" applyProtection="1">
      <alignment horizontal="left" vertical="center"/>
    </xf>
    <xf numFmtId="0" fontId="27" fillId="0" borderId="7" xfId="1" applyNumberFormat="1" applyFont="1" applyBorder="1" applyAlignment="1" applyProtection="1">
      <alignment horizontal="right" vertical="center"/>
    </xf>
    <xf numFmtId="0" fontId="27" fillId="0" borderId="33" xfId="1" applyNumberFormat="1" applyFont="1" applyBorder="1" applyAlignment="1" applyProtection="1">
      <alignment horizontal="left" vertical="center"/>
    </xf>
    <xf numFmtId="0" fontId="27" fillId="0" borderId="101" xfId="1" applyNumberFormat="1" applyFont="1" applyBorder="1" applyAlignment="1" applyProtection="1">
      <alignment horizontal="left" vertical="center"/>
    </xf>
    <xf numFmtId="0" fontId="27" fillId="0" borderId="102" xfId="1" applyNumberFormat="1" applyFont="1" applyBorder="1" applyAlignment="1" applyProtection="1">
      <alignment horizontal="left" vertical="center"/>
    </xf>
    <xf numFmtId="0" fontId="27" fillId="0" borderId="12" xfId="1" applyNumberFormat="1" applyFont="1" applyBorder="1" applyAlignment="1" applyProtection="1">
      <alignment horizontal="right" vertical="center"/>
    </xf>
    <xf numFmtId="0" fontId="27" fillId="0" borderId="34" xfId="1" applyNumberFormat="1" applyFont="1" applyBorder="1" applyAlignment="1" applyProtection="1">
      <alignment horizontal="left" vertical="center"/>
    </xf>
    <xf numFmtId="0" fontId="27" fillId="0" borderId="11" xfId="1" applyNumberFormat="1" applyFont="1" applyBorder="1" applyAlignment="1" applyProtection="1">
      <alignment horizontal="left" vertical="center"/>
    </xf>
    <xf numFmtId="0" fontId="27" fillId="0" borderId="2" xfId="1" applyNumberFormat="1" applyFont="1" applyBorder="1" applyAlignment="1" applyProtection="1">
      <alignment horizontal="left" vertical="center"/>
    </xf>
    <xf numFmtId="0" fontId="27" fillId="0" borderId="3" xfId="1" applyNumberFormat="1" applyFont="1" applyBorder="1" applyAlignment="1" applyProtection="1">
      <alignment horizontal="right" vertical="center"/>
    </xf>
    <xf numFmtId="0" fontId="31" fillId="0" borderId="89" xfId="1" applyNumberFormat="1" applyFont="1" applyBorder="1" applyAlignment="1" applyProtection="1">
      <alignment horizontal="center" vertical="center"/>
    </xf>
    <xf numFmtId="0" fontId="27" fillId="0" borderId="14" xfId="1" applyNumberFormat="1" applyFont="1" applyBorder="1" applyAlignment="1" applyProtection="1">
      <alignment horizontal="left" vertical="center"/>
    </xf>
    <xf numFmtId="0" fontId="27" fillId="0" borderId="13" xfId="1" applyNumberFormat="1" applyFont="1" applyBorder="1" applyAlignment="1" applyProtection="1">
      <alignment horizontal="right" vertical="center"/>
    </xf>
    <xf numFmtId="0" fontId="27" fillId="0" borderId="35" xfId="1" applyNumberFormat="1" applyFont="1" applyBorder="1" applyAlignment="1" applyProtection="1">
      <alignment horizontal="left" vertical="center"/>
    </xf>
    <xf numFmtId="9" fontId="27" fillId="0" borderId="15" xfId="1" applyNumberFormat="1" applyFont="1" applyBorder="1" applyAlignment="1" applyProtection="1">
      <alignment horizontal="center" vertical="center"/>
    </xf>
    <xf numFmtId="9" fontId="27" fillId="0" borderId="96" xfId="1" applyNumberFormat="1" applyFont="1" applyBorder="1" applyAlignment="1" applyProtection="1">
      <alignment horizontal="center" vertical="center"/>
    </xf>
    <xf numFmtId="0" fontId="27" fillId="0" borderId="104" xfId="1" applyNumberFormat="1" applyFont="1" applyBorder="1" applyAlignment="1" applyProtection="1">
      <alignment horizontal="left" vertical="center"/>
    </xf>
    <xf numFmtId="0" fontId="32" fillId="0" borderId="0" xfId="0" applyNumberFormat="1" applyFont="1" applyAlignment="1" applyProtection="1">
      <alignment horizontal="left" vertical="center"/>
    </xf>
    <xf numFmtId="0" fontId="33" fillId="0" borderId="0" xfId="0" applyNumberFormat="1" applyFont="1" applyAlignment="1" applyProtection="1">
      <alignment horizontal="center" vertical="center"/>
    </xf>
    <xf numFmtId="0" fontId="10" fillId="0" borderId="17" xfId="0" applyNumberFormat="1" applyFont="1" applyBorder="1" applyAlignment="1" applyProtection="1">
      <alignment horizontal="center" vertical="center"/>
    </xf>
    <xf numFmtId="0" fontId="23" fillId="0" borderId="7" xfId="1" applyNumberFormat="1" applyFont="1" applyBorder="1" applyAlignment="1" applyProtection="1">
      <alignment horizontal="center" vertical="center"/>
    </xf>
    <xf numFmtId="0" fontId="23" fillId="0" borderId="6" xfId="1" applyNumberFormat="1" applyFont="1" applyBorder="1" applyAlignment="1" applyProtection="1">
      <alignment horizontal="center" vertical="center"/>
    </xf>
    <xf numFmtId="0" fontId="26" fillId="0" borderId="7" xfId="1" applyNumberFormat="1" applyFont="1" applyFill="1" applyBorder="1" applyAlignment="1" applyProtection="1">
      <alignment horizontal="center" vertical="center"/>
    </xf>
    <xf numFmtId="0" fontId="26" fillId="0" borderId="3" xfId="1" applyNumberFormat="1" applyFont="1" applyFill="1" applyBorder="1" applyAlignment="1" applyProtection="1">
      <alignment horizontal="center" vertical="center"/>
    </xf>
    <xf numFmtId="0" fontId="23" fillId="0" borderId="13" xfId="1" applyNumberFormat="1" applyFont="1" applyBorder="1" applyAlignment="1" applyProtection="1">
      <alignment horizontal="center" vertical="center"/>
    </xf>
    <xf numFmtId="0" fontId="23" fillId="0" borderId="13" xfId="1" applyNumberFormat="1" applyFont="1" applyFill="1" applyBorder="1" applyAlignment="1" applyProtection="1">
      <alignment horizontal="center" vertical="center"/>
    </xf>
    <xf numFmtId="0" fontId="24" fillId="0" borderId="42" xfId="1" applyNumberFormat="1" applyFont="1" applyBorder="1" applyAlignment="1" applyProtection="1">
      <alignment horizontal="center" vertical="center"/>
      <protection locked="0"/>
    </xf>
    <xf numFmtId="0" fontId="27" fillId="0" borderId="7" xfId="1" applyNumberFormat="1" applyFont="1" applyBorder="1" applyAlignment="1" applyProtection="1">
      <alignment horizontal="left" vertical="center"/>
    </xf>
    <xf numFmtId="0" fontId="27" fillId="0" borderId="3" xfId="1" applyNumberFormat="1" applyFont="1" applyBorder="1" applyAlignment="1" applyProtection="1">
      <alignment horizontal="left" vertical="center"/>
    </xf>
    <xf numFmtId="0" fontId="27" fillId="0" borderId="13" xfId="1" applyNumberFormat="1" applyFont="1" applyBorder="1" applyAlignment="1" applyProtection="1">
      <alignment horizontal="left" vertical="center"/>
    </xf>
    <xf numFmtId="0" fontId="6" fillId="0" borderId="0" xfId="1" applyNumberFormat="1" applyFont="1" applyBorder="1" applyAlignment="1" applyProtection="1">
      <alignment horizontal="center" vertical="center" wrapText="1"/>
    </xf>
    <xf numFmtId="0" fontId="6" fillId="0" borderId="98" xfId="1" applyNumberFormat="1" applyFont="1" applyBorder="1" applyAlignment="1" applyProtection="1">
      <alignment horizontal="center" vertical="center" wrapText="1"/>
    </xf>
    <xf numFmtId="0" fontId="23" fillId="0" borderId="16" xfId="1" applyNumberFormat="1" applyFont="1" applyBorder="1" applyAlignment="1" applyProtection="1">
      <alignment horizontal="center" vertical="center"/>
    </xf>
    <xf numFmtId="0" fontId="26" fillId="0" borderId="3" xfId="1" applyNumberFormat="1" applyFont="1" applyFill="1" applyBorder="1" applyAlignment="1" applyProtection="1">
      <alignment horizontal="right" vertical="center"/>
    </xf>
    <xf numFmtId="0" fontId="31" fillId="0" borderId="3" xfId="1" applyNumberFormat="1" applyFont="1" applyBorder="1" applyAlignment="1" applyProtection="1">
      <alignment horizontal="center" vertical="center"/>
    </xf>
    <xf numFmtId="0" fontId="23" fillId="0" borderId="111" xfId="1" applyNumberFormat="1" applyFont="1" applyBorder="1" applyAlignment="1" applyProtection="1">
      <alignment horizontal="center" vertical="center"/>
    </xf>
    <xf numFmtId="0" fontId="23" fillId="0" borderId="112" xfId="1" applyNumberFormat="1" applyFont="1" applyBorder="1" applyAlignment="1" applyProtection="1">
      <alignment horizontal="center" vertical="center"/>
    </xf>
    <xf numFmtId="0" fontId="23" fillId="0" borderId="113" xfId="1" applyNumberFormat="1" applyFont="1" applyBorder="1" applyAlignment="1" applyProtection="1">
      <alignment horizontal="center" vertical="center"/>
    </xf>
    <xf numFmtId="0" fontId="26" fillId="0" borderId="113" xfId="1" applyNumberFormat="1" applyFont="1" applyFill="1" applyBorder="1" applyAlignment="1" applyProtection="1">
      <alignment horizontal="center" vertical="center"/>
    </xf>
    <xf numFmtId="0" fontId="27" fillId="0" borderId="113" xfId="1" applyNumberFormat="1" applyFont="1" applyBorder="1" applyAlignment="1" applyProtection="1">
      <alignment horizontal="left" vertical="center"/>
    </xf>
    <xf numFmtId="0" fontId="27" fillId="0" borderId="113" xfId="1" applyNumberFormat="1" applyFont="1" applyBorder="1" applyAlignment="1" applyProtection="1">
      <alignment horizontal="right" vertical="center"/>
    </xf>
    <xf numFmtId="0" fontId="27" fillId="0" borderId="115" xfId="1" applyNumberFormat="1" applyFont="1" applyBorder="1" applyAlignment="1" applyProtection="1">
      <alignment horizontal="left" vertical="center"/>
    </xf>
    <xf numFmtId="0" fontId="27" fillId="0" borderId="116" xfId="1" applyNumberFormat="1" applyFont="1" applyBorder="1" applyAlignment="1" applyProtection="1">
      <alignment horizontal="left" vertical="center"/>
    </xf>
    <xf numFmtId="0" fontId="27" fillId="0" borderId="118" xfId="1" applyNumberFormat="1" applyFont="1" applyBorder="1" applyAlignment="1" applyProtection="1">
      <alignment horizontal="left" vertical="center"/>
    </xf>
    <xf numFmtId="0" fontId="27" fillId="0" borderId="119" xfId="1" applyNumberFormat="1" applyFont="1" applyBorder="1" applyAlignment="1" applyProtection="1">
      <alignment horizontal="right" vertical="center"/>
    </xf>
    <xf numFmtId="0" fontId="27" fillId="0" borderId="120" xfId="1" applyNumberFormat="1" applyFont="1" applyBorder="1" applyAlignment="1" applyProtection="1">
      <alignment horizontal="left" vertical="center"/>
    </xf>
    <xf numFmtId="49" fontId="20" fillId="0" borderId="0" xfId="0" applyNumberFormat="1" applyFont="1" applyFill="1" applyBorder="1" applyAlignment="1" applyProtection="1">
      <alignment horizontal="center" vertical="center"/>
    </xf>
    <xf numFmtId="0" fontId="20" fillId="0" borderId="0" xfId="0" applyNumberFormat="1" applyFont="1" applyFill="1" applyBorder="1" applyAlignment="1" applyProtection="1">
      <alignment horizontal="center" vertical="center"/>
    </xf>
    <xf numFmtId="0" fontId="20" fillId="0" borderId="0" xfId="0" applyNumberFormat="1" applyFont="1" applyFill="1" applyAlignment="1" applyProtection="1">
      <alignment horizontal="center" vertical="center"/>
    </xf>
    <xf numFmtId="0" fontId="20" fillId="0" borderId="0" xfId="1" applyNumberFormat="1" applyFont="1" applyFill="1" applyAlignment="1" applyProtection="1">
      <alignment horizontal="center" vertical="center"/>
    </xf>
    <xf numFmtId="49" fontId="4" fillId="2" borderId="133" xfId="0" applyNumberFormat="1" applyFont="1" applyFill="1" applyBorder="1" applyAlignment="1">
      <alignment horizontal="center" vertical="center"/>
    </xf>
    <xf numFmtId="49" fontId="4" fillId="2" borderId="140" xfId="0" applyNumberFormat="1" applyFont="1" applyFill="1" applyBorder="1" applyAlignment="1">
      <alignment horizontal="center" vertical="center"/>
    </xf>
    <xf numFmtId="0" fontId="10" fillId="0" borderId="148" xfId="0" applyNumberFormat="1" applyFont="1" applyBorder="1" applyAlignment="1" applyProtection="1">
      <alignment horizontal="center" vertical="center"/>
    </xf>
    <xf numFmtId="0" fontId="10" fillId="0" borderId="149" xfId="0" applyNumberFormat="1" applyFont="1" applyBorder="1" applyAlignment="1" applyProtection="1">
      <alignment horizontal="left" vertical="center"/>
    </xf>
    <xf numFmtId="0" fontId="10" fillId="0" borderId="149" xfId="0" applyNumberFormat="1" applyFont="1" applyFill="1" applyBorder="1" applyAlignment="1" applyProtection="1">
      <alignment horizontal="left" vertical="center"/>
    </xf>
    <xf numFmtId="0" fontId="10" fillId="0" borderId="0" xfId="0" applyNumberFormat="1" applyFont="1" applyFill="1" applyBorder="1" applyAlignment="1" applyProtection="1">
      <alignment horizontal="left" vertical="center"/>
    </xf>
    <xf numFmtId="164" fontId="5" fillId="2" borderId="141" xfId="0" applyNumberFormat="1" applyFont="1" applyFill="1" applyBorder="1" applyAlignment="1">
      <alignment horizontal="center" vertical="center" shrinkToFit="1"/>
    </xf>
    <xf numFmtId="164" fontId="5" fillId="3" borderId="142" xfId="0" applyNumberFormat="1" applyFont="1" applyFill="1" applyBorder="1" applyAlignment="1">
      <alignment horizontal="center" vertical="center" shrinkToFit="1"/>
    </xf>
    <xf numFmtId="0" fontId="4" fillId="3" borderId="141" xfId="0" applyFont="1" applyFill="1" applyBorder="1" applyAlignment="1">
      <alignment horizontal="center" vertical="center" shrinkToFit="1"/>
    </xf>
    <xf numFmtId="164" fontId="5" fillId="3" borderId="143" xfId="0" applyNumberFormat="1" applyFont="1" applyFill="1" applyBorder="1" applyAlignment="1">
      <alignment horizontal="center" vertical="center" shrinkToFit="1"/>
    </xf>
    <xf numFmtId="0" fontId="1" fillId="3" borderId="141" xfId="0" applyFont="1" applyFill="1" applyBorder="1" applyAlignment="1">
      <alignment horizontal="center" vertical="center" shrinkToFit="1"/>
    </xf>
    <xf numFmtId="0" fontId="1" fillId="3" borderId="144" xfId="0" applyFont="1" applyFill="1" applyBorder="1" applyAlignment="1">
      <alignment horizontal="center" vertical="center" shrinkToFit="1"/>
    </xf>
    <xf numFmtId="164" fontId="5" fillId="3" borderId="145" xfId="0" applyNumberFormat="1" applyFont="1" applyFill="1" applyBorder="1" applyAlignment="1">
      <alignment horizontal="center" vertical="center" shrinkToFit="1"/>
    </xf>
    <xf numFmtId="164" fontId="5" fillId="3" borderId="144" xfId="0" applyNumberFormat="1" applyFont="1" applyFill="1" applyBorder="1" applyAlignment="1">
      <alignment horizontal="center" vertical="center" shrinkToFit="1"/>
    </xf>
    <xf numFmtId="164" fontId="5" fillId="2" borderId="82" xfId="0" applyNumberFormat="1" applyFont="1" applyFill="1" applyBorder="1" applyAlignment="1">
      <alignment horizontal="center" vertical="center" shrinkToFit="1"/>
    </xf>
    <xf numFmtId="164" fontId="5" fillId="3" borderId="138" xfId="0" applyNumberFormat="1" applyFont="1" applyFill="1" applyBorder="1" applyAlignment="1">
      <alignment horizontal="center" vertical="center" shrinkToFit="1"/>
    </xf>
    <xf numFmtId="0" fontId="4" fillId="3" borderId="82" xfId="0" applyFont="1" applyFill="1" applyBorder="1" applyAlignment="1">
      <alignment horizontal="center" vertical="center" shrinkToFit="1"/>
    </xf>
    <xf numFmtId="164" fontId="5" fillId="3" borderId="83" xfId="0" applyNumberFormat="1" applyFont="1" applyFill="1" applyBorder="1" applyAlignment="1">
      <alignment horizontal="center" vertical="center" shrinkToFit="1"/>
    </xf>
    <xf numFmtId="0" fontId="1" fillId="3" borderId="82" xfId="0" applyFont="1" applyFill="1" applyBorder="1" applyAlignment="1">
      <alignment horizontal="center" vertical="center" shrinkToFit="1"/>
    </xf>
    <xf numFmtId="0" fontId="1" fillId="3" borderId="84" xfId="0" applyFont="1" applyFill="1" applyBorder="1" applyAlignment="1">
      <alignment horizontal="center" vertical="center" shrinkToFit="1"/>
    </xf>
    <xf numFmtId="164" fontId="5" fillId="3" borderId="125" xfId="0" applyNumberFormat="1" applyFont="1" applyFill="1" applyBorder="1" applyAlignment="1">
      <alignment horizontal="center" vertical="center" shrinkToFit="1"/>
    </xf>
    <xf numFmtId="164" fontId="5" fillId="3" borderId="84" xfId="0" applyNumberFormat="1" applyFont="1" applyFill="1" applyBorder="1" applyAlignment="1">
      <alignment horizontal="center" vertical="center" shrinkToFit="1"/>
    </xf>
    <xf numFmtId="164" fontId="5" fillId="2" borderId="126" xfId="0" applyNumberFormat="1" applyFont="1" applyFill="1" applyBorder="1" applyAlignment="1">
      <alignment horizontal="center" vertical="center" shrinkToFit="1"/>
    </xf>
    <xf numFmtId="164" fontId="5" fillId="3" borderId="139" xfId="0" applyNumberFormat="1" applyFont="1" applyFill="1" applyBorder="1" applyAlignment="1">
      <alignment horizontal="center" vertical="center" shrinkToFit="1"/>
    </xf>
    <xf numFmtId="0" fontId="4" fillId="3" borderId="126" xfId="0" applyFont="1" applyFill="1" applyBorder="1" applyAlignment="1">
      <alignment horizontal="center" vertical="center" shrinkToFit="1"/>
    </xf>
    <xf numFmtId="164" fontId="5" fillId="3" borderId="127" xfId="0" applyNumberFormat="1" applyFont="1" applyFill="1" applyBorder="1" applyAlignment="1">
      <alignment horizontal="center" vertical="center" shrinkToFit="1"/>
    </xf>
    <xf numFmtId="0" fontId="1" fillId="3" borderId="126" xfId="0" applyFont="1" applyFill="1" applyBorder="1" applyAlignment="1">
      <alignment horizontal="center" vertical="center" shrinkToFit="1"/>
    </xf>
    <xf numFmtId="0" fontId="1" fillId="3" borderId="128" xfId="0" applyFont="1" applyFill="1" applyBorder="1" applyAlignment="1">
      <alignment horizontal="center" vertical="center" shrinkToFit="1"/>
    </xf>
    <xf numFmtId="164" fontId="5" fillId="3" borderId="129" xfId="0" applyNumberFormat="1" applyFont="1" applyFill="1" applyBorder="1" applyAlignment="1">
      <alignment horizontal="center" vertical="center" shrinkToFit="1"/>
    </xf>
    <xf numFmtId="164" fontId="5" fillId="3" borderId="128" xfId="0" applyNumberFormat="1" applyFont="1" applyFill="1" applyBorder="1" applyAlignment="1">
      <alignment horizontal="center" vertical="center" shrinkToFit="1"/>
    </xf>
    <xf numFmtId="0" fontId="4" fillId="3" borderId="74" xfId="0" applyNumberFormat="1" applyFont="1" applyFill="1" applyBorder="1" applyAlignment="1">
      <alignment horizontal="center" vertical="center" shrinkToFit="1"/>
    </xf>
    <xf numFmtId="0" fontId="3" fillId="3" borderId="74" xfId="0" applyNumberFormat="1" applyFont="1" applyFill="1" applyBorder="1" applyAlignment="1">
      <alignment horizontal="center" vertical="center" shrinkToFit="1"/>
    </xf>
    <xf numFmtId="0" fontId="4" fillId="3" borderId="76" xfId="0" applyNumberFormat="1" applyFont="1" applyFill="1" applyBorder="1" applyAlignment="1">
      <alignment horizontal="center" vertical="center" shrinkToFit="1"/>
    </xf>
    <xf numFmtId="0" fontId="3" fillId="3" borderId="76" xfId="0" applyNumberFormat="1" applyFont="1" applyFill="1" applyBorder="1" applyAlignment="1">
      <alignment horizontal="center" vertical="center" shrinkToFit="1"/>
    </xf>
    <xf numFmtId="0" fontId="4" fillId="3" borderId="78" xfId="0" applyNumberFormat="1" applyFont="1" applyFill="1" applyBorder="1" applyAlignment="1">
      <alignment horizontal="center" vertical="center" shrinkToFit="1"/>
    </xf>
    <xf numFmtId="0" fontId="3" fillId="3" borderId="78" xfId="0" applyNumberFormat="1" applyFont="1" applyFill="1" applyBorder="1" applyAlignment="1">
      <alignment horizontal="center" vertical="center" shrinkToFit="1"/>
    </xf>
    <xf numFmtId="0" fontId="29" fillId="0" borderId="0" xfId="0" applyFont="1" applyBorder="1" applyAlignment="1" applyProtection="1">
      <alignment horizontal="center" vertical="center"/>
    </xf>
    <xf numFmtId="0" fontId="22" fillId="0" borderId="0" xfId="0" applyFont="1" applyBorder="1" applyAlignment="1" applyProtection="1">
      <alignment horizontal="center" vertical="center"/>
    </xf>
    <xf numFmtId="0" fontId="23" fillId="0" borderId="0" xfId="0" applyFont="1" applyBorder="1" applyAlignment="1" applyProtection="1">
      <alignment horizontal="center" vertical="center"/>
    </xf>
    <xf numFmtId="0" fontId="34" fillId="0" borderId="114" xfId="1" applyNumberFormat="1" applyFont="1" applyFill="1" applyBorder="1" applyAlignment="1" applyProtection="1">
      <alignment horizontal="right" vertical="center"/>
    </xf>
    <xf numFmtId="0" fontId="34" fillId="0" borderId="15" xfId="1" applyNumberFormat="1" applyFont="1" applyFill="1" applyBorder="1" applyAlignment="1" applyProtection="1">
      <alignment horizontal="right" vertical="center"/>
    </xf>
    <xf numFmtId="0" fontId="34" fillId="0" borderId="9" xfId="1" applyNumberFormat="1" applyFont="1" applyFill="1" applyBorder="1" applyAlignment="1" applyProtection="1">
      <alignment horizontal="right" vertical="center"/>
    </xf>
    <xf numFmtId="0" fontId="34" fillId="2" borderId="3" xfId="0" applyNumberFormat="1" applyFont="1" applyFill="1" applyBorder="1" applyAlignment="1" applyProtection="1">
      <alignment horizontal="center" vertical="center"/>
    </xf>
    <xf numFmtId="0" fontId="34" fillId="2" borderId="27" xfId="0" applyNumberFormat="1" applyFont="1" applyFill="1" applyBorder="1" applyAlignment="1" applyProtection="1">
      <alignment horizontal="center" vertical="center"/>
    </xf>
    <xf numFmtId="0" fontId="35" fillId="2" borderId="4" xfId="0" applyNumberFormat="1" applyFont="1" applyFill="1" applyBorder="1" applyAlignment="1" applyProtection="1">
      <alignment horizontal="center" vertical="center"/>
    </xf>
    <xf numFmtId="0" fontId="34" fillId="2" borderId="2" xfId="0" applyNumberFormat="1" applyFont="1" applyFill="1" applyBorder="1" applyAlignment="1" applyProtection="1">
      <alignment horizontal="center" vertical="center"/>
    </xf>
    <xf numFmtId="0" fontId="35" fillId="2" borderId="89" xfId="0" applyNumberFormat="1" applyFont="1" applyFill="1" applyBorder="1" applyAlignment="1" applyProtection="1">
      <alignment horizontal="center" vertical="center"/>
    </xf>
    <xf numFmtId="0" fontId="34" fillId="2" borderId="97" xfId="0" applyNumberFormat="1" applyFont="1" applyFill="1" applyBorder="1" applyAlignment="1" applyProtection="1">
      <alignment horizontal="center" vertical="center"/>
    </xf>
    <xf numFmtId="0" fontId="37" fillId="0" borderId="94" xfId="1" applyNumberFormat="1" applyFont="1" applyBorder="1" applyAlignment="1" applyProtection="1">
      <alignment horizontal="center" vertical="center"/>
    </xf>
    <xf numFmtId="0" fontId="37" fillId="0" borderId="9" xfId="1" applyNumberFormat="1" applyFont="1" applyBorder="1" applyAlignment="1" applyProtection="1">
      <alignment horizontal="center" vertical="center"/>
    </xf>
    <xf numFmtId="0" fontId="37" fillId="0" borderId="29" xfId="1" applyNumberFormat="1" applyFont="1" applyBorder="1" applyAlignment="1" applyProtection="1">
      <alignment horizontal="center" vertical="center"/>
    </xf>
    <xf numFmtId="0" fontId="37" fillId="0" borderId="95" xfId="1" applyNumberFormat="1" applyFont="1" applyBorder="1" applyAlignment="1" applyProtection="1">
      <alignment horizontal="center" vertical="center"/>
    </xf>
    <xf numFmtId="0" fontId="37" fillId="0" borderId="117" xfId="1" applyNumberFormat="1" applyFont="1" applyBorder="1" applyAlignment="1" applyProtection="1">
      <alignment horizontal="center" vertical="center"/>
    </xf>
    <xf numFmtId="0" fontId="37" fillId="0" borderId="114" xfId="1" applyNumberFormat="1" applyFont="1" applyBorder="1" applyAlignment="1" applyProtection="1">
      <alignment horizontal="center" vertical="center"/>
    </xf>
    <xf numFmtId="0" fontId="37" fillId="0" borderId="121" xfId="1" applyNumberFormat="1" applyFont="1" applyBorder="1" applyAlignment="1" applyProtection="1">
      <alignment horizontal="center" vertical="center"/>
    </xf>
    <xf numFmtId="164" fontId="38" fillId="4" borderId="1" xfId="0" applyNumberFormat="1" applyFont="1" applyFill="1" applyBorder="1" applyAlignment="1" applyProtection="1">
      <alignment horizontal="center" vertical="center"/>
    </xf>
    <xf numFmtId="164" fontId="38" fillId="4" borderId="88" xfId="0" applyNumberFormat="1" applyFont="1" applyFill="1" applyBorder="1" applyAlignment="1" applyProtection="1">
      <alignment horizontal="center" vertical="center"/>
    </xf>
    <xf numFmtId="0" fontId="7" fillId="0" borderId="150" xfId="0" applyNumberFormat="1" applyFont="1" applyFill="1" applyBorder="1" applyAlignment="1" applyProtection="1">
      <alignment horizontal="center" vertical="center" wrapText="1"/>
    </xf>
    <xf numFmtId="164" fontId="4" fillId="2" borderId="133" xfId="0" applyNumberFormat="1" applyFont="1" applyFill="1" applyBorder="1" applyAlignment="1">
      <alignment horizontal="center" vertical="center"/>
    </xf>
    <xf numFmtId="49" fontId="4" fillId="2" borderId="134" xfId="0" applyNumberFormat="1" applyFont="1" applyFill="1" applyBorder="1" applyAlignment="1">
      <alignment horizontal="center" vertical="center"/>
    </xf>
    <xf numFmtId="0" fontId="29" fillId="0" borderId="28" xfId="1" applyNumberFormat="1" applyFont="1" applyFill="1" applyBorder="1" applyAlignment="1" applyProtection="1">
      <alignment horizontal="center" vertical="center"/>
    </xf>
    <xf numFmtId="0" fontId="29" fillId="0" borderId="32" xfId="1" applyNumberFormat="1" applyFont="1" applyFill="1" applyBorder="1" applyAlignment="1" applyProtection="1">
      <alignment horizontal="center" vertical="center"/>
    </xf>
    <xf numFmtId="0" fontId="29" fillId="0" borderId="38" xfId="1" applyNumberFormat="1" applyFont="1" applyFill="1" applyBorder="1" applyAlignment="1" applyProtection="1">
      <alignment horizontal="center" vertical="center"/>
    </xf>
    <xf numFmtId="0" fontId="29" fillId="0" borderId="18" xfId="1" applyNumberFormat="1" applyFont="1" applyBorder="1" applyAlignment="1" applyProtection="1">
      <alignment horizontal="center" vertical="center"/>
    </xf>
    <xf numFmtId="0" fontId="29" fillId="0" borderId="40" xfId="1" applyNumberFormat="1" applyFont="1" applyBorder="1" applyAlignment="1" applyProtection="1">
      <alignment horizontal="center" vertical="center"/>
    </xf>
    <xf numFmtId="0" fontId="24" fillId="0" borderId="44" xfId="1" applyNumberFormat="1" applyFont="1" applyBorder="1" applyAlignment="1" applyProtection="1">
      <alignment horizontal="center" vertical="center"/>
    </xf>
    <xf numFmtId="0" fontId="4" fillId="2" borderId="16" xfId="0" applyFont="1" applyFill="1" applyBorder="1" applyAlignment="1" applyProtection="1">
      <alignment horizontal="center" vertical="center"/>
    </xf>
    <xf numFmtId="0" fontId="4" fillId="2" borderId="3" xfId="0" applyFont="1" applyFill="1" applyBorder="1" applyAlignment="1" applyProtection="1">
      <alignment horizontal="center" vertical="center"/>
    </xf>
    <xf numFmtId="0" fontId="4" fillId="2" borderId="4" xfId="0" applyFont="1" applyFill="1" applyBorder="1" applyAlignment="1" applyProtection="1">
      <alignment horizontal="center" vertical="center"/>
    </xf>
    <xf numFmtId="0" fontId="4" fillId="4" borderId="21" xfId="0" applyFont="1" applyFill="1" applyBorder="1" applyAlignment="1">
      <alignment horizontal="center" vertical="center"/>
    </xf>
    <xf numFmtId="0" fontId="4" fillId="4" borderId="22" xfId="0" applyFont="1" applyFill="1" applyBorder="1" applyAlignment="1">
      <alignment horizontal="center" vertical="center"/>
    </xf>
    <xf numFmtId="0" fontId="4" fillId="4" borderId="23" xfId="0" applyFont="1" applyFill="1" applyBorder="1" applyAlignment="1">
      <alignment horizontal="center" vertical="center"/>
    </xf>
    <xf numFmtId="0" fontId="36" fillId="4" borderId="108" xfId="0" applyNumberFormat="1" applyFont="1" applyFill="1" applyBorder="1" applyAlignment="1" applyProtection="1">
      <alignment horizontal="center" vertical="center"/>
    </xf>
    <xf numFmtId="0" fontId="36" fillId="4" borderId="106" xfId="0" applyNumberFormat="1" applyFont="1" applyFill="1" applyBorder="1" applyAlignment="1" applyProtection="1">
      <alignment horizontal="center" vertical="center"/>
    </xf>
    <xf numFmtId="49" fontId="4" fillId="2" borderId="85" xfId="0" applyNumberFormat="1" applyFont="1" applyFill="1" applyBorder="1" applyAlignment="1">
      <alignment horizontal="center" vertical="center"/>
    </xf>
    <xf numFmtId="49" fontId="4" fillId="2" borderId="87" xfId="0" applyNumberFormat="1" applyFont="1" applyFill="1" applyBorder="1" applyAlignment="1">
      <alignment horizontal="center" vertical="center"/>
    </xf>
    <xf numFmtId="0" fontId="4" fillId="2" borderId="146" xfId="0" applyFont="1" applyFill="1" applyBorder="1" applyAlignment="1">
      <alignment horizontal="center" vertical="center" wrapText="1"/>
    </xf>
    <xf numFmtId="0" fontId="4" fillId="2" borderId="147" xfId="0" applyFont="1" applyFill="1" applyBorder="1" applyAlignment="1">
      <alignment horizontal="center" vertical="center" wrapText="1"/>
    </xf>
    <xf numFmtId="0" fontId="4" fillId="2" borderId="124" xfId="0" applyFont="1" applyFill="1" applyBorder="1" applyAlignment="1">
      <alignment horizontal="center" vertical="center" wrapText="1"/>
    </xf>
    <xf numFmtId="0" fontId="4" fillId="2" borderId="16" xfId="1" applyNumberFormat="1" applyFont="1" applyFill="1" applyBorder="1" applyAlignment="1" applyProtection="1">
      <alignment horizontal="center" vertical="center"/>
    </xf>
    <xf numFmtId="0" fontId="4" fillId="2" borderId="3" xfId="1" applyNumberFormat="1" applyFont="1" applyFill="1" applyBorder="1" applyAlignment="1" applyProtection="1">
      <alignment horizontal="center" vertical="center"/>
    </xf>
    <xf numFmtId="0" fontId="4" fillId="2" borderId="4" xfId="1" applyNumberFormat="1" applyFont="1" applyFill="1" applyBorder="1" applyAlignment="1" applyProtection="1">
      <alignment horizontal="center" vertical="center"/>
    </xf>
    <xf numFmtId="0" fontId="36" fillId="4" borderId="109" xfId="0" applyNumberFormat="1" applyFont="1" applyFill="1" applyBorder="1" applyAlignment="1" applyProtection="1">
      <alignment horizontal="center" vertical="center"/>
    </xf>
    <xf numFmtId="0" fontId="36" fillId="4" borderId="110" xfId="0" applyNumberFormat="1" applyFont="1" applyFill="1" applyBorder="1" applyAlignment="1" applyProtection="1">
      <alignment horizontal="center" vertical="center"/>
    </xf>
    <xf numFmtId="0" fontId="6" fillId="0" borderId="98" xfId="1" applyNumberFormat="1" applyFont="1" applyBorder="1" applyAlignment="1" applyProtection="1">
      <alignment horizontal="center" vertical="center" wrapText="1"/>
    </xf>
    <xf numFmtId="0" fontId="6" fillId="0" borderId="0" xfId="1" applyNumberFormat="1" applyFont="1" applyBorder="1" applyAlignment="1" applyProtection="1">
      <alignment horizontal="center" vertical="center" wrapText="1"/>
    </xf>
    <xf numFmtId="0" fontId="25" fillId="4" borderId="105" xfId="0" applyNumberFormat="1" applyFont="1" applyFill="1" applyBorder="1" applyAlignment="1" applyProtection="1">
      <alignment horizontal="center" vertical="center"/>
    </xf>
    <xf numFmtId="0" fontId="25" fillId="4" borderId="106" xfId="0" applyNumberFormat="1" applyFont="1" applyFill="1" applyBorder="1" applyAlignment="1" applyProtection="1">
      <alignment horizontal="center" vertical="center"/>
    </xf>
    <xf numFmtId="0" fontId="25" fillId="4" borderId="107" xfId="0" applyNumberFormat="1" applyFont="1" applyFill="1" applyBorder="1" applyAlignment="1" applyProtection="1">
      <alignment horizontal="center" vertical="center"/>
    </xf>
    <xf numFmtId="0" fontId="6" fillId="5" borderId="80" xfId="0" applyFont="1" applyFill="1" applyBorder="1" applyAlignment="1">
      <alignment horizontal="center" vertical="center" wrapText="1"/>
    </xf>
    <xf numFmtId="0" fontId="6" fillId="5" borderId="81" xfId="0" applyFont="1" applyFill="1" applyBorder="1" applyAlignment="1">
      <alignment horizontal="center" vertical="center" wrapText="1"/>
    </xf>
    <xf numFmtId="0" fontId="6" fillId="5" borderId="135" xfId="0" applyFont="1" applyFill="1" applyBorder="1" applyAlignment="1">
      <alignment horizontal="center" vertical="center" wrapText="1"/>
    </xf>
    <xf numFmtId="0" fontId="6" fillId="5" borderId="136" xfId="0" applyFont="1" applyFill="1" applyBorder="1" applyAlignment="1">
      <alignment horizontal="center" vertical="center" wrapText="1"/>
    </xf>
    <xf numFmtId="0" fontId="6" fillId="5" borderId="137" xfId="0" applyFont="1" applyFill="1" applyBorder="1" applyAlignment="1">
      <alignment horizontal="center" vertical="center" wrapText="1"/>
    </xf>
    <xf numFmtId="0" fontId="6" fillId="5" borderId="132" xfId="0" applyFont="1" applyFill="1" applyBorder="1" applyAlignment="1">
      <alignment horizontal="center" vertical="center" wrapText="1"/>
    </xf>
    <xf numFmtId="0" fontId="4" fillId="2" borderId="130" xfId="0" applyFont="1" applyFill="1" applyBorder="1" applyAlignment="1">
      <alignment horizontal="center" vertical="center" wrapText="1"/>
    </xf>
    <xf numFmtId="0" fontId="4" fillId="2" borderId="131" xfId="0" applyFont="1" applyFill="1" applyBorder="1" applyAlignment="1">
      <alignment horizontal="center" vertical="center" wrapText="1"/>
    </xf>
    <xf numFmtId="0" fontId="4" fillId="2" borderId="132" xfId="0" applyFont="1" applyFill="1" applyBorder="1" applyAlignment="1">
      <alignment horizontal="center" vertical="center" wrapText="1"/>
    </xf>
    <xf numFmtId="0" fontId="4" fillId="2" borderId="105" xfId="0" applyFont="1" applyFill="1" applyBorder="1" applyAlignment="1">
      <alignment horizontal="center" vertical="center"/>
    </xf>
    <xf numFmtId="0" fontId="4" fillId="2" borderId="106" xfId="0" applyFont="1" applyFill="1" applyBorder="1" applyAlignment="1">
      <alignment horizontal="center" vertical="center"/>
    </xf>
    <xf numFmtId="0" fontId="4" fillId="2" borderId="122" xfId="0" applyFont="1" applyFill="1" applyBorder="1" applyAlignment="1">
      <alignment horizontal="center" vertical="center"/>
    </xf>
    <xf numFmtId="0" fontId="6" fillId="5" borderId="123" xfId="0" applyFont="1" applyFill="1" applyBorder="1" applyAlignment="1">
      <alignment horizontal="center" vertical="center" wrapText="1"/>
    </xf>
    <xf numFmtId="0" fontId="6" fillId="5" borderId="124" xfId="0" applyFont="1" applyFill="1" applyBorder="1" applyAlignment="1">
      <alignment horizontal="center" vertical="center" wrapText="1"/>
    </xf>
    <xf numFmtId="49" fontId="4" fillId="2" borderId="86" xfId="0" applyNumberFormat="1" applyFont="1" applyFill="1" applyBorder="1" applyAlignment="1">
      <alignment horizontal="center" vertical="center"/>
    </xf>
    <xf numFmtId="0" fontId="29" fillId="0" borderId="30" xfId="1" applyNumberFormat="1" applyFont="1" applyBorder="1" applyAlignment="1" applyProtection="1">
      <alignment horizontal="center" vertical="center"/>
    </xf>
    <xf numFmtId="0" fontId="29" fillId="0" borderId="31" xfId="1" applyNumberFormat="1" applyFont="1" applyBorder="1" applyAlignment="1" applyProtection="1">
      <alignment horizontal="center" vertical="center"/>
    </xf>
    <xf numFmtId="0" fontId="29" fillId="0" borderId="36" xfId="1" applyNumberFormat="1" applyFont="1" applyBorder="1" applyAlignment="1" applyProtection="1">
      <alignment horizontal="center" vertical="center"/>
    </xf>
    <xf numFmtId="0" fontId="29" fillId="0" borderId="24" xfId="1" applyNumberFormat="1" applyFont="1" applyFill="1" applyBorder="1" applyAlignment="1" applyProtection="1">
      <alignment horizontal="center" vertical="center"/>
    </xf>
    <xf numFmtId="0" fontId="29" fillId="0" borderId="5" xfId="1" applyNumberFormat="1" applyFont="1" applyFill="1" applyBorder="1" applyAlignment="1" applyProtection="1">
      <alignment horizontal="center" vertical="center"/>
    </xf>
    <xf numFmtId="0" fontId="29" fillId="0" borderId="39" xfId="1" applyNumberFormat="1" applyFont="1" applyFill="1" applyBorder="1" applyAlignment="1" applyProtection="1">
      <alignment horizontal="center" vertical="center"/>
    </xf>
  </cellXfs>
  <cellStyles count="2">
    <cellStyle name="Normal" xfId="0" builtinId="0"/>
    <cellStyle name="Percent" xfId="1" builtinId="5"/>
  </cellStyles>
  <dxfs count="83">
    <dxf>
      <font>
        <color theme="1"/>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numFmt numFmtId="168" formatCode="&quot;$&quot;#,##0.00;[Red]\-&quot;$&quot;#,##0.00"/>
    </dxf>
    <dxf>
      <numFmt numFmtId="168" formatCode="&quot;$&quot;#,##0.00;[Red]\-&quot;$&quot;#,##0.00"/>
    </dxf>
    <dxf>
      <font>
        <b val="0"/>
        <i val="0"/>
        <color indexed="12"/>
      </font>
    </dxf>
    <dxf>
      <font>
        <b val="0"/>
        <i val="0"/>
        <color indexed="12"/>
      </font>
    </dxf>
  </dxfs>
  <tableStyles count="0" defaultTableStyle="TableStyleMedium2" defaultPivotStyle="PivotStyleLight16"/>
  <colors>
    <mruColors>
      <color rgb="FF800000"/>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T691"/>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2" sqref="B2:F2"/>
    </sheetView>
  </sheetViews>
  <sheetFormatPr defaultRowHeight="12.75" x14ac:dyDescent="0.2"/>
  <cols>
    <col min="1" max="1" width="1.7109375" style="29" customWidth="1"/>
    <col min="2" max="2" width="3.7109375" style="29" customWidth="1"/>
    <col min="3" max="3" width="10" style="29" customWidth="1"/>
    <col min="4" max="4" width="2.7109375" style="29" customWidth="1"/>
    <col min="5" max="5" width="10" style="29" customWidth="1"/>
    <col min="6" max="6" width="3.7109375" style="29" customWidth="1"/>
    <col min="7" max="9" width="2.7109375" style="51" customWidth="1"/>
    <col min="10" max="10" width="5.7109375" style="51" customWidth="1"/>
    <col min="11" max="13" width="2.7109375" style="51" customWidth="1"/>
    <col min="14" max="14" width="5.7109375" style="51" customWidth="1"/>
    <col min="15" max="17" width="2.7109375" style="51" customWidth="1"/>
    <col min="18" max="18" width="5.7109375" style="51" customWidth="1"/>
    <col min="19" max="21" width="2.7109375" style="51" customWidth="1"/>
    <col min="22" max="22" width="5.7109375" style="51" customWidth="1"/>
    <col min="23" max="25" width="2.7109375" style="51" customWidth="1"/>
    <col min="26" max="26" width="5.7109375" style="51" customWidth="1"/>
    <col min="27" max="29" width="2.7109375" style="51" customWidth="1"/>
    <col min="30" max="30" width="5.7109375" style="51" customWidth="1"/>
    <col min="31" max="33" width="2.7109375" style="51" customWidth="1"/>
    <col min="34" max="34" width="5.7109375" style="51" customWidth="1"/>
    <col min="35" max="37" width="2.7109375" style="51" customWidth="1"/>
    <col min="38" max="38" width="5.7109375" style="51" customWidth="1"/>
    <col min="39" max="41" width="2.7109375" style="51" customWidth="1"/>
    <col min="42" max="42" width="5.7109375" style="51" customWidth="1"/>
    <col min="43" max="45" width="2.7109375" style="51" customWidth="1"/>
    <col min="46" max="46" width="5.7109375" style="51" customWidth="1"/>
    <col min="47" max="49" width="2.7109375" style="51" customWidth="1"/>
    <col min="50" max="50" width="5.7109375" style="51" customWidth="1"/>
    <col min="51" max="53" width="2.7109375" style="51" customWidth="1"/>
    <col min="54" max="54" width="5.7109375" style="51" customWidth="1"/>
    <col min="55" max="55" width="5.7109375" style="6" customWidth="1"/>
    <col min="56" max="58" width="2.7109375" style="6" customWidth="1"/>
    <col min="59" max="59" width="5.7109375" style="6" customWidth="1"/>
    <col min="60" max="60" width="5.7109375" style="53" hidden="1" customWidth="1"/>
    <col min="61" max="63" width="2.7109375" style="51" customWidth="1"/>
    <col min="64" max="64" width="5.7109375" style="51" customWidth="1"/>
    <col min="65" max="65" width="2.7109375" style="6" customWidth="1"/>
    <col min="66" max="66" width="5.7109375" style="6" customWidth="1"/>
    <col min="67" max="67" width="5.7109375" style="4" customWidth="1"/>
    <col min="68" max="68" width="5.7109375" style="56" customWidth="1"/>
    <col min="69" max="69" width="5.7109375" style="26" customWidth="1"/>
    <col min="70" max="78" width="5.7109375" style="26" hidden="1" customWidth="1"/>
    <col min="79" max="79" width="5.7109375" style="26" customWidth="1"/>
    <col min="80" max="80" width="5.7109375" style="51" customWidth="1"/>
    <col min="81" max="81" width="9.7109375" style="8" customWidth="1"/>
    <col min="82" max="82" width="9.7109375" style="51" customWidth="1"/>
    <col min="83" max="83" width="3.7109375" style="51" customWidth="1"/>
    <col min="84" max="84" width="5.7109375" style="51" customWidth="1"/>
    <col min="85" max="86" width="9.7109375" style="51" customWidth="1"/>
    <col min="87" max="87" width="3.7109375" style="51" customWidth="1"/>
    <col min="88" max="88" width="6.7109375" style="51" customWidth="1"/>
    <col min="89" max="90" width="9.7109375" style="51" customWidth="1"/>
    <col min="91" max="91" width="5.7109375" style="51" customWidth="1"/>
    <col min="92" max="97" width="6.7109375" style="51" customWidth="1"/>
    <col min="98" max="98" width="5.7109375" style="51" customWidth="1"/>
    <col min="99" max="99" width="8.7109375" style="29" customWidth="1"/>
    <col min="100" max="101" width="10.7109375" style="29" customWidth="1"/>
    <col min="102" max="107" width="5.7109375" style="29" customWidth="1"/>
    <col min="108" max="108" width="10.7109375" style="29" customWidth="1"/>
    <col min="109" max="114" width="5.7109375" style="29" customWidth="1"/>
    <col min="115" max="115" width="9.140625" style="51" customWidth="1"/>
    <col min="116" max="116" width="40.7109375" style="61" hidden="1" customWidth="1"/>
    <col min="117" max="117" width="0" style="15" hidden="1" customWidth="1"/>
    <col min="118" max="118" width="0" style="58" hidden="1" customWidth="1"/>
    <col min="119" max="119" width="0" style="29" hidden="1" customWidth="1"/>
    <col min="120" max="123" width="9.140625" style="29"/>
    <col min="124" max="124" width="0" style="29" hidden="1" customWidth="1"/>
    <col min="125" max="16384" width="9.140625" style="29"/>
  </cols>
  <sheetData>
    <row r="1" spans="1:124" s="6" customFormat="1" ht="48" customHeight="1" thickBot="1" x14ac:dyDescent="0.25">
      <c r="A1" s="4"/>
      <c r="B1" s="166"/>
      <c r="C1" s="4"/>
      <c r="D1" s="4"/>
      <c r="E1" s="4"/>
      <c r="F1" s="4"/>
      <c r="G1" s="5"/>
      <c r="H1" s="4"/>
      <c r="I1" s="4"/>
      <c r="J1" s="4"/>
      <c r="K1" s="4"/>
      <c r="L1" s="4"/>
      <c r="M1" s="4"/>
      <c r="N1" s="4"/>
      <c r="O1" s="4"/>
      <c r="P1" s="4"/>
      <c r="Q1" s="4"/>
      <c r="R1" s="4"/>
      <c r="S1" s="4"/>
      <c r="T1" s="4"/>
      <c r="U1" s="4"/>
      <c r="V1" s="4"/>
      <c r="W1" s="4"/>
      <c r="X1" s="4"/>
      <c r="Y1" s="4"/>
      <c r="Z1" s="167" t="s">
        <v>128</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8"/>
      <c r="BP1" s="9"/>
      <c r="CB1" s="8"/>
      <c r="CC1" s="8"/>
      <c r="CD1" s="8"/>
      <c r="CE1" s="8"/>
      <c r="CF1" s="8"/>
      <c r="CG1" s="8"/>
      <c r="CH1" s="8"/>
      <c r="CI1" s="8"/>
      <c r="CJ1" s="8"/>
      <c r="CK1" s="8"/>
      <c r="CL1" s="8"/>
      <c r="CM1" s="8"/>
      <c r="CN1" s="8"/>
      <c r="CO1" s="8"/>
      <c r="CP1" s="8"/>
      <c r="CQ1" s="8"/>
      <c r="CR1" s="8"/>
      <c r="CS1" s="8"/>
      <c r="CT1" s="8"/>
      <c r="DK1" s="8"/>
      <c r="DL1" s="168"/>
      <c r="DM1" s="201"/>
      <c r="DN1" s="202"/>
    </row>
    <row r="2" spans="1:124" s="6" customFormat="1" ht="21" customHeight="1" thickTop="1" thickBot="1" x14ac:dyDescent="0.25">
      <c r="A2" s="10"/>
      <c r="B2" s="285" t="str">
        <f>$BP$37</f>
        <v>Week 1 Final</v>
      </c>
      <c r="C2" s="286"/>
      <c r="D2" s="286"/>
      <c r="E2" s="286"/>
      <c r="F2" s="287"/>
      <c r="G2" s="272" t="s">
        <v>129</v>
      </c>
      <c r="H2" s="272"/>
      <c r="I2" s="272"/>
      <c r="J2" s="254">
        <f>IF(G2="","",IF(AND(COUNTBLANK($BD$5:$BD$8)&lt;4,I10=1),$BO$6/$BO$12,0) + IF(AND(COUNTBLANK($BD$13:$BD$16)&lt;4,I18=1),$BO$6/$BO$20,0) + IF(AND(COUNTBLANK($BD$21:$BD$22)&lt;2,I24=1),$BO$6/$BO$26,0) + IF(AND(COUNTBLANK($BD$27:$BD$27)&lt;1,I29=1),$BO$6/$BO$31,0) + IF($BD$5="",0,IF(I32=2,$BO$8/$BP$33,0)) + IF($BD$5="",0,IF(I32=1,$BO$7/$BO$33,0)) + IF($BD$5="",0,IF(AND($BP$33=0,I32=1),$BO$8/$BO$33,0)) - $BO$4)</f>
        <v>-10</v>
      </c>
      <c r="K2" s="271" t="s">
        <v>130</v>
      </c>
      <c r="L2" s="272"/>
      <c r="M2" s="272"/>
      <c r="N2" s="254">
        <f>IF(K2="","",IF(AND(COUNTBLANK($BD$5:$BD$8)&lt;4,M10=1),$BO$6/$BO$12,0) + IF(AND(COUNTBLANK($BD$13:$BD$16)&lt;4,M18=1),$BO$6/$BO$20,0) + IF(AND(COUNTBLANK($BD$21:$BD$22)&lt;2,M24=1),$BO$6/$BO$26,0) + IF(AND(COUNTBLANK($BD$27:$BD$27)&lt;1,M29=1),$BO$6/$BO$31,0) + IF($BD$5="",0,IF(M32=2,$BO$8/$BP$33,0)) + IF($BD$5="",0,IF(M32=1,$BO$7/$BO$33,0)) + IF($BD$5="",0,IF(AND($BP$33=0,M32=1),$BO$8/$BO$33,0)) - $BO$4)</f>
        <v>-10</v>
      </c>
      <c r="O2" s="271" t="s">
        <v>131</v>
      </c>
      <c r="P2" s="272"/>
      <c r="Q2" s="272"/>
      <c r="R2" s="254">
        <f>IF(O2="","",IF(AND(COUNTBLANK($BD$5:$BD$8)&lt;4,Q10=1),$BO$6/$BO$12,0) + IF(AND(COUNTBLANK($BD$13:$BD$16)&lt;4,Q18=1),$BO$6/$BO$20,0) + IF(AND(COUNTBLANK($BD$21:$BD$22)&lt;2,Q24=1),$BO$6/$BO$26,0) + IF(AND(COUNTBLANK($BD$27:$BD$27)&lt;1,Q29=1),$BO$6/$BO$31,0) + IF($BD$5="",0,IF(Q32=2,$BO$8/$BP$33,0)) + IF($BD$5="",0,IF(Q32=1,$BO$7/$BO$33,0)) + IF($BD$5="",0,IF(AND($BP$33=0,Q32=1),$BO$8/$BO$33,0)) - $BO$4)</f>
        <v>-10</v>
      </c>
      <c r="S2" s="271" t="s">
        <v>132</v>
      </c>
      <c r="T2" s="272"/>
      <c r="U2" s="272"/>
      <c r="V2" s="254">
        <f>IF(S2="","",IF(AND(COUNTBLANK($BD$5:$BD$8)&lt;4,U10=1),$BO$6/$BO$12,0) + IF(AND(COUNTBLANK($BD$13:$BD$16)&lt;4,U18=1),$BO$6/$BO$20,0) + IF(AND(COUNTBLANK($BD$21:$BD$22)&lt;2,U24=1),$BO$6/$BO$26,0) + IF(AND(COUNTBLANK($BD$27:$BD$27)&lt;1,U29=1),$BO$6/$BO$31,0) + IF($BD$5="",0,IF(U32=2,$BO$8/$BP$33,0)) + IF($BD$5="",0,IF(U32=1,$BO$7/$BO$33,0)) + IF($BD$5="",0,IF(AND($BP$33=0,U32=1),$BO$8/$BO$33,0)) - $BO$4)</f>
        <v>-10</v>
      </c>
      <c r="W2" s="271" t="s">
        <v>133</v>
      </c>
      <c r="X2" s="272"/>
      <c r="Y2" s="272"/>
      <c r="Z2" s="254">
        <f>IF(W2="","",IF(AND(COUNTBLANK($BD$5:$BD$8)&lt;4,Y10=1),$BO$6/$BO$12,0) + IF(AND(COUNTBLANK($BD$13:$BD$16)&lt;4,Y18=1),$BO$6/$BO$20,0) + IF(AND(COUNTBLANK($BD$21:$BD$22)&lt;2,Y24=1),$BO$6/$BO$26,0) + IF(AND(COUNTBLANK($BD$27:$BD$27)&lt;1,Y29=1),$BO$6/$BO$31,0) + IF($BD$5="",0,IF(Y32=2,$BO$8/$BP$33,0)) + IF($BD$5="",0,IF(Y32=1,$BO$7/$BO$33,0)) + IF($BD$5="",0,IF(AND($BP$33=0,Y32=1),$BO$8/$BO$33,0)) - $BO$4)</f>
        <v>-10</v>
      </c>
      <c r="AA2" s="271" t="s">
        <v>134</v>
      </c>
      <c r="AB2" s="272"/>
      <c r="AC2" s="272"/>
      <c r="AD2" s="254">
        <f>IF(AA2="","",IF(AND(COUNTBLANK($BD$5:$BD$8)&lt;4,AC10=1),$BO$6/$BO$12,0) + IF(AND(COUNTBLANK($BD$13:$BD$16)&lt;4,AC18=1),$BO$6/$BO$20,0) + IF(AND(COUNTBLANK($BD$21:$BD$22)&lt;2,AC24=1),$BO$6/$BO$26,0) + IF(AND(COUNTBLANK($BD$27:$BD$27)&lt;1,AC29=1),$BO$6/$BO$31,0) + IF($BD$5="",0,IF(AC32=2,$BO$8/$BP$33,0)) + IF($BD$5="",0,IF(AC32=1,$BO$7/$BO$33,0)) + IF($BD$5="",0,IF(AND($BP$33=0,AC32=1),$BO$8/$BO$33,0)) - $BO$4)</f>
        <v>60</v>
      </c>
      <c r="AE2" s="271" t="s">
        <v>135</v>
      </c>
      <c r="AF2" s="272"/>
      <c r="AG2" s="272"/>
      <c r="AH2" s="254">
        <f>IF(AE2="","",IF(AND(COUNTBLANK($BD$5:$BD$8)&lt;4,AG10=1),$BO$6/$BO$12,0) + IF(AND(COUNTBLANK($BD$13:$BD$16)&lt;4,AG18=1),$BO$6/$BO$20,0) + IF(AND(COUNTBLANK($BD$21:$BD$22)&lt;2,AG24=1),$BO$6/$BO$26,0) + IF(AND(COUNTBLANK($BD$27:$BD$27)&lt;1,AG29=1),$BO$6/$BO$31,0) + IF($BD$5="",0,IF(AG32=2,$BO$8/$BP$33,0)) + IF($BD$5="",0,IF(AG32=1,$BO$7/$BO$33,0)) + IF($BD$5="",0,IF(AND($BP$33=0,AG32=1),$BO$8/$BO$33,0)) - $BO$4)</f>
        <v>-10</v>
      </c>
      <c r="AI2" s="271" t="s">
        <v>136</v>
      </c>
      <c r="AJ2" s="272"/>
      <c r="AK2" s="272"/>
      <c r="AL2" s="254">
        <f>IF(AI2="","",IF(AND(COUNTBLANK($BD$5:$BD$8)&lt;4,AK10=1),$BO$6/$BO$12,0) + IF(AND(COUNTBLANK($BD$13:$BD$16)&lt;4,AK18=1),$BO$6/$BO$20,0) + IF(AND(COUNTBLANK($BD$21:$BD$22)&lt;2,AK24=1),$BO$6/$BO$26,0) + IF(AND(COUNTBLANK($BD$27:$BD$27)&lt;1,AK29=1),$BO$6/$BO$31,0) + IF($BD$5="",0,IF(AK32=2,$BO$8/$BP$33,0)) + IF($BD$5="",0,IF(AK32=1,$BO$7/$BO$33,0)) + IF($BD$5="",0,IF(AND($BP$33=0,AK32=1),$BO$8/$BO$33,0)) - $BO$4)</f>
        <v>-10</v>
      </c>
      <c r="AM2" s="271" t="s">
        <v>137</v>
      </c>
      <c r="AN2" s="272"/>
      <c r="AO2" s="272"/>
      <c r="AP2" s="254">
        <f>IF(AM2="","",IF(AND(COUNTBLANK($BD$5:$BD$8)&lt;4,AO10=1),$BO$6/$BO$12,0) + IF(AND(COUNTBLANK($BD$13:$BD$16)&lt;4,AO18=1),$BO$6/$BO$20,0) + IF(AND(COUNTBLANK($BD$21:$BD$22)&lt;2,AO24=1),$BO$6/$BO$26,0) + IF(AND(COUNTBLANK($BD$27:$BD$27)&lt;1,AO29=1),$BO$6/$BO$31,0) + IF($BD$5="",0,IF(AO32=2,$BO$8/$BP$33,0)) + IF($BD$5="",0,IF(AO32=1,$BO$7/$BO$33,0)) + IF($BD$5="",0,IF(AND($BP$33=0,AO32=1),$BO$8/$BO$33,0)) - $BO$4)</f>
        <v>-10</v>
      </c>
      <c r="AQ2" s="271" t="s">
        <v>138</v>
      </c>
      <c r="AR2" s="272"/>
      <c r="AS2" s="272"/>
      <c r="AT2" s="254">
        <f>IF(AQ2="","",IF(AND(COUNTBLANK($BD$5:$BD$8)&lt;4,AS10=1),$BO$6/$BO$12,0) + IF(AND(COUNTBLANK($BD$13:$BD$16)&lt;4,AS18=1),$BO$6/$BO$20,0) + IF(AND(COUNTBLANK($BD$21:$BD$22)&lt;2,AS24=1),$BO$6/$BO$26,0) + IF(AND(COUNTBLANK($BD$27:$BD$27)&lt;1,AS29=1),$BO$6/$BO$31,0) + IF($BD$5="",0,IF(AS32=2,$BO$8/$BP$33,0)) + IF($BD$5="",0,IF(AS32=1,$BO$7/$BO$33,0)) + IF($BD$5="",0,IF(AND($BP$33=0,AS32=1),$BO$8/$BO$33,0)) - $BO$4)</f>
        <v>-10</v>
      </c>
      <c r="AU2" s="271" t="s">
        <v>139</v>
      </c>
      <c r="AV2" s="272"/>
      <c r="AW2" s="272"/>
      <c r="AX2" s="254">
        <f>IF(AU2="","",IF(AND(COUNTBLANK($BD$5:$BD$8)&lt;4,AW10=1),$BO$6/$BO$12,0) + IF(AND(COUNTBLANK($BD$13:$BD$16)&lt;4,AW18=1),$BO$6/$BO$20,0) + IF(AND(COUNTBLANK($BD$21:$BD$22)&lt;2,AW24=1),$BO$6/$BO$26,0) + IF(AND(COUNTBLANK($BD$27:$BD$27)&lt;1,AW29=1),$BO$6/$BO$31,0) + IF($BD$5="",0,IF(AW32=2,$BO$8/$BP$33,0)) + IF($BD$5="",0,IF(AW32=1,$BO$7/$BO$33,0)) + IF($BD$5="",0,IF(AND($BP$33=0,AW32=1),$BO$8/$BO$33,0)) - $BO$4)</f>
        <v>10</v>
      </c>
      <c r="AY2" s="271" t="s">
        <v>140</v>
      </c>
      <c r="AZ2" s="272"/>
      <c r="BA2" s="272"/>
      <c r="BB2" s="255">
        <f>IF(AY2="","",IF(AND(COUNTBLANK($BD$5:$BD$8)&lt;4,BA10=1),$BO$6/$BO$12,0) + IF(AND(COUNTBLANK($BD$13:$BD$16)&lt;4,BA18=1),$BO$6/$BO$20,0) + IF(AND(COUNTBLANK($BD$21:$BD$22)&lt;2,BA24=1),$BO$6/$BO$26,0) + IF(AND(COUNTBLANK($BD$27:$BD$27)&lt;1,BA29=1),$BO$6/$BO$31,0) + IF($BD$5="",0,IF(BA32=2,$BO$8/$BP$33,0)) + IF($BD$5="",0,IF(BA32=1,$BO$7/$BO$33,0)) + IF($BD$5="",0,IF(AND($BP$33=0,BA32=1),$BO$8/$BO$33,0)) - $BO$4)</f>
        <v>-10</v>
      </c>
      <c r="BC2" s="180"/>
      <c r="BD2" s="179"/>
      <c r="BE2" s="179"/>
      <c r="BF2" s="179"/>
      <c r="BG2" s="179"/>
      <c r="BH2" s="7"/>
      <c r="BI2" s="281" t="s">
        <v>59</v>
      </c>
      <c r="BJ2" s="272"/>
      <c r="BK2" s="272"/>
      <c r="BL2" s="282"/>
      <c r="BQ2" s="11"/>
      <c r="BR2" s="11"/>
      <c r="BS2" s="11"/>
      <c r="BT2" s="11"/>
      <c r="BU2" s="11"/>
      <c r="BV2" s="11"/>
      <c r="BW2" s="11"/>
      <c r="BX2" s="11"/>
      <c r="BY2" s="12"/>
      <c r="BZ2" s="12"/>
      <c r="CA2" s="13"/>
      <c r="CB2" s="8"/>
      <c r="CC2" s="8"/>
      <c r="CD2" s="8"/>
      <c r="CE2" s="8"/>
      <c r="CF2" s="8"/>
      <c r="CG2" s="8"/>
      <c r="CH2" s="8"/>
      <c r="CI2" s="8"/>
      <c r="CJ2" s="8"/>
      <c r="CK2" s="8"/>
      <c r="CL2" s="8"/>
      <c r="CM2" s="8"/>
      <c r="CN2" s="8"/>
      <c r="CO2" s="8"/>
      <c r="CP2" s="8"/>
      <c r="CQ2" s="8"/>
      <c r="CR2" s="8"/>
      <c r="CS2" s="8"/>
      <c r="CT2" s="8"/>
      <c r="DK2" s="8"/>
      <c r="DL2" s="203"/>
    </row>
    <row r="3" spans="1:124" s="6" customFormat="1" ht="8.1" customHeight="1" thickBot="1" x14ac:dyDescent="0.25">
      <c r="A3" s="10"/>
      <c r="B3" s="181"/>
      <c r="C3" s="102"/>
      <c r="D3" s="102"/>
      <c r="E3" s="172"/>
      <c r="F3" s="182"/>
      <c r="G3" s="177"/>
      <c r="H3" s="158"/>
      <c r="I3" s="177"/>
      <c r="J3" s="183"/>
      <c r="K3" s="177"/>
      <c r="L3" s="158"/>
      <c r="M3" s="177"/>
      <c r="N3" s="183"/>
      <c r="O3" s="177"/>
      <c r="P3" s="158"/>
      <c r="Q3" s="177"/>
      <c r="R3" s="183"/>
      <c r="S3" s="177"/>
      <c r="T3" s="158"/>
      <c r="U3" s="177"/>
      <c r="V3" s="183"/>
      <c r="W3" s="177"/>
      <c r="X3" s="158"/>
      <c r="Y3" s="177"/>
      <c r="Z3" s="183"/>
      <c r="AA3" s="177"/>
      <c r="AB3" s="158"/>
      <c r="AC3" s="177"/>
      <c r="AD3" s="183"/>
      <c r="AE3" s="177"/>
      <c r="AF3" s="158"/>
      <c r="AG3" s="177"/>
      <c r="AH3" s="183"/>
      <c r="AI3" s="177"/>
      <c r="AJ3" s="158"/>
      <c r="AK3" s="177"/>
      <c r="AL3" s="183"/>
      <c r="AM3" s="177"/>
      <c r="AN3" s="158"/>
      <c r="AO3" s="177"/>
      <c r="AP3" s="183"/>
      <c r="AQ3" s="177"/>
      <c r="AR3" s="158"/>
      <c r="AS3" s="177"/>
      <c r="AT3" s="183"/>
      <c r="AU3" s="177"/>
      <c r="AV3" s="158"/>
      <c r="AW3" s="177"/>
      <c r="AX3" s="183"/>
      <c r="AY3" s="177"/>
      <c r="AZ3" s="158"/>
      <c r="BA3" s="177"/>
      <c r="BB3" s="159"/>
      <c r="BC3" s="117"/>
      <c r="BD3" s="117"/>
      <c r="BE3" s="117"/>
      <c r="BF3" s="117"/>
      <c r="BG3" s="117"/>
      <c r="BH3" s="30"/>
      <c r="BI3" s="157"/>
      <c r="BJ3" s="158"/>
      <c r="BK3" s="177"/>
      <c r="BL3" s="159"/>
      <c r="BQ3" s="11"/>
      <c r="BR3" s="11"/>
      <c r="BS3" s="11"/>
      <c r="BT3" s="11"/>
      <c r="BU3" s="11"/>
      <c r="BV3" s="11"/>
      <c r="BW3" s="11"/>
      <c r="BX3" s="11"/>
      <c r="BY3" s="12"/>
      <c r="BZ3" s="12"/>
      <c r="CA3" s="13"/>
      <c r="CB3" s="8"/>
      <c r="CC3" s="8"/>
      <c r="CD3" s="8"/>
      <c r="CE3" s="8"/>
      <c r="CF3" s="8"/>
      <c r="CG3" s="8"/>
      <c r="CH3" s="8"/>
      <c r="CI3" s="8"/>
      <c r="CJ3" s="8"/>
      <c r="CK3" s="8"/>
      <c r="CL3" s="8"/>
      <c r="CM3" s="8"/>
      <c r="CN3" s="8"/>
      <c r="CO3" s="8"/>
      <c r="CP3" s="8"/>
      <c r="CQ3" s="8"/>
      <c r="CR3" s="8"/>
      <c r="CS3" s="8"/>
      <c r="CT3" s="8"/>
      <c r="DK3" s="8"/>
      <c r="DL3" s="204"/>
    </row>
    <row r="4" spans="1:124" s="6" customFormat="1" ht="18" customHeight="1" thickBot="1" x14ac:dyDescent="0.25">
      <c r="A4" s="15"/>
      <c r="B4" s="278" t="s">
        <v>123</v>
      </c>
      <c r="C4" s="279"/>
      <c r="D4" s="279"/>
      <c r="E4" s="279"/>
      <c r="F4" s="280"/>
      <c r="G4" s="241"/>
      <c r="H4" s="241" t="s">
        <v>127</v>
      </c>
      <c r="I4" s="242"/>
      <c r="J4" s="243" t="s">
        <v>1</v>
      </c>
      <c r="K4" s="244"/>
      <c r="L4" s="241" t="s">
        <v>127</v>
      </c>
      <c r="M4" s="242"/>
      <c r="N4" s="243" t="s">
        <v>1</v>
      </c>
      <c r="O4" s="244"/>
      <c r="P4" s="241" t="s">
        <v>127</v>
      </c>
      <c r="Q4" s="242"/>
      <c r="R4" s="243" t="s">
        <v>1</v>
      </c>
      <c r="S4" s="244"/>
      <c r="T4" s="241" t="s">
        <v>127</v>
      </c>
      <c r="U4" s="242"/>
      <c r="V4" s="243" t="s">
        <v>1</v>
      </c>
      <c r="W4" s="244"/>
      <c r="X4" s="241" t="s">
        <v>127</v>
      </c>
      <c r="Y4" s="242"/>
      <c r="Z4" s="243" t="s">
        <v>1</v>
      </c>
      <c r="AA4" s="244"/>
      <c r="AB4" s="241" t="s">
        <v>127</v>
      </c>
      <c r="AC4" s="242"/>
      <c r="AD4" s="243" t="s">
        <v>1</v>
      </c>
      <c r="AE4" s="244"/>
      <c r="AF4" s="241" t="s">
        <v>127</v>
      </c>
      <c r="AG4" s="242"/>
      <c r="AH4" s="243" t="s">
        <v>1</v>
      </c>
      <c r="AI4" s="244"/>
      <c r="AJ4" s="241" t="s">
        <v>127</v>
      </c>
      <c r="AK4" s="242"/>
      <c r="AL4" s="243" t="s">
        <v>1</v>
      </c>
      <c r="AM4" s="244"/>
      <c r="AN4" s="241" t="s">
        <v>127</v>
      </c>
      <c r="AO4" s="242"/>
      <c r="AP4" s="243" t="s">
        <v>1</v>
      </c>
      <c r="AQ4" s="244"/>
      <c r="AR4" s="241" t="s">
        <v>127</v>
      </c>
      <c r="AS4" s="242"/>
      <c r="AT4" s="243" t="s">
        <v>1</v>
      </c>
      <c r="AU4" s="244"/>
      <c r="AV4" s="241" t="s">
        <v>127</v>
      </c>
      <c r="AW4" s="242"/>
      <c r="AX4" s="243" t="s">
        <v>1</v>
      </c>
      <c r="AY4" s="244"/>
      <c r="AZ4" s="241" t="s">
        <v>127</v>
      </c>
      <c r="BA4" s="242"/>
      <c r="BB4" s="245" t="s">
        <v>1</v>
      </c>
      <c r="BC4" s="283" t="s">
        <v>119</v>
      </c>
      <c r="BD4" s="284"/>
      <c r="BE4" s="284"/>
      <c r="BF4" s="284"/>
      <c r="BG4" s="284"/>
      <c r="BH4" s="7"/>
      <c r="BI4" s="246"/>
      <c r="BJ4" s="241" t="s">
        <v>127</v>
      </c>
      <c r="BK4" s="242"/>
      <c r="BL4" s="245" t="s">
        <v>1</v>
      </c>
      <c r="BO4" s="16">
        <v>10</v>
      </c>
      <c r="BP4" s="17" t="s">
        <v>10</v>
      </c>
      <c r="BQ4" s="15"/>
      <c r="BR4" s="15"/>
      <c r="BS4" s="15"/>
      <c r="BT4" s="15"/>
      <c r="BU4" s="15"/>
      <c r="BV4" s="15"/>
      <c r="BW4" s="15"/>
      <c r="BX4" s="15"/>
      <c r="BY4" s="12"/>
      <c r="BZ4" s="12"/>
      <c r="CA4" s="4"/>
      <c r="CB4" s="8"/>
      <c r="CC4" s="8"/>
      <c r="CD4" s="8"/>
      <c r="CE4" s="8"/>
      <c r="CF4" s="8"/>
      <c r="CG4" s="8"/>
      <c r="CH4" s="8"/>
      <c r="CI4" s="8"/>
      <c r="CJ4" s="8"/>
      <c r="CK4" s="8"/>
      <c r="CL4" s="8"/>
      <c r="CM4" s="8"/>
      <c r="CN4" s="8"/>
      <c r="CO4" s="8"/>
      <c r="CP4" s="8"/>
      <c r="CQ4" s="8"/>
      <c r="CR4" s="8"/>
      <c r="CS4" s="8"/>
      <c r="CT4" s="8"/>
      <c r="DK4" s="8"/>
      <c r="DL4" s="256" t="s">
        <v>61</v>
      </c>
    </row>
    <row r="5" spans="1:124" s="6" customFormat="1" ht="15" customHeight="1" x14ac:dyDescent="0.2">
      <c r="A5" s="19"/>
      <c r="B5" s="303">
        <v>19</v>
      </c>
      <c r="C5" s="109" t="s">
        <v>143</v>
      </c>
      <c r="D5" s="109" t="s">
        <v>3</v>
      </c>
      <c r="E5" s="259" t="s">
        <v>144</v>
      </c>
      <c r="F5" s="306">
        <v>22</v>
      </c>
      <c r="G5" s="120" t="s">
        <v>9</v>
      </c>
      <c r="H5" s="120" t="s">
        <v>0</v>
      </c>
      <c r="I5" s="121">
        <v>2</v>
      </c>
      <c r="J5" s="115">
        <f>IF(OR(G$2="",G5="",I5=""),"",IF($BD5="","",IF(G5=$BD5,ABS(I5-$BF5),ABS(I5+$BF5))+IF(G5&lt;&gt;$BD5,$BO$5,0)))</f>
        <v>1</v>
      </c>
      <c r="K5" s="262" t="s">
        <v>8</v>
      </c>
      <c r="L5" s="120" t="s">
        <v>0</v>
      </c>
      <c r="M5" s="121">
        <v>6</v>
      </c>
      <c r="N5" s="115">
        <f>IF(OR(K$2="",K5="",M5=""),"",IF($BD5="","",IF(K5=$BD5,ABS(M5-$BF5),ABS(M5+$BF5))+IF(K5&lt;&gt;$BD5,$BO$5,0)))</f>
        <v>16</v>
      </c>
      <c r="O5" s="262" t="s">
        <v>9</v>
      </c>
      <c r="P5" s="120" t="s">
        <v>0</v>
      </c>
      <c r="Q5" s="121">
        <v>3</v>
      </c>
      <c r="R5" s="115">
        <f>IF(OR(O$2="",O5="",Q5=""),"",IF($BD5="","",IF(O5=$BD5,ABS(Q5-$BF5),ABS(Q5+$BF5))+IF(O5&lt;&gt;$BD5,$BO$5,0)))</f>
        <v>0</v>
      </c>
      <c r="S5" s="262" t="s">
        <v>9</v>
      </c>
      <c r="T5" s="120" t="s">
        <v>0</v>
      </c>
      <c r="U5" s="121">
        <v>8</v>
      </c>
      <c r="V5" s="115">
        <f>IF(OR(S$2="",S5="",U5=""),"",IF($BD5="","",IF(S5=$BD5,ABS(U5-$BF5),ABS(U5+$BF5))+IF(S5&lt;&gt;$BD5,$BO$5,0)))</f>
        <v>5</v>
      </c>
      <c r="W5" s="262" t="s">
        <v>8</v>
      </c>
      <c r="X5" s="120" t="s">
        <v>0</v>
      </c>
      <c r="Y5" s="121">
        <v>3</v>
      </c>
      <c r="Z5" s="115">
        <f>IF(OR(W$2="",W5="",Y5=""),"",IF($BD5="","",IF(W5=$BD5,ABS(Y5-$BF5),ABS(Y5+$BF5))+IF(W5&lt;&gt;$BD5,$BO$5,0)))</f>
        <v>13</v>
      </c>
      <c r="AA5" s="262" t="s">
        <v>9</v>
      </c>
      <c r="AB5" s="120" t="s">
        <v>0</v>
      </c>
      <c r="AC5" s="121">
        <v>3</v>
      </c>
      <c r="AD5" s="115">
        <f>IF(OR(AA$2="",AA5="",AC5=""),"",IF($BD5="","",IF(AA5=$BD5,ABS(AC5-$BF5),ABS(AC5+$BF5))+IF(AA5&lt;&gt;$BD5,$BO$5,0)))</f>
        <v>0</v>
      </c>
      <c r="AE5" s="262" t="s">
        <v>9</v>
      </c>
      <c r="AF5" s="120" t="s">
        <v>0</v>
      </c>
      <c r="AG5" s="121">
        <v>4</v>
      </c>
      <c r="AH5" s="115">
        <f>IF(OR(AE$2="",AE5="",AG5=""),"",IF($BD5="","",IF(AE5=$BD5,ABS(AG5-$BF5),ABS(AG5+$BF5))+IF(AE5&lt;&gt;$BD5,$BO$5,0)))</f>
        <v>1</v>
      </c>
      <c r="AI5" s="262" t="s">
        <v>8</v>
      </c>
      <c r="AJ5" s="120" t="s">
        <v>0</v>
      </c>
      <c r="AK5" s="121">
        <v>1</v>
      </c>
      <c r="AL5" s="115">
        <f>IF(OR(AI$2="",AI5="",AK5=""),"",IF($BD5="","",IF(AI5=$BD5,ABS(AK5-$BF5),ABS(AK5+$BF5))+IF(AI5&lt;&gt;$BD5,$BO$5,0)))</f>
        <v>11</v>
      </c>
      <c r="AM5" s="262" t="s">
        <v>9</v>
      </c>
      <c r="AN5" s="120" t="s">
        <v>0</v>
      </c>
      <c r="AO5" s="121">
        <v>2</v>
      </c>
      <c r="AP5" s="115">
        <f>IF(OR(AM$2="",AM5="",AO5=""),"",IF($BD5="","",IF(AM5=$BD5,ABS(AO5-$BF5),ABS(AO5+$BF5))+IF(AM5&lt;&gt;$BD5,$BO$5,0)))</f>
        <v>1</v>
      </c>
      <c r="AQ5" s="262" t="s">
        <v>9</v>
      </c>
      <c r="AR5" s="120" t="s">
        <v>0</v>
      </c>
      <c r="AS5" s="121">
        <v>3</v>
      </c>
      <c r="AT5" s="115">
        <f>IF(OR(AQ$2="",AQ5="",AS5=""),"",IF($BD5="","",IF(AQ5=$BD5,ABS(AS5-$BF5),ABS(AS5+$BF5))+IF(AQ5&lt;&gt;$BD5,$BO$5,0)))</f>
        <v>0</v>
      </c>
      <c r="AU5" s="262" t="s">
        <v>9</v>
      </c>
      <c r="AV5" s="120" t="s">
        <v>0</v>
      </c>
      <c r="AW5" s="121">
        <v>3</v>
      </c>
      <c r="AX5" s="115">
        <f>IF(OR(AU$2="",AU5="",AW5=""),"",IF($BD5="","",IF(AU5=$BD5,ABS(AW5-$BF5),ABS(AW5+$BF5))+IF(AU5&lt;&gt;$BD5,$BO$5,0)))</f>
        <v>0</v>
      </c>
      <c r="AY5" s="262" t="s">
        <v>8</v>
      </c>
      <c r="AZ5" s="120" t="s">
        <v>0</v>
      </c>
      <c r="BA5" s="121">
        <v>3</v>
      </c>
      <c r="BB5" s="116">
        <f>IF(OR(AY$2="",AY5="",BA5=""),"",IF($BD5="","",IF(AY5=$BD5,ABS(BA5-$BF5),ABS(BA5+$BF5))+IF(AY5&lt;&gt;$BD5,$BO$5,0)))</f>
        <v>13</v>
      </c>
      <c r="BC5" s="117"/>
      <c r="BD5" s="118" t="str">
        <f>IF(OR(B5="",F5="",B5=F5),"",IF(B5&gt;F5,"V","H"))</f>
        <v>H</v>
      </c>
      <c r="BE5" s="118" t="s">
        <v>0</v>
      </c>
      <c r="BF5" s="118">
        <f>IF(OR(B5="",F5="",B5=F5),"",ABS(B5-F5))</f>
        <v>3</v>
      </c>
      <c r="BG5" s="118"/>
      <c r="BH5" s="235">
        <f t="shared" ref="BH5:BH8" si="0">SUM(IF(G5="H",I5,-I5),IF(K5="H",M5,-M5),IF(O5="H",Q5,-Q5),IF(S5="H",U5,-U5),IF(W5="H",Y5,-Y5),IF(AA5="H",AC5,-AC5),IF(AE5="H",AG5,-AG5),IF(AI5="H",AK5,-AK5),IF(AM5="H",AO5,-AO5),IF(AQ5="H",AS5,-AS5),IF(AU5="H",AW5,-AW5),IF(AY5="H",BA5,-BA5))</f>
        <v>15</v>
      </c>
      <c r="BI5" s="119" t="str">
        <f>IF(COUNTA(G5,K5,O5,S5,W5,AA5,AE5,AI5,AM5,AQ5,AU5,AY5)&gt;0,IF(BH5&lt;0,"V","H"),"")</f>
        <v>H</v>
      </c>
      <c r="BJ5" s="120" t="s">
        <v>0</v>
      </c>
      <c r="BK5" s="121">
        <f>IF(BI5="","",IF(ABS(BH5)&lt;(COUNTA(G5,K5,O5,S5,W5,AA5,AE5,AI5,AM5,AQ5,AU5,AY5)/2),1,ROUND(ABS(BH5)/COUNTA(G5,K5,O5,S5,W5,AA5,AE5,AI5,AM5,AQ5,AU5,AY5),0)))</f>
        <v>1</v>
      </c>
      <c r="BL5" s="116">
        <f>IF(OR(BI5="",BK5=""),"",IF($BD5="","",IF(BI5=$BD5,ABS(BK5-$BF5),ABS(BK5+$BF5))+IF(BI5&lt;&gt;$BD5,$BO$5,0)))</f>
        <v>2</v>
      </c>
      <c r="BM5" s="20"/>
      <c r="BO5" s="16">
        <v>7</v>
      </c>
      <c r="BP5" s="17" t="s">
        <v>23</v>
      </c>
      <c r="BQ5" s="21"/>
      <c r="BR5" s="21"/>
      <c r="BS5" s="21"/>
      <c r="BT5" s="21"/>
      <c r="BU5" s="21"/>
      <c r="BV5" s="21"/>
      <c r="BW5" s="21"/>
      <c r="BX5" s="21"/>
      <c r="BY5" s="12"/>
      <c r="BZ5" s="12"/>
      <c r="CA5" s="22"/>
      <c r="CB5" s="8"/>
      <c r="CC5" s="8"/>
      <c r="CD5" s="8"/>
      <c r="CE5" s="8"/>
      <c r="CF5" s="8"/>
      <c r="CG5" s="8"/>
      <c r="CH5" s="8"/>
      <c r="CI5" s="8"/>
      <c r="CJ5" s="8"/>
      <c r="CK5" s="8"/>
      <c r="CL5" s="8"/>
      <c r="CM5" s="8"/>
      <c r="CN5" s="8"/>
      <c r="CO5" s="8"/>
      <c r="CP5" s="8"/>
      <c r="CQ5" s="8"/>
      <c r="CR5" s="8"/>
      <c r="CS5" s="8"/>
      <c r="CT5" s="8"/>
      <c r="DK5" s="8"/>
      <c r="DL5" s="23" t="s">
        <v>27</v>
      </c>
      <c r="DM5" s="14" t="s">
        <v>24</v>
      </c>
      <c r="DN5" s="14" t="s">
        <v>25</v>
      </c>
    </row>
    <row r="6" spans="1:124" s="6" customFormat="1" ht="15" customHeight="1" x14ac:dyDescent="0.2">
      <c r="A6" s="19"/>
      <c r="B6" s="304">
        <v>20</v>
      </c>
      <c r="C6" s="120" t="s">
        <v>145</v>
      </c>
      <c r="D6" s="120" t="s">
        <v>3</v>
      </c>
      <c r="E6" s="260" t="s">
        <v>146</v>
      </c>
      <c r="F6" s="307">
        <v>13</v>
      </c>
      <c r="G6" s="120" t="s">
        <v>9</v>
      </c>
      <c r="H6" s="120" t="s">
        <v>0</v>
      </c>
      <c r="I6" s="127">
        <v>3</v>
      </c>
      <c r="J6" s="115">
        <f>IF(OR(G$2="",G6="",I6=""),"",IF($BD6="","",IF(G6=$BD6,ABS(I6-$BF6),ABS(I6+$BF6))+IF(G6&lt;&gt;$BD6,$BO$5,0)))</f>
        <v>17</v>
      </c>
      <c r="K6" s="262" t="s">
        <v>9</v>
      </c>
      <c r="L6" s="120" t="s">
        <v>0</v>
      </c>
      <c r="M6" s="127">
        <v>4</v>
      </c>
      <c r="N6" s="115">
        <f>IF(OR(K$2="",K6="",M6=""),"",IF($BD6="","",IF(K6=$BD6,ABS(M6-$BF6),ABS(M6+$BF6))+IF(K6&lt;&gt;$BD6,$BO$5,0)))</f>
        <v>18</v>
      </c>
      <c r="O6" s="262" t="s">
        <v>9</v>
      </c>
      <c r="P6" s="120" t="s">
        <v>0</v>
      </c>
      <c r="Q6" s="127">
        <v>5</v>
      </c>
      <c r="R6" s="115">
        <f>IF(OR(O$2="",O6="",Q6=""),"",IF($BD6="","",IF(O6=$BD6,ABS(Q6-$BF6),ABS(Q6+$BF6))+IF(O6&lt;&gt;$BD6,$BO$5,0)))</f>
        <v>19</v>
      </c>
      <c r="S6" s="262" t="s">
        <v>9</v>
      </c>
      <c r="T6" s="120" t="s">
        <v>0</v>
      </c>
      <c r="U6" s="127">
        <v>14</v>
      </c>
      <c r="V6" s="115">
        <f>IF(OR(S$2="",S6="",U6=""),"",IF($BD6="","",IF(S6=$BD6,ABS(U6-$BF6),ABS(U6+$BF6))+IF(S6&lt;&gt;$BD6,$BO$5,0)))</f>
        <v>28</v>
      </c>
      <c r="W6" s="262" t="s">
        <v>9</v>
      </c>
      <c r="X6" s="120" t="s">
        <v>0</v>
      </c>
      <c r="Y6" s="127">
        <v>7</v>
      </c>
      <c r="Z6" s="115">
        <f>IF(OR(W$2="",W6="",Y6=""),"",IF($BD6="","",IF(W6=$BD6,ABS(Y6-$BF6),ABS(Y6+$BF6))+IF(W6&lt;&gt;$BD6,$BO$5,0)))</f>
        <v>21</v>
      </c>
      <c r="AA6" s="262" t="s">
        <v>8</v>
      </c>
      <c r="AB6" s="120" t="s">
        <v>0</v>
      </c>
      <c r="AC6" s="127">
        <v>3</v>
      </c>
      <c r="AD6" s="115">
        <f>IF(OR(AA$2="",AA6="",AC6=""),"",IF($BD6="","",IF(AA6=$BD6,ABS(AC6-$BF6),ABS(AC6+$BF6))+IF(AA6&lt;&gt;$BD6,$BO$5,0)))</f>
        <v>4</v>
      </c>
      <c r="AE6" s="262" t="s">
        <v>9</v>
      </c>
      <c r="AF6" s="120" t="s">
        <v>0</v>
      </c>
      <c r="AG6" s="127">
        <v>9</v>
      </c>
      <c r="AH6" s="115">
        <f>IF(OR(AE$2="",AE6="",AG6=""),"",IF($BD6="","",IF(AE6=$BD6,ABS(AG6-$BF6),ABS(AG6+$BF6))+IF(AE6&lt;&gt;$BD6,$BO$5,0)))</f>
        <v>23</v>
      </c>
      <c r="AI6" s="262" t="s">
        <v>9</v>
      </c>
      <c r="AJ6" s="120" t="s">
        <v>0</v>
      </c>
      <c r="AK6" s="127">
        <v>1</v>
      </c>
      <c r="AL6" s="115">
        <f>IF(OR(AI$2="",AI6="",AK6=""),"",IF($BD6="","",IF(AI6=$BD6,ABS(AK6-$BF6),ABS(AK6+$BF6))+IF(AI6&lt;&gt;$BD6,$BO$5,0)))</f>
        <v>15</v>
      </c>
      <c r="AM6" s="262" t="s">
        <v>9</v>
      </c>
      <c r="AN6" s="120" t="s">
        <v>0</v>
      </c>
      <c r="AO6" s="127">
        <v>5</v>
      </c>
      <c r="AP6" s="115">
        <f>IF(OR(AM$2="",AM6="",AO6=""),"",IF($BD6="","",IF(AM6=$BD6,ABS(AO6-$BF6),ABS(AO6+$BF6))+IF(AM6&lt;&gt;$BD6,$BO$5,0)))</f>
        <v>19</v>
      </c>
      <c r="AQ6" s="262" t="s">
        <v>9</v>
      </c>
      <c r="AR6" s="120" t="s">
        <v>0</v>
      </c>
      <c r="AS6" s="127">
        <v>7</v>
      </c>
      <c r="AT6" s="115">
        <f>IF(OR(AQ$2="",AQ6="",AS6=""),"",IF($BD6="","",IF(AQ6=$BD6,ABS(AS6-$BF6),ABS(AS6+$BF6))+IF(AQ6&lt;&gt;$BD6,$BO$5,0)))</f>
        <v>21</v>
      </c>
      <c r="AU6" s="262" t="s">
        <v>9</v>
      </c>
      <c r="AV6" s="120" t="s">
        <v>0</v>
      </c>
      <c r="AW6" s="127">
        <v>3</v>
      </c>
      <c r="AX6" s="115">
        <f>IF(OR(AU$2="",AU6="",AW6=""),"",IF($BD6="","",IF(AU6=$BD6,ABS(AW6-$BF6),ABS(AW6+$BF6))+IF(AU6&lt;&gt;$BD6,$BO$5,0)))</f>
        <v>17</v>
      </c>
      <c r="AY6" s="262" t="s">
        <v>9</v>
      </c>
      <c r="AZ6" s="120" t="s">
        <v>0</v>
      </c>
      <c r="BA6" s="127">
        <v>10</v>
      </c>
      <c r="BB6" s="126">
        <f>IF(OR(AY$2="",AY6="",BA6=""),"",IF($BD6="","",IF(AY6=$BD6,ABS(BA6-$BF6),ABS(BA6+$BF6))+IF(AY6&lt;&gt;$BD6,$BO$5,0)))</f>
        <v>24</v>
      </c>
      <c r="BC6" s="117"/>
      <c r="BD6" s="118" t="str">
        <f>IF(OR(B6="",F6="",B6=F6),"",IF(B6&gt;F6,"V","H"))</f>
        <v>V</v>
      </c>
      <c r="BE6" s="118" t="s">
        <v>0</v>
      </c>
      <c r="BF6" s="118">
        <f>IF(OR(B6="",F6="",B6=F6),"",ABS(B6-F6))</f>
        <v>7</v>
      </c>
      <c r="BG6" s="118"/>
      <c r="BH6" s="235">
        <f t="shared" si="0"/>
        <v>65</v>
      </c>
      <c r="BI6" s="119" t="str">
        <f>IF(COUNTA(G6,K6,O6,S6,W6,AA6,AE6,AI6,AM6,AQ6,AU6,AY6)&gt;0,IF(BH6&lt;0,"V","H"),"")</f>
        <v>H</v>
      </c>
      <c r="BJ6" s="120" t="s">
        <v>0</v>
      </c>
      <c r="BK6" s="127">
        <f>IF(BI6="","",IF(ABS(BH6)&lt;(COUNTA(G6,K6,O6,S6,W6,AA6,AE6,AI6,AM6,AQ6,AU6,AY6)/2),1,ROUND(ABS(BH6)/COUNTA(G6,K6,O6,S6,W6,AA6,AE6,AI6,AM6,AQ6,AU6,AY6),0)))</f>
        <v>5</v>
      </c>
      <c r="BL6" s="126">
        <f>IF(OR(BI6="",BK6=""),"",IF($BD6="","",IF(BI6=$BD6,ABS(BK6-$BF6),ABS(BK6+$BF6))+IF(BI6&lt;&gt;$BD6,$BO$5,0)))</f>
        <v>19</v>
      </c>
      <c r="BM6" s="25"/>
      <c r="BO6" s="16">
        <v>10</v>
      </c>
      <c r="BP6" s="17" t="s">
        <v>15</v>
      </c>
      <c r="BQ6" s="12"/>
      <c r="BR6" s="12"/>
      <c r="BS6" s="12"/>
      <c r="BT6" s="12"/>
      <c r="BU6" s="12"/>
      <c r="BV6" s="12"/>
      <c r="BW6" s="12"/>
      <c r="BX6" s="12"/>
      <c r="BY6" s="12"/>
      <c r="BZ6" s="12"/>
      <c r="CA6" s="26"/>
      <c r="CB6" s="8"/>
      <c r="CC6" s="8"/>
      <c r="CD6" s="8"/>
      <c r="CE6" s="8"/>
      <c r="CF6" s="8"/>
      <c r="CG6" s="8"/>
      <c r="CH6" s="8"/>
      <c r="CI6" s="8"/>
      <c r="CJ6" s="8"/>
      <c r="CK6" s="8"/>
      <c r="CL6" s="8"/>
      <c r="CM6" s="8"/>
      <c r="CN6" s="8"/>
      <c r="CO6" s="8"/>
      <c r="CP6" s="8"/>
      <c r="CQ6" s="8"/>
      <c r="CR6" s="8"/>
      <c r="CS6" s="8"/>
      <c r="CT6" s="8"/>
      <c r="DK6" s="8"/>
      <c r="DL6" s="27" t="str">
        <f>CONCATENATE($DM$5,$G$5,$DN$5)</f>
        <v xml:space="preserve">   "H",</v>
      </c>
      <c r="DM6" s="18"/>
      <c r="DN6" s="18" t="s">
        <v>26</v>
      </c>
    </row>
    <row r="7" spans="1:124" s="6" customFormat="1" ht="15" customHeight="1" x14ac:dyDescent="0.2">
      <c r="A7" s="19"/>
      <c r="B7" s="304">
        <v>26</v>
      </c>
      <c r="C7" s="120" t="s">
        <v>147</v>
      </c>
      <c r="D7" s="120" t="s">
        <v>3</v>
      </c>
      <c r="E7" s="260" t="s">
        <v>148</v>
      </c>
      <c r="F7" s="307">
        <v>20</v>
      </c>
      <c r="G7" s="120" t="s">
        <v>9</v>
      </c>
      <c r="H7" s="120" t="s">
        <v>0</v>
      </c>
      <c r="I7" s="127">
        <v>6</v>
      </c>
      <c r="J7" s="115">
        <f>IF(OR(G$2="",G7="",I7=""),"",IF($BD7="","",IF(G7=$BD7,ABS(I7-$BF7),ABS(I7+$BF7))+IF(G7&lt;&gt;$BD7,$BO$5,0)))</f>
        <v>19</v>
      </c>
      <c r="K7" s="262" t="s">
        <v>9</v>
      </c>
      <c r="L7" s="120" t="s">
        <v>0</v>
      </c>
      <c r="M7" s="127">
        <v>17</v>
      </c>
      <c r="N7" s="115">
        <f>IF(OR(K$2="",K7="",M7=""),"",IF($BD7="","",IF(K7=$BD7,ABS(M7-$BF7),ABS(M7+$BF7))+IF(K7&lt;&gt;$BD7,$BO$5,0)))</f>
        <v>30</v>
      </c>
      <c r="O7" s="262" t="s">
        <v>9</v>
      </c>
      <c r="P7" s="120" t="s">
        <v>0</v>
      </c>
      <c r="Q7" s="127">
        <v>7</v>
      </c>
      <c r="R7" s="115">
        <f>IF(OR(O$2="",O7="",Q7=""),"",IF($BD7="","",IF(O7=$BD7,ABS(Q7-$BF7),ABS(Q7+$BF7))+IF(O7&lt;&gt;$BD7,$BO$5,0)))</f>
        <v>20</v>
      </c>
      <c r="S7" s="262" t="s">
        <v>9</v>
      </c>
      <c r="T7" s="120" t="s">
        <v>0</v>
      </c>
      <c r="U7" s="127">
        <v>11</v>
      </c>
      <c r="V7" s="115">
        <f>IF(OR(S$2="",S7="",U7=""),"",IF($BD7="","",IF(S7=$BD7,ABS(U7-$BF7),ABS(U7+$BF7))+IF(S7&lt;&gt;$BD7,$BO$5,0)))</f>
        <v>24</v>
      </c>
      <c r="W7" s="262" t="s">
        <v>9</v>
      </c>
      <c r="X7" s="120" t="s">
        <v>0</v>
      </c>
      <c r="Y7" s="127">
        <v>10</v>
      </c>
      <c r="Z7" s="115">
        <f>IF(OR(W$2="",W7="",Y7=""),"",IF($BD7="","",IF(W7=$BD7,ABS(Y7-$BF7),ABS(Y7+$BF7))+IF(W7&lt;&gt;$BD7,$BO$5,0)))</f>
        <v>23</v>
      </c>
      <c r="AA7" s="262" t="s">
        <v>9</v>
      </c>
      <c r="AB7" s="120" t="s">
        <v>0</v>
      </c>
      <c r="AC7" s="127">
        <v>3</v>
      </c>
      <c r="AD7" s="115">
        <f>IF(OR(AA$2="",AA7="",AC7=""),"",IF($BD7="","",IF(AA7=$BD7,ABS(AC7-$BF7),ABS(AC7+$BF7))+IF(AA7&lt;&gt;$BD7,$BO$5,0)))</f>
        <v>16</v>
      </c>
      <c r="AE7" s="262" t="s">
        <v>9</v>
      </c>
      <c r="AF7" s="120" t="s">
        <v>0</v>
      </c>
      <c r="AG7" s="127">
        <v>5</v>
      </c>
      <c r="AH7" s="115">
        <f>IF(OR(AE$2="",AE7="",AG7=""),"",IF($BD7="","",IF(AE7=$BD7,ABS(AG7-$BF7),ABS(AG7+$BF7))+IF(AE7&lt;&gt;$BD7,$BO$5,0)))</f>
        <v>18</v>
      </c>
      <c r="AI7" s="262" t="s">
        <v>9</v>
      </c>
      <c r="AJ7" s="120" t="s">
        <v>0</v>
      </c>
      <c r="AK7" s="127">
        <v>6</v>
      </c>
      <c r="AL7" s="115">
        <f>IF(OR(AI$2="",AI7="",AK7=""),"",IF($BD7="","",IF(AI7=$BD7,ABS(AK7-$BF7),ABS(AK7+$BF7))+IF(AI7&lt;&gt;$BD7,$BO$5,0)))</f>
        <v>19</v>
      </c>
      <c r="AM7" s="262" t="s">
        <v>9</v>
      </c>
      <c r="AN7" s="120" t="s">
        <v>0</v>
      </c>
      <c r="AO7" s="127">
        <v>7</v>
      </c>
      <c r="AP7" s="115">
        <f>IF(OR(AM$2="",AM7="",AO7=""),"",IF($BD7="","",IF(AM7=$BD7,ABS(AO7-$BF7),ABS(AO7+$BF7))+IF(AM7&lt;&gt;$BD7,$BO$5,0)))</f>
        <v>20</v>
      </c>
      <c r="AQ7" s="262" t="s">
        <v>9</v>
      </c>
      <c r="AR7" s="120" t="s">
        <v>0</v>
      </c>
      <c r="AS7" s="127">
        <v>10</v>
      </c>
      <c r="AT7" s="115">
        <f>IF(OR(AQ$2="",AQ7="",AS7=""),"",IF($BD7="","",IF(AQ7=$BD7,ABS(AS7-$BF7),ABS(AS7+$BF7))+IF(AQ7&lt;&gt;$BD7,$BO$5,0)))</f>
        <v>23</v>
      </c>
      <c r="AU7" s="262" t="s">
        <v>9</v>
      </c>
      <c r="AV7" s="120" t="s">
        <v>0</v>
      </c>
      <c r="AW7" s="127">
        <v>7</v>
      </c>
      <c r="AX7" s="115">
        <f>IF(OR(AU$2="",AU7="",AW7=""),"",IF($BD7="","",IF(AU7=$BD7,ABS(AW7-$BF7),ABS(AW7+$BF7))+IF(AU7&lt;&gt;$BD7,$BO$5,0)))</f>
        <v>20</v>
      </c>
      <c r="AY7" s="262" t="s">
        <v>9</v>
      </c>
      <c r="AZ7" s="120" t="s">
        <v>0</v>
      </c>
      <c r="BA7" s="127">
        <v>1</v>
      </c>
      <c r="BB7" s="126">
        <f>IF(OR(AY$2="",AY7="",BA7=""),"",IF($BD7="","",IF(AY7=$BD7,ABS(BA7-$BF7),ABS(BA7+$BF7))+IF(AY7&lt;&gt;$BD7,$BO$5,0)))</f>
        <v>14</v>
      </c>
      <c r="BC7" s="117"/>
      <c r="BD7" s="118" t="str">
        <f>IF(OR(B7="",F7="",B7=F7),"",IF(B7&gt;F7,"V","H"))</f>
        <v>V</v>
      </c>
      <c r="BE7" s="118" t="s">
        <v>0</v>
      </c>
      <c r="BF7" s="118">
        <f>IF(OR(B7="",F7="",B7=F7),"",ABS(B7-F7))</f>
        <v>6</v>
      </c>
      <c r="BG7" s="118"/>
      <c r="BH7" s="235">
        <f t="shared" si="0"/>
        <v>90</v>
      </c>
      <c r="BI7" s="119" t="str">
        <f>IF(COUNTA(G7,K7,O7,S7,W7,AA7,AE7,AI7,AM7,AQ7,AU7,AY7)&gt;0,IF(BH7&lt;0,"V","H"),"")</f>
        <v>H</v>
      </c>
      <c r="BJ7" s="120" t="s">
        <v>0</v>
      </c>
      <c r="BK7" s="127">
        <f>IF(BI7="","",IF(ABS(BH7)&lt;(COUNTA(G7,K7,O7,S7,W7,AA7,AE7,AI7,AM7,AQ7,AU7,AY7)/2),1,ROUND(ABS(BH7)/COUNTA(G7,K7,O7,S7,W7,AA7,AE7,AI7,AM7,AQ7,AU7,AY7),0)))</f>
        <v>8</v>
      </c>
      <c r="BL7" s="126">
        <f>IF(OR(BI7="",BK7=""),"",IF($BD7="","",IF(BI7=$BD7,ABS(BK7-$BF7),ABS(BK7+$BF7))+IF(BI7&lt;&gt;$BD7,$BO$5,0)))</f>
        <v>21</v>
      </c>
      <c r="BM7" s="25"/>
      <c r="BO7" s="16">
        <f>LOOKUP(COUNTIF((G61:R61),0),{0,1,2,3,4,5,6,7,8,9,10,11,12},{120,110,100,90,80,70,40,50,40,30,20,10}) - BO8 - 4*BO6</f>
        <v>60</v>
      </c>
      <c r="BP7" s="17" t="s">
        <v>17</v>
      </c>
      <c r="BQ7" s="21"/>
      <c r="BR7" s="21"/>
      <c r="BS7" s="21"/>
      <c r="BT7" s="21"/>
      <c r="BU7" s="21"/>
      <c r="BV7" s="21"/>
      <c r="BW7" s="21"/>
      <c r="BX7" s="21"/>
      <c r="BY7" s="21"/>
      <c r="BZ7" s="21"/>
      <c r="CA7" s="22"/>
      <c r="CB7" s="8"/>
      <c r="CC7" s="8"/>
      <c r="CD7" s="8"/>
      <c r="CE7" s="8"/>
      <c r="CF7" s="8"/>
      <c r="CG7" s="8"/>
      <c r="CH7" s="8"/>
      <c r="CI7" s="8"/>
      <c r="CJ7" s="8"/>
      <c r="CK7" s="8"/>
      <c r="CL7" s="8"/>
      <c r="CM7" s="8"/>
      <c r="CN7" s="8"/>
      <c r="CO7" s="8"/>
      <c r="CP7" s="8"/>
      <c r="CQ7" s="8"/>
      <c r="CR7" s="8"/>
      <c r="CS7" s="8"/>
      <c r="CT7" s="8"/>
      <c r="DK7" s="8"/>
      <c r="DL7" s="27" t="str">
        <f>CONCATENATE($DM$5,$G$6,$DN$5)</f>
        <v xml:space="preserve">   "H",</v>
      </c>
      <c r="DM7" s="24"/>
      <c r="DN7" s="24"/>
    </row>
    <row r="8" spans="1:124" s="6" customFormat="1" ht="15" customHeight="1" x14ac:dyDescent="0.2">
      <c r="A8" s="19"/>
      <c r="B8" s="305">
        <v>17</v>
      </c>
      <c r="C8" s="130" t="s">
        <v>149</v>
      </c>
      <c r="D8" s="130" t="s">
        <v>3</v>
      </c>
      <c r="E8" s="261" t="s">
        <v>150</v>
      </c>
      <c r="F8" s="308">
        <v>9</v>
      </c>
      <c r="G8" s="130" t="s">
        <v>8</v>
      </c>
      <c r="H8" s="130" t="s">
        <v>0</v>
      </c>
      <c r="I8" s="138">
        <v>3</v>
      </c>
      <c r="J8" s="135">
        <f>IF(OR(G$2="",G8="",I8=""),"",IF($BD8="","",IF(G8=$BD8,ABS(I8-$BF8),ABS(I8+$BF8))+IF(G8&lt;&gt;$BD8,$BO$5,0)))</f>
        <v>5</v>
      </c>
      <c r="K8" s="263" t="s">
        <v>8</v>
      </c>
      <c r="L8" s="130" t="s">
        <v>0</v>
      </c>
      <c r="M8" s="138">
        <v>3</v>
      </c>
      <c r="N8" s="135">
        <f>IF(OR(K$2="",K8="",M8=""),"",IF($BD8="","",IF(K8=$BD8,ABS(M8-$BF8),ABS(M8+$BF8))+IF(K8&lt;&gt;$BD8,$BO$5,0)))</f>
        <v>5</v>
      </c>
      <c r="O8" s="263" t="s">
        <v>8</v>
      </c>
      <c r="P8" s="130" t="s">
        <v>0</v>
      </c>
      <c r="Q8" s="138">
        <v>3</v>
      </c>
      <c r="R8" s="135">
        <f>IF(OR(O$2="",O8="",Q8=""),"",IF($BD8="","",IF(O8=$BD8,ABS(Q8-$BF8),ABS(Q8+$BF8))+IF(O8&lt;&gt;$BD8,$BO$5,0)))</f>
        <v>5</v>
      </c>
      <c r="S8" s="263" t="s">
        <v>9</v>
      </c>
      <c r="T8" s="130" t="s">
        <v>0</v>
      </c>
      <c r="U8" s="138">
        <v>5</v>
      </c>
      <c r="V8" s="135">
        <f>IF(OR(S$2="",S8="",U8=""),"",IF($BD8="","",IF(S8=$BD8,ABS(U8-$BF8),ABS(U8+$BF8))+IF(S8&lt;&gt;$BD8,$BO$5,0)))</f>
        <v>20</v>
      </c>
      <c r="W8" s="263" t="s">
        <v>8</v>
      </c>
      <c r="X8" s="130" t="s">
        <v>0</v>
      </c>
      <c r="Y8" s="138">
        <v>3</v>
      </c>
      <c r="Z8" s="135">
        <f>IF(OR(W$2="",W8="",Y8=""),"",IF($BD8="","",IF(W8=$BD8,ABS(Y8-$BF8),ABS(Y8+$BF8))+IF(W8&lt;&gt;$BD8,$BO$5,0)))</f>
        <v>5</v>
      </c>
      <c r="AA8" s="263" t="s">
        <v>8</v>
      </c>
      <c r="AB8" s="130" t="s">
        <v>0</v>
      </c>
      <c r="AC8" s="138">
        <v>3</v>
      </c>
      <c r="AD8" s="135">
        <f>IF(OR(AA$2="",AA8="",AC8=""),"",IF($BD8="","",IF(AA8=$BD8,ABS(AC8-$BF8),ABS(AC8+$BF8))+IF(AA8&lt;&gt;$BD8,$BO$5,0)))</f>
        <v>5</v>
      </c>
      <c r="AE8" s="263" t="s">
        <v>8</v>
      </c>
      <c r="AF8" s="130" t="s">
        <v>0</v>
      </c>
      <c r="AG8" s="138">
        <v>2</v>
      </c>
      <c r="AH8" s="135">
        <f>IF(OR(AE$2="",AE8="",AG8=""),"",IF($BD8="","",IF(AE8=$BD8,ABS(AG8-$BF8),ABS(AG8+$BF8))+IF(AE8&lt;&gt;$BD8,$BO$5,0)))</f>
        <v>6</v>
      </c>
      <c r="AI8" s="263" t="s">
        <v>9</v>
      </c>
      <c r="AJ8" s="130" t="s">
        <v>0</v>
      </c>
      <c r="AK8" s="138">
        <v>1</v>
      </c>
      <c r="AL8" s="135">
        <f>IF(OR(AI$2="",AI8="",AK8=""),"",IF($BD8="","",IF(AI8=$BD8,ABS(AK8-$BF8),ABS(AK8+$BF8))+IF(AI8&lt;&gt;$BD8,$BO$5,0)))</f>
        <v>16</v>
      </c>
      <c r="AM8" s="263" t="s">
        <v>8</v>
      </c>
      <c r="AN8" s="130" t="s">
        <v>0</v>
      </c>
      <c r="AO8" s="138">
        <v>1</v>
      </c>
      <c r="AP8" s="135">
        <f>IF(OR(AM$2="",AM8="",AO8=""),"",IF($BD8="","",IF(AM8=$BD8,ABS(AO8-$BF8),ABS(AO8+$BF8))+IF(AM8&lt;&gt;$BD8,$BO$5,0)))</f>
        <v>7</v>
      </c>
      <c r="AQ8" s="263" t="s">
        <v>8</v>
      </c>
      <c r="AR8" s="130" t="s">
        <v>0</v>
      </c>
      <c r="AS8" s="138">
        <v>7</v>
      </c>
      <c r="AT8" s="135">
        <f>IF(OR(AQ$2="",AQ8="",AS8=""),"",IF($BD8="","",IF(AQ8=$BD8,ABS(AS8-$BF8),ABS(AS8+$BF8))+IF(AQ8&lt;&gt;$BD8,$BO$5,0)))</f>
        <v>1</v>
      </c>
      <c r="AU8" s="263" t="s">
        <v>8</v>
      </c>
      <c r="AV8" s="130" t="s">
        <v>0</v>
      </c>
      <c r="AW8" s="138">
        <v>4</v>
      </c>
      <c r="AX8" s="135">
        <f>IF(OR(AU$2="",AU8="",AW8=""),"",IF($BD8="","",IF(AU8=$BD8,ABS(AW8-$BF8),ABS(AW8+$BF8))+IF(AU8&lt;&gt;$BD8,$BO$5,0)))</f>
        <v>4</v>
      </c>
      <c r="AY8" s="263" t="s">
        <v>8</v>
      </c>
      <c r="AZ8" s="130" t="s">
        <v>0</v>
      </c>
      <c r="BA8" s="138">
        <v>5</v>
      </c>
      <c r="BB8" s="136">
        <f>IF(OR(AY$2="",AY8="",BA8=""),"",IF($BD8="","",IF(AY8=$BD8,ABS(BA8-$BF8),ABS(BA8+$BF8))+IF(AY8&lt;&gt;$BD8,$BO$5,0)))</f>
        <v>3</v>
      </c>
      <c r="BC8" s="117"/>
      <c r="BD8" s="118" t="str">
        <f>IF(OR(B8="",F8="",B8=F8),"",IF(B8&gt;F8,"V","H"))</f>
        <v>V</v>
      </c>
      <c r="BE8" s="118" t="s">
        <v>0</v>
      </c>
      <c r="BF8" s="118">
        <f>IF(OR(B8="",F8="",B8=F8),"",ABS(B8-F8))</f>
        <v>8</v>
      </c>
      <c r="BG8" s="118"/>
      <c r="BH8" s="235">
        <f t="shared" si="0"/>
        <v>-28</v>
      </c>
      <c r="BI8" s="137" t="str">
        <f>IF(COUNTA(G8,K8,O8,S8,W8,AA8,AE8,AI8,AM8,AQ8,AU8,AY8)&gt;0,IF(BH8&lt;0,"V","H"),"")</f>
        <v>V</v>
      </c>
      <c r="BJ8" s="130" t="s">
        <v>0</v>
      </c>
      <c r="BK8" s="138">
        <f>IF(BI8="","",IF(ABS(BH8)&lt;(COUNTA(G8,K8,O8,S8,W8,AA8,AE8,AI8,AM8,AQ8,AU8,AY8)/2),1,ROUND(ABS(BH8)/COUNTA(G8,K8,O8,S8,W8,AA8,AE8,AI8,AM8,AQ8,AU8,AY8),0)))</f>
        <v>2</v>
      </c>
      <c r="BL8" s="136">
        <f>IF(OR(BI8="",BK8=""),"",IF($BD8="","",IF(BI8=$BD8,ABS(BK8-$BF8),ABS(BK8+$BF8))+IF(BI8&lt;&gt;$BD8,$BO$5,0)))</f>
        <v>6</v>
      </c>
      <c r="BM8" s="25"/>
      <c r="BO8" s="16">
        <v>20</v>
      </c>
      <c r="BP8" s="17" t="s">
        <v>16</v>
      </c>
      <c r="BQ8" s="21"/>
      <c r="BR8" s="21"/>
      <c r="BS8" s="21"/>
      <c r="BT8" s="21"/>
      <c r="BU8" s="21"/>
      <c r="BV8" s="21"/>
      <c r="BW8" s="21"/>
      <c r="BX8" s="12"/>
      <c r="BY8" s="12"/>
      <c r="BZ8" s="21"/>
      <c r="CA8" s="22"/>
      <c r="CB8" s="8"/>
      <c r="CC8" s="8"/>
      <c r="CD8" s="8"/>
      <c r="CE8" s="8"/>
      <c r="CF8" s="8"/>
      <c r="CG8" s="8"/>
      <c r="CH8" s="8"/>
      <c r="CI8" s="8"/>
      <c r="CJ8" s="8"/>
      <c r="CK8" s="8"/>
      <c r="CL8" s="8"/>
      <c r="CM8" s="8"/>
      <c r="CN8" s="8"/>
      <c r="CO8" s="8"/>
      <c r="CP8" s="8"/>
      <c r="CQ8" s="8"/>
      <c r="CR8" s="8"/>
      <c r="CS8" s="8"/>
      <c r="CT8" s="8"/>
      <c r="DK8" s="8"/>
      <c r="DL8" s="27" t="str">
        <f>CONCATENATE($DM$5,$G$7,$DN$5)</f>
        <v xml:space="preserve">   "H",</v>
      </c>
      <c r="DM8" s="24"/>
      <c r="DN8" s="24"/>
      <c r="DO8" s="6" t="str">
        <f ca="1">CONCATENATE("var post_season_visiting_teams = [",OFFSET($DO$13,$BO$41,0),"];")</f>
        <v>var post_season_visiting_teams = ["Bills","Titans","Vikings","Seahawks"];</v>
      </c>
    </row>
    <row r="9" spans="1:124" s="6" customFormat="1" ht="12" customHeight="1" x14ac:dyDescent="0.2">
      <c r="A9" s="19"/>
      <c r="B9" s="93"/>
      <c r="C9" s="94"/>
      <c r="D9" s="95"/>
      <c r="E9" s="96" t="s">
        <v>98</v>
      </c>
      <c r="F9" s="97">
        <f>IF(SUM(B8,F8)=0,"",SUM(B8,F8))</f>
        <v>26</v>
      </c>
      <c r="G9" s="94"/>
      <c r="H9" s="95" t="s">
        <v>62</v>
      </c>
      <c r="I9" s="101">
        <v>45</v>
      </c>
      <c r="J9" s="104" t="str">
        <f>IF(OR($F9="",I9="",J10=""),"",IF(AND(COUNTIF($J37:$BB37,J37)&gt;1,RANK(J37,$J37:$BB37,1)=1),$F9-I9,""))</f>
        <v/>
      </c>
      <c r="K9" s="264"/>
      <c r="L9" s="95" t="s">
        <v>62</v>
      </c>
      <c r="M9" s="101">
        <v>52</v>
      </c>
      <c r="N9" s="104" t="str">
        <f>IF(OR($F9="",M9="",N10=""),"",IF(AND(COUNTIF($J37:$BB37,N37)&gt;1,RANK(N37,$J37:$BB37,1)=1),$F9-M9,""))</f>
        <v/>
      </c>
      <c r="O9" s="264"/>
      <c r="P9" s="95" t="s">
        <v>62</v>
      </c>
      <c r="Q9" s="101">
        <v>45</v>
      </c>
      <c r="R9" s="104" t="str">
        <f>IF(OR($F9="",Q9="",R10=""),"",IF(AND(COUNTIF($J37:$BB37,R37)&gt;1,RANK(R37,$J37:$BB37,1)=1),$F9-Q9,""))</f>
        <v/>
      </c>
      <c r="S9" s="264"/>
      <c r="T9" s="95" t="s">
        <v>62</v>
      </c>
      <c r="U9" s="101">
        <v>42</v>
      </c>
      <c r="V9" s="104" t="str">
        <f>IF(OR($F9="",U9="",V10=""),"",IF(AND(COUNTIF($J37:$BB37,V37)&gt;1,RANK(V37,$J37:$BB37,1)=1),$F9-U9,""))</f>
        <v/>
      </c>
      <c r="W9" s="264"/>
      <c r="X9" s="95" t="s">
        <v>62</v>
      </c>
      <c r="Y9" s="101">
        <v>51</v>
      </c>
      <c r="Z9" s="104" t="str">
        <f>IF(OR($F9="",Y9="",Z10=""),"",IF(AND(COUNTIF($J37:$BB37,Z37)&gt;1,RANK(Z37,$J37:$BB37,1)=1),$F9-Y9,""))</f>
        <v/>
      </c>
      <c r="AA9" s="264"/>
      <c r="AB9" s="95" t="s">
        <v>62</v>
      </c>
      <c r="AC9" s="101">
        <v>38</v>
      </c>
      <c r="AD9" s="104" t="str">
        <f>IF(OR($F9="",AC9="",AD10=""),"",IF(AND(COUNTIF($J37:$BB37,AD37)&gt;1,RANK(AD37,$J37:$BB37,1)=1),$F9-AC9,""))</f>
        <v/>
      </c>
      <c r="AE9" s="264"/>
      <c r="AF9" s="95" t="s">
        <v>62</v>
      </c>
      <c r="AG9" s="101">
        <v>45</v>
      </c>
      <c r="AH9" s="104" t="str">
        <f>IF(OR($F9="",AG9="",AH10=""),"",IF(AND(COUNTIF($J37:$BB37,AH37)&gt;1,RANK(AH37,$J37:$BB37,1)=1),$F9-AG9,""))</f>
        <v/>
      </c>
      <c r="AI9" s="264"/>
      <c r="AJ9" s="95" t="s">
        <v>62</v>
      </c>
      <c r="AK9" s="101">
        <v>47</v>
      </c>
      <c r="AL9" s="104" t="str">
        <f>IF(OR($F9="",AK9="",AL10=""),"",IF(AND(COUNTIF($J37:$BB37,AL37)&gt;1,RANK(AL37,$J37:$BB37,1)=1),$F9-AK9,""))</f>
        <v/>
      </c>
      <c r="AM9" s="264"/>
      <c r="AN9" s="95" t="s">
        <v>62</v>
      </c>
      <c r="AO9" s="101">
        <v>45</v>
      </c>
      <c r="AP9" s="104" t="str">
        <f>IF(OR($F9="",AO9="",AP10=""),"",IF(AND(COUNTIF($J37:$BB37,AP37)&gt;1,RANK(AP37,$J37:$BB37,1)=1),$F9-AO9,""))</f>
        <v/>
      </c>
      <c r="AQ9" s="264"/>
      <c r="AR9" s="95" t="s">
        <v>62</v>
      </c>
      <c r="AS9" s="101">
        <v>44</v>
      </c>
      <c r="AT9" s="104" t="str">
        <f>IF(OR($F9="",AS9="",AT10=""),"",IF(AND(COUNTIF($J37:$BB37,AT37)&gt;1,RANK(AT37,$J37:$BB37,1)=1),$F9-AS9,""))</f>
        <v/>
      </c>
      <c r="AU9" s="264"/>
      <c r="AV9" s="95" t="s">
        <v>62</v>
      </c>
      <c r="AW9" s="101">
        <v>41</v>
      </c>
      <c r="AX9" s="104" t="str">
        <f>IF(OR($F9="",AW9="",AX10=""),"",IF(AND(COUNTIF($J37:$BB37,AX37)&gt;1,RANK(AX37,$J37:$BB37,1)=1),$F9-AW9,""))</f>
        <v/>
      </c>
      <c r="AY9" s="264"/>
      <c r="AZ9" s="95" t="s">
        <v>62</v>
      </c>
      <c r="BA9" s="101">
        <v>28</v>
      </c>
      <c r="BB9" s="105" t="str">
        <f>IF(OR($F9="",BA9="",BB10=""),"",IF(AND(COUNTIF($J37:$BB37,BB37)&gt;1,RANK(BB37,$J37:$BB37,1)=1),$F9-BA9,""))</f>
        <v/>
      </c>
      <c r="BC9" s="117"/>
      <c r="BD9" s="118"/>
      <c r="BE9" s="118"/>
      <c r="BF9" s="118"/>
      <c r="BG9" s="118"/>
      <c r="BH9" s="236"/>
      <c r="BI9" s="106"/>
      <c r="BJ9" s="95" t="s">
        <v>62</v>
      </c>
      <c r="BK9" s="101">
        <f>IF(SUM(I9,M9,Q9,U9,Y9,AC9,AG9,AK9,AO9,AS9,AW9,BA9)=0,"",ROUND(AVERAGE(I9,M9,Q9,U9,Y9,AC9,AG9,AK9,AO9,AS9,AW9,BA9),0))</f>
        <v>44</v>
      </c>
      <c r="BL9" s="105">
        <f>IF(OR($F9="",BK9=""),"",$F9-BK9)</f>
        <v>-18</v>
      </c>
      <c r="BM9" s="25"/>
      <c r="BQ9" s="21"/>
      <c r="BR9" s="21"/>
      <c r="BS9" s="21"/>
      <c r="BT9" s="21"/>
      <c r="BU9" s="21"/>
      <c r="BV9" s="21"/>
      <c r="BW9" s="21"/>
      <c r="BX9" s="12"/>
      <c r="BY9" s="12"/>
      <c r="BZ9" s="21"/>
      <c r="CA9" s="22"/>
      <c r="CB9" s="8"/>
      <c r="CC9" s="8"/>
      <c r="CD9" s="8"/>
      <c r="CE9" s="8"/>
      <c r="CF9" s="8"/>
      <c r="CG9" s="8"/>
      <c r="CH9" s="8"/>
      <c r="CI9" s="8"/>
      <c r="CJ9" s="8"/>
      <c r="CK9" s="8"/>
      <c r="CL9" s="8"/>
      <c r="CM9" s="8"/>
      <c r="CN9" s="8"/>
      <c r="CO9" s="8"/>
      <c r="CP9" s="8"/>
      <c r="CQ9" s="8"/>
      <c r="CR9" s="8"/>
      <c r="CS9" s="8"/>
      <c r="CT9" s="8"/>
      <c r="DK9" s="8"/>
      <c r="DL9" s="27" t="str">
        <f>CONCATENATE($DM$5,$G$8,$DN$5)</f>
        <v xml:space="preserve">   "V",</v>
      </c>
      <c r="DM9" s="24"/>
      <c r="DN9" s="24"/>
      <c r="DO9" s="6" t="str">
        <f ca="1">CONCATENATE("var post_season_home_teams     = [",OFFSET($DT$13,$BO$41,0),"];")</f>
        <v>var post_season_home_teams     = ["Texans","Patriots","Saints","Eagles"];</v>
      </c>
    </row>
    <row r="10" spans="1:124" s="6" customFormat="1" ht="18" customHeight="1" thickBot="1" x14ac:dyDescent="0.25">
      <c r="A10" s="19"/>
      <c r="B10" s="170"/>
      <c r="C10" s="169"/>
      <c r="D10" s="169"/>
      <c r="E10" s="171"/>
      <c r="F10" s="240" t="s">
        <v>76</v>
      </c>
      <c r="G10" s="176"/>
      <c r="H10" s="150" t="s">
        <v>2</v>
      </c>
      <c r="I10" s="151">
        <f>IF(J10="","",IF(OR(RANK(J37,$J37:$BB37,1)&gt;1,AND(RANK(J37,$J37:$BB37,1)=1,COUNTIF($J37:$BB37,J37)=1)),RANK(J37,$J37:$BB37,1),IF(MIN($J57:$BB57)=J57,1,COUNTIF($J57:$BB57,MIN($J57:$BB57))+1)))</f>
        <v>3</v>
      </c>
      <c r="J10" s="248">
        <f>IF(G$2="","",(IF(AND(COUNTBLANK(G5:G8)=0,COUNTBLANK(I5:I8)=0),(SUM(J5:J8))*$BO$10,"")))</f>
        <v>42</v>
      </c>
      <c r="K10" s="149"/>
      <c r="L10" s="150" t="s">
        <v>2</v>
      </c>
      <c r="M10" s="151">
        <f>IF(N10="","",IF(OR(RANK(N37,$J37:$BB37,1)&gt;1,AND(RANK(N37,$J37:$BB37,1)=1,COUNTIF($J37:$BB37,N37)=1)),RANK(N37,$J37:$BB37,1),IF(MIN($J57:$BB57)=N57,1,COUNTIF($J57:$BB57,MIN($J57:$BB57))+1)))</f>
        <v>11</v>
      </c>
      <c r="N10" s="248">
        <f>IF(K$2="","",(IF(AND(COUNTBLANK(K5:K8)=0,COUNTBLANK(M5:M8)=0),(SUM(N5:N8))*$BO$10,"")))</f>
        <v>69</v>
      </c>
      <c r="O10" s="149"/>
      <c r="P10" s="150" t="s">
        <v>2</v>
      </c>
      <c r="Q10" s="151">
        <f>IF(R10="","",IF(OR(RANK(R37,$J37:$BB37,1)&gt;1,AND(RANK(R37,$J37:$BB37,1)=1,COUNTIF($J37:$BB37,R37)=1)),RANK(R37,$J37:$BB37,1),IF(MIN($J57:$BB57)=R57,1,COUNTIF($J57:$BB57,MIN($J57:$BB57))+1)))</f>
        <v>4</v>
      </c>
      <c r="R10" s="248">
        <f>IF(O$2="","",(IF(AND(COUNTBLANK(O5:O8)=0,COUNTBLANK(Q5:Q8)=0),(SUM(R5:R8))*$BO$10,"")))</f>
        <v>44</v>
      </c>
      <c r="S10" s="149"/>
      <c r="T10" s="150" t="s">
        <v>2</v>
      </c>
      <c r="U10" s="151">
        <f>IF(V10="","",IF(OR(RANK(V37,$J37:$BB37,1)&gt;1,AND(RANK(V37,$J37:$BB37,1)=1,COUNTIF($J37:$BB37,V37)=1)),RANK(V37,$J37:$BB37,1),IF(MIN($J57:$BB57)=V57,1,COUNTIF($J57:$BB57,MIN($J57:$BB57))+1)))</f>
        <v>12</v>
      </c>
      <c r="V10" s="248">
        <f>IF(S$2="","",(IF(AND(COUNTBLANK(S5:S8)=0,COUNTBLANK(U5:U8)=0),(SUM(V5:V8))*$BO$10,"")))</f>
        <v>77</v>
      </c>
      <c r="W10" s="149"/>
      <c r="X10" s="150" t="s">
        <v>2</v>
      </c>
      <c r="Y10" s="151">
        <f>IF(Z10="","",IF(OR(RANK(Z37,$J37:$BB37,1)&gt;1,AND(RANK(Z37,$J37:$BB37,1)=1,COUNTIF($J37:$BB37,Z37)=1)),RANK(Z37,$J37:$BB37,1),IF(MIN($J57:$BB57)=Z57,1,COUNTIF($J57:$BB57,MIN($J57:$BB57))+1)))</f>
        <v>10</v>
      </c>
      <c r="Z10" s="248">
        <f>IF(W$2="","",(IF(AND(COUNTBLANK(W5:W8)=0,COUNTBLANK(Y5:Y8)=0),(SUM(Z5:Z8))*$BO$10,"")))</f>
        <v>62</v>
      </c>
      <c r="AA10" s="149"/>
      <c r="AB10" s="150" t="s">
        <v>2</v>
      </c>
      <c r="AC10" s="151">
        <f>IF(AD10="","",IF(OR(RANK(AD37,$J37:$BB37,1)&gt;1,AND(RANK(AD37,$J37:$BB37,1)=1,COUNTIF($J37:$BB37,AD37)=1)),RANK(AD37,$J37:$BB37,1),IF(MIN($J57:$BB57)=AD57,1,COUNTIF($J57:$BB57,MIN($J57:$BB57))+1)))</f>
        <v>1</v>
      </c>
      <c r="AD10" s="248">
        <f>IF(AA$2="","",(IF(AND(COUNTBLANK(AA5:AA8)=0,COUNTBLANK(AC5:AC8)=0),(SUM(AD5:AD8))*$BO$10,"")))</f>
        <v>25</v>
      </c>
      <c r="AE10" s="149"/>
      <c r="AF10" s="150" t="s">
        <v>2</v>
      </c>
      <c r="AG10" s="151">
        <f>IF(AH10="","",IF(OR(RANK(AH37,$J37:$BB37,1)&gt;1,AND(RANK(AH37,$J37:$BB37,1)=1,COUNTIF($J37:$BB37,AH37)=1)),RANK(AH37,$J37:$BB37,1),IF(MIN($J57:$BB57)=AH57,1,COUNTIF($J57:$BB57,MIN($J57:$BB57))+1)))</f>
        <v>7</v>
      </c>
      <c r="AH10" s="248">
        <f>IF(AE$2="","",(IF(AND(COUNTBLANK(AE5:AE8)=0,COUNTBLANK(AG5:AG8)=0),(SUM(AH5:AH8))*$BO$10,"")))</f>
        <v>48</v>
      </c>
      <c r="AI10" s="149"/>
      <c r="AJ10" s="150" t="s">
        <v>2</v>
      </c>
      <c r="AK10" s="151">
        <f>IF(AL10="","",IF(OR(RANK(AL37,$J37:$BB37,1)&gt;1,AND(RANK(AL37,$J37:$BB37,1)=1,COUNTIF($J37:$BB37,AL37)=1)),RANK(AL37,$J37:$BB37,1),IF(MIN($J57:$BB57)=AL57,1,COUNTIF($J57:$BB57,MIN($J57:$BB57))+1)))</f>
        <v>9</v>
      </c>
      <c r="AL10" s="248">
        <f>IF(AI$2="","",(IF(AND(COUNTBLANK(AI5:AI8)=0,COUNTBLANK(AK5:AK8)=0),(SUM(AL5:AL8))*$BO$10,"")))</f>
        <v>61</v>
      </c>
      <c r="AM10" s="149"/>
      <c r="AN10" s="150" t="s">
        <v>2</v>
      </c>
      <c r="AO10" s="151">
        <f>IF(AP10="","",IF(OR(RANK(AP37,$J37:$BB37,1)&gt;1,AND(RANK(AP37,$J37:$BB37,1)=1,COUNTIF($J37:$BB37,AP37)=1)),RANK(AP37,$J37:$BB37,1),IF(MIN($J57:$BB57)=AP57,1,COUNTIF($J57:$BB57,MIN($J57:$BB57))+1)))</f>
        <v>6</v>
      </c>
      <c r="AP10" s="248">
        <f>IF(AM$2="","",(IF(AND(COUNTBLANK(AM5:AM8)=0,COUNTBLANK(AO5:AO8)=0),(SUM(AP5:AP8))*$BO$10,"")))</f>
        <v>47</v>
      </c>
      <c r="AQ10" s="149"/>
      <c r="AR10" s="150" t="s">
        <v>2</v>
      </c>
      <c r="AS10" s="151">
        <f>IF(AT10="","",IF(OR(RANK(AT37,$J37:$BB37,1)&gt;1,AND(RANK(AT37,$J37:$BB37,1)=1,COUNTIF($J37:$BB37,AT37)=1)),RANK(AT37,$J37:$BB37,1),IF(MIN($J57:$BB57)=AT57,1,COUNTIF($J57:$BB57,MIN($J57:$BB57))+1)))</f>
        <v>5</v>
      </c>
      <c r="AT10" s="248">
        <f>IF(AQ$2="","",(IF(AND(COUNTBLANK(AQ5:AQ8)=0,COUNTBLANK(AS5:AS8)=0),(SUM(AT5:AT8))*$BO$10,"")))</f>
        <v>45</v>
      </c>
      <c r="AU10" s="149"/>
      <c r="AV10" s="150" t="s">
        <v>2</v>
      </c>
      <c r="AW10" s="151">
        <f>IF(AX10="","",IF(OR(RANK(AX37,$J37:$BB37,1)&gt;1,AND(RANK(AX37,$J37:$BB37,1)=1,COUNTIF($J37:$BB37,AX37)=1)),RANK(AX37,$J37:$BB37,1),IF(MIN($J57:$BB57)=AX57,1,COUNTIF($J57:$BB57,MIN($J57:$BB57))+1)))</f>
        <v>2</v>
      </c>
      <c r="AX10" s="248">
        <f>IF(AU$2="","",(IF(AND(COUNTBLANK(AU5:AU8)=0,COUNTBLANK(AW5:AW8)=0),(SUM(AX5:AX8))*$BO$10,"")))</f>
        <v>41</v>
      </c>
      <c r="AY10" s="149"/>
      <c r="AZ10" s="150" t="s">
        <v>2</v>
      </c>
      <c r="BA10" s="151">
        <f>IF(BB10="","",IF(OR(RANK(BB37,$J37:$BB37,1)&gt;1,AND(RANK(BB37,$J37:$BB37,1)=1,COUNTIF($J37:$BB37,BB37)=1)),RANK(BB37,$J37:$BB37,1),IF(MIN($J57:$BB57)=BB57,1,COUNTIF($J57:$BB57,MIN($J57:$BB57))+1)))</f>
        <v>8</v>
      </c>
      <c r="BB10" s="247">
        <f>IF(AY$2="","",(IF(AND(COUNTBLANK(AY5:AY8)=0,COUNTBLANK(BA5:BA8)=0),(SUM(BB5:BB8))*$BO$10,"")))</f>
        <v>54</v>
      </c>
      <c r="BC10" s="117"/>
      <c r="BD10" s="117"/>
      <c r="BE10" s="117"/>
      <c r="BF10" s="117"/>
      <c r="BG10" s="117"/>
      <c r="BH10" s="236"/>
      <c r="BI10" s="152"/>
      <c r="BJ10" s="150" t="s">
        <v>2</v>
      </c>
      <c r="BK10" s="151">
        <f>IF(BL10="","",RANK(BL37,$J37:$BL37,1))</f>
        <v>7</v>
      </c>
      <c r="BL10" s="247">
        <f>IF(AND(COUNTBLANK(BI5:BI8)=0,COUNTBLANK(BK5:BK8)=0),(SUM(BL5:BL8))*$BO$10,"")</f>
        <v>48</v>
      </c>
      <c r="BO10" s="16">
        <v>1</v>
      </c>
      <c r="BP10" s="17" t="s">
        <v>14</v>
      </c>
      <c r="BQ10" s="21"/>
      <c r="BR10" s="21"/>
      <c r="BS10" s="21"/>
      <c r="BT10" s="21"/>
      <c r="BU10" s="21"/>
      <c r="BV10" s="21"/>
      <c r="BW10" s="21"/>
      <c r="BX10" s="12"/>
      <c r="BY10" s="26"/>
      <c r="BZ10" s="26"/>
      <c r="CA10" s="22"/>
      <c r="CB10" s="8"/>
      <c r="CC10" s="8"/>
      <c r="CD10" s="8"/>
      <c r="CE10" s="8"/>
      <c r="CF10" s="8"/>
      <c r="CG10" s="8"/>
      <c r="CH10" s="8"/>
      <c r="CI10" s="8"/>
      <c r="CJ10" s="8"/>
      <c r="CK10" s="8"/>
      <c r="CL10" s="8"/>
      <c r="CM10" s="8"/>
      <c r="CN10" s="8"/>
      <c r="CO10" s="8"/>
      <c r="CP10" s="8"/>
      <c r="CQ10" s="8"/>
      <c r="CR10" s="8"/>
      <c r="CS10" s="8"/>
      <c r="CT10" s="8"/>
      <c r="DK10" s="8"/>
      <c r="DL10" s="27" t="str">
        <f>CONCATENATE($DM$5,$G$13,$DN$5)</f>
        <v xml:space="preserve">   "",</v>
      </c>
      <c r="DM10" s="24"/>
      <c r="DN10" s="24"/>
    </row>
    <row r="11" spans="1:124" s="6" customFormat="1" ht="8.1" customHeight="1" thickBot="1" x14ac:dyDescent="0.25">
      <c r="A11" s="19"/>
      <c r="B11" s="181"/>
      <c r="C11" s="102"/>
      <c r="D11" s="102"/>
      <c r="E11" s="172"/>
      <c r="F11" s="182"/>
      <c r="G11" s="177"/>
      <c r="H11" s="158"/>
      <c r="I11" s="177"/>
      <c r="J11" s="183"/>
      <c r="K11" s="177"/>
      <c r="L11" s="158"/>
      <c r="M11" s="177"/>
      <c r="N11" s="183"/>
      <c r="O11" s="177"/>
      <c r="P11" s="158"/>
      <c r="Q11" s="177"/>
      <c r="R11" s="183"/>
      <c r="S11" s="177"/>
      <c r="T11" s="158"/>
      <c r="U11" s="177"/>
      <c r="V11" s="183"/>
      <c r="W11" s="177"/>
      <c r="X11" s="158"/>
      <c r="Y11" s="177"/>
      <c r="Z11" s="183"/>
      <c r="AA11" s="177"/>
      <c r="AB11" s="158"/>
      <c r="AC11" s="177"/>
      <c r="AD11" s="183"/>
      <c r="AE11" s="177"/>
      <c r="AF11" s="158"/>
      <c r="AG11" s="177"/>
      <c r="AH11" s="183"/>
      <c r="AI11" s="177"/>
      <c r="AJ11" s="158"/>
      <c r="AK11" s="177"/>
      <c r="AL11" s="183"/>
      <c r="AM11" s="177"/>
      <c r="AN11" s="158"/>
      <c r="AO11" s="177"/>
      <c r="AP11" s="183"/>
      <c r="AQ11" s="177"/>
      <c r="AR11" s="158"/>
      <c r="AS11" s="177"/>
      <c r="AT11" s="183"/>
      <c r="AU11" s="177"/>
      <c r="AV11" s="158"/>
      <c r="AW11" s="177"/>
      <c r="AX11" s="183"/>
      <c r="AY11" s="177"/>
      <c r="AZ11" s="158"/>
      <c r="BA11" s="177"/>
      <c r="BB11" s="159"/>
      <c r="BC11" s="117"/>
      <c r="BD11" s="117"/>
      <c r="BE11" s="117"/>
      <c r="BF11" s="117"/>
      <c r="BG11" s="117"/>
      <c r="BH11" s="237"/>
      <c r="BI11" s="157"/>
      <c r="BJ11" s="158"/>
      <c r="BK11" s="177"/>
      <c r="BL11" s="159"/>
      <c r="BO11" s="16"/>
      <c r="BP11" s="17"/>
      <c r="BQ11" s="21"/>
      <c r="BR11" s="21"/>
      <c r="BS11" s="21"/>
      <c r="BT11" s="21"/>
      <c r="BU11" s="21"/>
      <c r="BV11" s="21"/>
      <c r="BW11" s="21"/>
      <c r="BX11" s="12"/>
      <c r="BY11" s="26"/>
      <c r="BZ11" s="26"/>
      <c r="CA11" s="22"/>
      <c r="CB11" s="8"/>
      <c r="CC11" s="8"/>
      <c r="CD11" s="8"/>
      <c r="CE11" s="8"/>
      <c r="CF11" s="8"/>
      <c r="CG11" s="8"/>
      <c r="CH11" s="8"/>
      <c r="CI11" s="8"/>
      <c r="CJ11" s="8"/>
      <c r="CK11" s="8"/>
      <c r="CL11" s="8"/>
      <c r="CM11" s="8"/>
      <c r="CN11" s="8"/>
      <c r="CO11" s="8"/>
      <c r="CP11" s="8"/>
      <c r="CQ11" s="8"/>
      <c r="CR11" s="8"/>
      <c r="CS11" s="8"/>
      <c r="CT11" s="8"/>
      <c r="DK11" s="8"/>
      <c r="DL11" s="27" t="str">
        <f>CONCATENATE($DM$5,$G$14,$DN$5)</f>
        <v xml:space="preserve">   "",</v>
      </c>
      <c r="DM11" s="24"/>
      <c r="DN11" s="24"/>
    </row>
    <row r="12" spans="1:124" s="6" customFormat="1" ht="18" customHeight="1" thickBot="1" x14ac:dyDescent="0.25">
      <c r="A12" s="19"/>
      <c r="B12" s="278" t="s">
        <v>124</v>
      </c>
      <c r="C12" s="279"/>
      <c r="D12" s="279"/>
      <c r="E12" s="279"/>
      <c r="F12" s="280"/>
      <c r="G12" s="241"/>
      <c r="H12" s="241" t="s">
        <v>127</v>
      </c>
      <c r="I12" s="242"/>
      <c r="J12" s="243" t="s">
        <v>1</v>
      </c>
      <c r="K12" s="244"/>
      <c r="L12" s="241" t="s">
        <v>127</v>
      </c>
      <c r="M12" s="242"/>
      <c r="N12" s="243" t="s">
        <v>1</v>
      </c>
      <c r="O12" s="244"/>
      <c r="P12" s="241" t="s">
        <v>127</v>
      </c>
      <c r="Q12" s="242"/>
      <c r="R12" s="243" t="s">
        <v>1</v>
      </c>
      <c r="S12" s="244"/>
      <c r="T12" s="241" t="s">
        <v>127</v>
      </c>
      <c r="U12" s="242"/>
      <c r="V12" s="243" t="s">
        <v>1</v>
      </c>
      <c r="W12" s="244"/>
      <c r="X12" s="241" t="s">
        <v>127</v>
      </c>
      <c r="Y12" s="242"/>
      <c r="Z12" s="243" t="s">
        <v>1</v>
      </c>
      <c r="AA12" s="244"/>
      <c r="AB12" s="241" t="s">
        <v>127</v>
      </c>
      <c r="AC12" s="242"/>
      <c r="AD12" s="243" t="s">
        <v>1</v>
      </c>
      <c r="AE12" s="244"/>
      <c r="AF12" s="241" t="s">
        <v>127</v>
      </c>
      <c r="AG12" s="242"/>
      <c r="AH12" s="243" t="s">
        <v>1</v>
      </c>
      <c r="AI12" s="244"/>
      <c r="AJ12" s="241" t="s">
        <v>127</v>
      </c>
      <c r="AK12" s="242"/>
      <c r="AL12" s="243" t="s">
        <v>1</v>
      </c>
      <c r="AM12" s="244"/>
      <c r="AN12" s="241" t="s">
        <v>127</v>
      </c>
      <c r="AO12" s="242"/>
      <c r="AP12" s="243" t="s">
        <v>1</v>
      </c>
      <c r="AQ12" s="244"/>
      <c r="AR12" s="241" t="s">
        <v>127</v>
      </c>
      <c r="AS12" s="242"/>
      <c r="AT12" s="243" t="s">
        <v>1</v>
      </c>
      <c r="AU12" s="244"/>
      <c r="AV12" s="241" t="s">
        <v>127</v>
      </c>
      <c r="AW12" s="242"/>
      <c r="AX12" s="243" t="s">
        <v>1</v>
      </c>
      <c r="AY12" s="244"/>
      <c r="AZ12" s="241" t="s">
        <v>127</v>
      </c>
      <c r="BA12" s="242"/>
      <c r="BB12" s="245" t="s">
        <v>1</v>
      </c>
      <c r="BC12" s="117"/>
      <c r="BD12" s="148"/>
      <c r="BE12" s="148"/>
      <c r="BF12" s="148"/>
      <c r="BG12" s="148"/>
      <c r="BH12" s="237"/>
      <c r="BI12" s="244"/>
      <c r="BJ12" s="241" t="s">
        <v>127</v>
      </c>
      <c r="BK12" s="242"/>
      <c r="BL12" s="245" t="s">
        <v>1</v>
      </c>
      <c r="BM12" s="20"/>
      <c r="BO12" s="16">
        <f>COUNTIF(J36:BB36,1)</f>
        <v>1</v>
      </c>
      <c r="BP12" s="17" t="s">
        <v>18</v>
      </c>
      <c r="BQ12" s="21"/>
      <c r="BR12" s="21"/>
      <c r="BS12" s="21"/>
      <c r="BT12" s="21"/>
      <c r="BU12" s="21"/>
      <c r="BV12" s="21"/>
      <c r="BW12" s="21"/>
      <c r="BX12" s="12"/>
      <c r="BY12" s="12"/>
      <c r="BZ12" s="21"/>
      <c r="CA12" s="22"/>
      <c r="CB12" s="8"/>
      <c r="CC12" s="8"/>
      <c r="CD12" s="8"/>
      <c r="CE12" s="8"/>
      <c r="CF12" s="8"/>
      <c r="CG12" s="8"/>
      <c r="CH12" s="8"/>
      <c r="CI12" s="8"/>
      <c r="CJ12" s="8"/>
      <c r="CK12" s="8"/>
      <c r="CL12" s="8"/>
      <c r="CM12" s="8"/>
      <c r="CN12" s="8"/>
      <c r="CO12" s="8"/>
      <c r="CP12" s="8"/>
      <c r="CQ12" s="8"/>
      <c r="CR12" s="8"/>
      <c r="CS12" s="8"/>
      <c r="CT12" s="8"/>
      <c r="DK12" s="8"/>
      <c r="DL12" s="27" t="str">
        <f>CONCATENATE($DM$5,$G$15,$DN$5)</f>
        <v xml:space="preserve">   "",</v>
      </c>
      <c r="DM12" s="24"/>
      <c r="DN12" s="24"/>
    </row>
    <row r="13" spans="1:124" s="6" customFormat="1" ht="15" customHeight="1" x14ac:dyDescent="0.2">
      <c r="A13" s="19"/>
      <c r="B13" s="107"/>
      <c r="C13" s="108"/>
      <c r="D13" s="109" t="s">
        <v>3</v>
      </c>
      <c r="E13" s="110"/>
      <c r="F13" s="111"/>
      <c r="G13" s="113"/>
      <c r="H13" s="113" t="s">
        <v>0</v>
      </c>
      <c r="I13" s="114"/>
      <c r="J13" s="115" t="str">
        <f>IF(OR(G$2="",G13="",I13=""),"",IF($BD13="","",IF(G13=$BD13,ABS(I13-$BF13),ABS(I13+$BF13))+IF(G13&lt;&gt;$BD13,$BO$5,0)))</f>
        <v/>
      </c>
      <c r="K13" s="112"/>
      <c r="L13" s="113" t="s">
        <v>0</v>
      </c>
      <c r="M13" s="114"/>
      <c r="N13" s="115" t="str">
        <f>IF(OR(K$2="",K13="",M13=""),"",IF($BD13="","",IF(K13=$BD13,ABS(M13-$BF13),ABS(M13+$BF13))+IF(K13&lt;&gt;$BD13,$BO$5,0)))</f>
        <v/>
      </c>
      <c r="O13" s="112"/>
      <c r="P13" s="113" t="s">
        <v>0</v>
      </c>
      <c r="Q13" s="114"/>
      <c r="R13" s="115" t="str">
        <f>IF(OR(O$2="",O13="",Q13=""),"",IF($BD13="","",IF(O13=$BD13,ABS(Q13-$BF13),ABS(Q13+$BF13))+IF(O13&lt;&gt;$BD13,$BO$5,0)))</f>
        <v/>
      </c>
      <c r="S13" s="112"/>
      <c r="T13" s="113" t="s">
        <v>0</v>
      </c>
      <c r="U13" s="114"/>
      <c r="V13" s="115" t="str">
        <f>IF(OR(S$2="",S13="",U13=""),"",IF($BD13="","",IF(S13=$BD13,ABS(U13-$BF13),ABS(U13+$BF13))+IF(S13&lt;&gt;$BD13,$BO$5,0)))</f>
        <v/>
      </c>
      <c r="W13" s="112"/>
      <c r="X13" s="113" t="s">
        <v>0</v>
      </c>
      <c r="Y13" s="114"/>
      <c r="Z13" s="115" t="str">
        <f>IF(OR(W$2="",W13="",Y13=""),"",IF($BD13="","",IF(W13=$BD13,ABS(Y13-$BF13),ABS(Y13+$BF13))+IF(W13&lt;&gt;$BD13,$BO$5,0)))</f>
        <v/>
      </c>
      <c r="AA13" s="112"/>
      <c r="AB13" s="113" t="s">
        <v>0</v>
      </c>
      <c r="AC13" s="114"/>
      <c r="AD13" s="115" t="str">
        <f>IF(OR(AA$2="",AA13="",AC13=""),"",IF($BD13="","",IF(AA13=$BD13,ABS(AC13-$BF13),ABS(AC13+$BF13))+IF(AA13&lt;&gt;$BD13,$BO$5,0)))</f>
        <v/>
      </c>
      <c r="AE13" s="112"/>
      <c r="AF13" s="113" t="s">
        <v>0</v>
      </c>
      <c r="AG13" s="114"/>
      <c r="AH13" s="115" t="str">
        <f>IF(OR(AE$2="",AE13="",AG13=""),"",IF($BD13="","",IF(AE13=$BD13,ABS(AG13-$BF13),ABS(AG13+$BF13))+IF(AE13&lt;&gt;$BD13,$BO$5,0)))</f>
        <v/>
      </c>
      <c r="AI13" s="112"/>
      <c r="AJ13" s="113" t="s">
        <v>0</v>
      </c>
      <c r="AK13" s="114"/>
      <c r="AL13" s="115" t="str">
        <f>IF(OR(AI$2="",AI13="",AK13=""),"",IF($BD13="","",IF(AI13=$BD13,ABS(AK13-$BF13),ABS(AK13+$BF13))+IF(AI13&lt;&gt;$BD13,$BO$5,0)))</f>
        <v/>
      </c>
      <c r="AM13" s="112"/>
      <c r="AN13" s="113" t="s">
        <v>0</v>
      </c>
      <c r="AO13" s="114"/>
      <c r="AP13" s="115" t="str">
        <f>IF(OR(AM$2="",AM13="",AO13=""),"",IF($BD13="","",IF(AM13=$BD13,ABS(AO13-$BF13),ABS(AO13+$BF13))+IF(AM13&lt;&gt;$BD13,$BO$5,0)))</f>
        <v/>
      </c>
      <c r="AQ13" s="112"/>
      <c r="AR13" s="113" t="s">
        <v>0</v>
      </c>
      <c r="AS13" s="114"/>
      <c r="AT13" s="115" t="str">
        <f>IF(OR(AQ$2="",AQ13="",AS13=""),"",IF($BD13="","",IF(AQ13=$BD13,ABS(AS13-$BF13),ABS(AS13+$BF13))+IF(AQ13&lt;&gt;$BD13,$BO$5,0)))</f>
        <v/>
      </c>
      <c r="AU13" s="112"/>
      <c r="AV13" s="113" t="s">
        <v>0</v>
      </c>
      <c r="AW13" s="114"/>
      <c r="AX13" s="115" t="str">
        <f>IF(OR(AU$2="",AU13="",AW13=""),"",IF($BD13="","",IF(AU13=$BD13,ABS(AW13-$BF13),ABS(AW13+$BF13))+IF(AU13&lt;&gt;$BD13,$BO$5,0)))</f>
        <v/>
      </c>
      <c r="AY13" s="112"/>
      <c r="AZ13" s="113" t="s">
        <v>0</v>
      </c>
      <c r="BA13" s="114"/>
      <c r="BB13" s="116" t="str">
        <f>IF(OR(AY$2="",AY13="",BA13=""),"",IF($BD13="","",IF(AY13=$BD13,ABS(BA13-$BF13),ABS(BA13+$BF13))+IF(AY13&lt;&gt;$BD13,$BO$5,0)))</f>
        <v/>
      </c>
      <c r="BC13" s="117"/>
      <c r="BD13" s="118" t="str">
        <f t="shared" ref="BD13:BD16" si="1">IF(OR(B13="",F13="",B13=F13),"",IF(B13&gt;F13,"V","H"))</f>
        <v/>
      </c>
      <c r="BE13" s="118" t="s">
        <v>0</v>
      </c>
      <c r="BF13" s="118" t="str">
        <f t="shared" ref="BF13:BF16" si="2">IF(OR(B13="",F13="",B13=F13),"",ABS(B13-F13))</f>
        <v/>
      </c>
      <c r="BG13" s="118"/>
      <c r="BH13" s="235">
        <f t="shared" ref="BH13:BH16" si="3">SUM(IF(G13="H",I13,-I13),IF(K13="H",M13,-M13),IF(O13="H",Q13,-Q13),IF(S13="H",U13,-U13),IF(W13="H",Y13,-Y13),IF(AA13="H",AC13,-AC13),IF(AE13="H",AG13,-AG13),IF(AI13="H",AK13,-AK13),IF(AM13="H",AO13,-AO13),IF(AQ13="H",AS13,-AS13),IF(AU13="H",AW13,-AW13),IF(AY13="H",BA13,-BA13))</f>
        <v>0</v>
      </c>
      <c r="BI13" s="119" t="str">
        <f t="shared" ref="BI13:BI16" si="4">IF(COUNTA(G13,K13,O13,S13,W13,AA13,AE13,AI13,AM13,AQ13,AU13,AY13)&gt;0,IF(BH13&lt;0,"V","H"),"")</f>
        <v/>
      </c>
      <c r="BJ13" s="120" t="s">
        <v>0</v>
      </c>
      <c r="BK13" s="121" t="str">
        <f t="shared" ref="BK13:BK16" si="5">IF(BI13="","",IF(ABS(BH13)&lt;(COUNTA(G13,K13,O13,S13,W13,AA13,AE13,AI13,AM13,AQ13,AU13,AY13)/2),1,ROUND(ABS(BH13)/COUNTA(G13,K13,O13,S13,W13,AA13,AE13,AI13,AM13,AQ13,AU13,AY13),0)))</f>
        <v/>
      </c>
      <c r="BL13" s="116" t="str">
        <f t="shared" ref="BL13:BL16" si="6">IF(OR(BI13="",BK13=""),"",IF($BD13="","",IF(BI13=$BD13,ABS(BK13-$BF13),ABS(BK13+$BF13))+IF(BI13&lt;&gt;$BD13,$BO$5,0)))</f>
        <v/>
      </c>
      <c r="BM13" s="25"/>
      <c r="CA13" s="22"/>
      <c r="CB13" s="8"/>
      <c r="CC13" s="8"/>
      <c r="CD13" s="8"/>
      <c r="CE13" s="8"/>
      <c r="CF13" s="8"/>
      <c r="CG13" s="8"/>
      <c r="CH13" s="8"/>
      <c r="CI13" s="8"/>
      <c r="CJ13" s="8"/>
      <c r="CK13" s="8"/>
      <c r="CL13" s="8"/>
      <c r="CM13" s="8"/>
      <c r="CN13" s="8"/>
      <c r="CO13" s="8"/>
      <c r="CP13" s="8"/>
      <c r="CQ13" s="8"/>
      <c r="CR13" s="8"/>
      <c r="CS13" s="8"/>
      <c r="CT13" s="8"/>
      <c r="DK13" s="8"/>
      <c r="DL13" s="27" t="str">
        <f>CONCATENATE($DM$5,$G$16,$DN$5)</f>
        <v xml:space="preserve">   "",</v>
      </c>
      <c r="DM13" s="24"/>
      <c r="DN13" s="24"/>
    </row>
    <row r="14" spans="1:124" s="6" customFormat="1" ht="15" customHeight="1" x14ac:dyDescent="0.2">
      <c r="A14" s="19"/>
      <c r="B14" s="122"/>
      <c r="C14" s="113"/>
      <c r="D14" s="120" t="s">
        <v>3</v>
      </c>
      <c r="E14" s="123"/>
      <c r="F14" s="124"/>
      <c r="G14" s="113"/>
      <c r="H14" s="113" t="s">
        <v>0</v>
      </c>
      <c r="I14" s="125"/>
      <c r="J14" s="115" t="str">
        <f>IF(OR(G$2="",G14="",I14=""),"",IF($BD14="","",IF(G14=$BD14,ABS(I14-$BF14),ABS(I14+$BF14))+IF(G14&lt;&gt;$BD14,$BO$5,0)))</f>
        <v/>
      </c>
      <c r="K14" s="112"/>
      <c r="L14" s="113" t="s">
        <v>0</v>
      </c>
      <c r="M14" s="125"/>
      <c r="N14" s="115" t="str">
        <f>IF(OR(K$2="",K14="",M14=""),"",IF($BD14="","",IF(K14=$BD14,ABS(M14-$BF14),ABS(M14+$BF14))+IF(K14&lt;&gt;$BD14,$BO$5,0)))</f>
        <v/>
      </c>
      <c r="O14" s="112"/>
      <c r="P14" s="113" t="s">
        <v>0</v>
      </c>
      <c r="Q14" s="125"/>
      <c r="R14" s="115" t="str">
        <f>IF(OR(O$2="",O14="",Q14=""),"",IF($BD14="","",IF(O14=$BD14,ABS(Q14-$BF14),ABS(Q14+$BF14))+IF(O14&lt;&gt;$BD14,$BO$5,0)))</f>
        <v/>
      </c>
      <c r="S14" s="112"/>
      <c r="T14" s="113" t="s">
        <v>0</v>
      </c>
      <c r="U14" s="125"/>
      <c r="V14" s="115" t="str">
        <f>IF(OR(S$2="",S14="",U14=""),"",IF($BD14="","",IF(S14=$BD14,ABS(U14-$BF14),ABS(U14+$BF14))+IF(S14&lt;&gt;$BD14,$BO$5,0)))</f>
        <v/>
      </c>
      <c r="W14" s="112"/>
      <c r="X14" s="113" t="s">
        <v>0</v>
      </c>
      <c r="Y14" s="125"/>
      <c r="Z14" s="115" t="str">
        <f>IF(OR(W$2="",W14="",Y14=""),"",IF($BD14="","",IF(W14=$BD14,ABS(Y14-$BF14),ABS(Y14+$BF14))+IF(W14&lt;&gt;$BD14,$BO$5,0)))</f>
        <v/>
      </c>
      <c r="AA14" s="112"/>
      <c r="AB14" s="113" t="s">
        <v>0</v>
      </c>
      <c r="AC14" s="125"/>
      <c r="AD14" s="115" t="str">
        <f>IF(OR(AA$2="",AA14="",AC14=""),"",IF($BD14="","",IF(AA14=$BD14,ABS(AC14-$BF14),ABS(AC14+$BF14))+IF(AA14&lt;&gt;$BD14,$BO$5,0)))</f>
        <v/>
      </c>
      <c r="AE14" s="112"/>
      <c r="AF14" s="113" t="s">
        <v>0</v>
      </c>
      <c r="AG14" s="125"/>
      <c r="AH14" s="115" t="str">
        <f>IF(OR(AE$2="",AE14="",AG14=""),"",IF($BD14="","",IF(AE14=$BD14,ABS(AG14-$BF14),ABS(AG14+$BF14))+IF(AE14&lt;&gt;$BD14,$BO$5,0)))</f>
        <v/>
      </c>
      <c r="AI14" s="112"/>
      <c r="AJ14" s="113" t="s">
        <v>0</v>
      </c>
      <c r="AK14" s="125"/>
      <c r="AL14" s="115" t="str">
        <f>IF(OR(AI$2="",AI14="",AK14=""),"",IF($BD14="","",IF(AI14=$BD14,ABS(AK14-$BF14),ABS(AK14+$BF14))+IF(AI14&lt;&gt;$BD14,$BO$5,0)))</f>
        <v/>
      </c>
      <c r="AM14" s="112"/>
      <c r="AN14" s="113" t="s">
        <v>0</v>
      </c>
      <c r="AO14" s="125"/>
      <c r="AP14" s="115" t="str">
        <f>IF(OR(AM$2="",AM14="",AO14=""),"",IF($BD14="","",IF(AM14=$BD14,ABS(AO14-$BF14),ABS(AO14+$BF14))+IF(AM14&lt;&gt;$BD14,$BO$5,0)))</f>
        <v/>
      </c>
      <c r="AQ14" s="112"/>
      <c r="AR14" s="113" t="s">
        <v>0</v>
      </c>
      <c r="AS14" s="125"/>
      <c r="AT14" s="115" t="str">
        <f>IF(OR(AQ$2="",AQ14="",AS14=""),"",IF($BD14="","",IF(AQ14=$BD14,ABS(AS14-$BF14),ABS(AS14+$BF14))+IF(AQ14&lt;&gt;$BD14,$BO$5,0)))</f>
        <v/>
      </c>
      <c r="AU14" s="112"/>
      <c r="AV14" s="113" t="s">
        <v>0</v>
      </c>
      <c r="AW14" s="125"/>
      <c r="AX14" s="115" t="str">
        <f>IF(OR(AU$2="",AU14="",AW14=""),"",IF($BD14="","",IF(AU14=$BD14,ABS(AW14-$BF14),ABS(AW14+$BF14))+IF(AU14&lt;&gt;$BD14,$BO$5,0)))</f>
        <v/>
      </c>
      <c r="AY14" s="112"/>
      <c r="AZ14" s="113" t="s">
        <v>0</v>
      </c>
      <c r="BA14" s="125"/>
      <c r="BB14" s="126" t="str">
        <f>IF(OR(AY$2="",AY14="",BA14=""),"",IF($BD14="","",IF(AY14=$BD14,ABS(BA14-$BF14),ABS(BA14+$BF14))+IF(AY14&lt;&gt;$BD14,$BO$5,0)))</f>
        <v/>
      </c>
      <c r="BC14" s="117"/>
      <c r="BD14" s="118" t="str">
        <f t="shared" si="1"/>
        <v/>
      </c>
      <c r="BE14" s="118" t="s">
        <v>0</v>
      </c>
      <c r="BF14" s="118" t="str">
        <f t="shared" si="2"/>
        <v/>
      </c>
      <c r="BG14" s="118"/>
      <c r="BH14" s="235">
        <f t="shared" si="3"/>
        <v>0</v>
      </c>
      <c r="BI14" s="119" t="str">
        <f t="shared" si="4"/>
        <v/>
      </c>
      <c r="BJ14" s="120" t="s">
        <v>0</v>
      </c>
      <c r="BK14" s="127" t="str">
        <f t="shared" si="5"/>
        <v/>
      </c>
      <c r="BL14" s="126" t="str">
        <f t="shared" si="6"/>
        <v/>
      </c>
      <c r="BM14" s="25"/>
      <c r="BQ14" s="21"/>
      <c r="BR14" s="21"/>
      <c r="BS14" s="21"/>
      <c r="BT14" s="21"/>
      <c r="BU14" s="21"/>
      <c r="BV14" s="21"/>
      <c r="BW14" s="21"/>
      <c r="BX14" s="21"/>
      <c r="BY14" s="21"/>
      <c r="BZ14" s="21"/>
      <c r="CA14" s="22"/>
      <c r="CB14" s="8"/>
      <c r="CC14" s="8"/>
      <c r="CD14" s="8"/>
      <c r="CE14" s="8"/>
      <c r="CF14" s="8"/>
      <c r="CG14" s="8"/>
      <c r="CH14" s="8"/>
      <c r="CI14" s="8"/>
      <c r="CJ14" s="8"/>
      <c r="CK14" s="8"/>
      <c r="CL14" s="8"/>
      <c r="CM14" s="8"/>
      <c r="CN14" s="8"/>
      <c r="CO14" s="8"/>
      <c r="CP14" s="8"/>
      <c r="CQ14" s="8"/>
      <c r="CR14" s="8"/>
      <c r="CS14" s="8"/>
      <c r="CT14" s="8"/>
      <c r="DK14" s="8"/>
      <c r="DL14" s="27" t="str">
        <f>CONCATENATE($DM$5,$G$21,$DN$5)</f>
        <v xml:space="preserve">   "",</v>
      </c>
      <c r="DM14" s="24"/>
      <c r="DN14" s="24"/>
      <c r="DO14" s="6" t="str">
        <f>CONCATENATE(CHAR(34),$C$5,CHAR(34),",",CHAR(34),$C$6,CHAR(34),",",CHAR(34),$C$7,CHAR(34),",",CHAR(34),$C$8,CHAR(34))</f>
        <v>"Bills","Titans","Vikings","Seahawks"</v>
      </c>
      <c r="DT14" s="6" t="str">
        <f>CONCATENATE(CHAR(34),$E$5,CHAR(34),",",CHAR(34),$E$6,CHAR(34),",",CHAR(34),$E$7,CHAR(34),",",CHAR(34),$E$8,CHAR(34))</f>
        <v>"Texans","Patriots","Saints","Eagles"</v>
      </c>
    </row>
    <row r="15" spans="1:124" s="6" customFormat="1" ht="15" customHeight="1" x14ac:dyDescent="0.2">
      <c r="A15" s="19"/>
      <c r="B15" s="122"/>
      <c r="C15" s="113"/>
      <c r="D15" s="120" t="s">
        <v>3</v>
      </c>
      <c r="E15" s="123"/>
      <c r="F15" s="124"/>
      <c r="G15" s="113"/>
      <c r="H15" s="113" t="s">
        <v>0</v>
      </c>
      <c r="I15" s="125"/>
      <c r="J15" s="115" t="str">
        <f>IF(OR(G$2="",G15="",I15=""),"",IF($BD15="","",IF(G15=$BD15,ABS(I15-$BF15),ABS(I15+$BF15))+IF(G15&lt;&gt;$BD15,$BO$5,0)))</f>
        <v/>
      </c>
      <c r="K15" s="112"/>
      <c r="L15" s="113" t="s">
        <v>0</v>
      </c>
      <c r="M15" s="125"/>
      <c r="N15" s="115" t="str">
        <f>IF(OR(K$2="",K15="",M15=""),"",IF($BD15="","",IF(K15=$BD15,ABS(M15-$BF15),ABS(M15+$BF15))+IF(K15&lt;&gt;$BD15,$BO$5,0)))</f>
        <v/>
      </c>
      <c r="O15" s="112"/>
      <c r="P15" s="113" t="s">
        <v>0</v>
      </c>
      <c r="Q15" s="125"/>
      <c r="R15" s="115" t="str">
        <f>IF(OR(O$2="",O15="",Q15=""),"",IF($BD15="","",IF(O15=$BD15,ABS(Q15-$BF15),ABS(Q15+$BF15))+IF(O15&lt;&gt;$BD15,$BO$5,0)))</f>
        <v/>
      </c>
      <c r="S15" s="112"/>
      <c r="T15" s="113" t="s">
        <v>0</v>
      </c>
      <c r="U15" s="125"/>
      <c r="V15" s="115" t="str">
        <f>IF(OR(S$2="",S15="",U15=""),"",IF($BD15="","",IF(S15=$BD15,ABS(U15-$BF15),ABS(U15+$BF15))+IF(S15&lt;&gt;$BD15,$BO$5,0)))</f>
        <v/>
      </c>
      <c r="W15" s="112"/>
      <c r="X15" s="113" t="s">
        <v>0</v>
      </c>
      <c r="Y15" s="125"/>
      <c r="Z15" s="115" t="str">
        <f>IF(OR(W$2="",W15="",Y15=""),"",IF($BD15="","",IF(W15=$BD15,ABS(Y15-$BF15),ABS(Y15+$BF15))+IF(W15&lt;&gt;$BD15,$BO$5,0)))</f>
        <v/>
      </c>
      <c r="AA15" s="112"/>
      <c r="AB15" s="113" t="s">
        <v>0</v>
      </c>
      <c r="AC15" s="125"/>
      <c r="AD15" s="115" t="str">
        <f>IF(OR(AA$2="",AA15="",AC15=""),"",IF($BD15="","",IF(AA15=$BD15,ABS(AC15-$BF15),ABS(AC15+$BF15))+IF(AA15&lt;&gt;$BD15,$BO$5,0)))</f>
        <v/>
      </c>
      <c r="AE15" s="112"/>
      <c r="AF15" s="113" t="s">
        <v>0</v>
      </c>
      <c r="AG15" s="125"/>
      <c r="AH15" s="115" t="str">
        <f>IF(OR(AE$2="",AE15="",AG15=""),"",IF($BD15="","",IF(AE15=$BD15,ABS(AG15-$BF15),ABS(AG15+$BF15))+IF(AE15&lt;&gt;$BD15,$BO$5,0)))</f>
        <v/>
      </c>
      <c r="AI15" s="112"/>
      <c r="AJ15" s="113" t="s">
        <v>0</v>
      </c>
      <c r="AK15" s="125"/>
      <c r="AL15" s="115" t="str">
        <f>IF(OR(AI$2="",AI15="",AK15=""),"",IF($BD15="","",IF(AI15=$BD15,ABS(AK15-$BF15),ABS(AK15+$BF15))+IF(AI15&lt;&gt;$BD15,$BO$5,0)))</f>
        <v/>
      </c>
      <c r="AM15" s="112"/>
      <c r="AN15" s="113" t="s">
        <v>0</v>
      </c>
      <c r="AO15" s="125"/>
      <c r="AP15" s="115" t="str">
        <f>IF(OR(AM$2="",AM15="",AO15=""),"",IF($BD15="","",IF(AM15=$BD15,ABS(AO15-$BF15),ABS(AO15+$BF15))+IF(AM15&lt;&gt;$BD15,$BO$5,0)))</f>
        <v/>
      </c>
      <c r="AQ15" s="112"/>
      <c r="AR15" s="113" t="s">
        <v>0</v>
      </c>
      <c r="AS15" s="125"/>
      <c r="AT15" s="115" t="str">
        <f>IF(OR(AQ$2="",AQ15="",AS15=""),"",IF($BD15="","",IF(AQ15=$BD15,ABS(AS15-$BF15),ABS(AS15+$BF15))+IF(AQ15&lt;&gt;$BD15,$BO$5,0)))</f>
        <v/>
      </c>
      <c r="AU15" s="112"/>
      <c r="AV15" s="113" t="s">
        <v>0</v>
      </c>
      <c r="AW15" s="125"/>
      <c r="AX15" s="115" t="str">
        <f>IF(OR(AU$2="",AU15="",AW15=""),"",IF($BD15="","",IF(AU15=$BD15,ABS(AW15-$BF15),ABS(AW15+$BF15))+IF(AU15&lt;&gt;$BD15,$BO$5,0)))</f>
        <v/>
      </c>
      <c r="AY15" s="112"/>
      <c r="AZ15" s="113" t="s">
        <v>0</v>
      </c>
      <c r="BA15" s="125"/>
      <c r="BB15" s="126" t="str">
        <f>IF(OR(AY$2="",AY15="",BA15=""),"",IF($BD15="","",IF(AY15=$BD15,ABS(BA15-$BF15),ABS(BA15+$BF15))+IF(AY15&lt;&gt;$BD15,$BO$5,0)))</f>
        <v/>
      </c>
      <c r="BC15" s="117"/>
      <c r="BD15" s="118" t="str">
        <f t="shared" si="1"/>
        <v/>
      </c>
      <c r="BE15" s="118" t="s">
        <v>0</v>
      </c>
      <c r="BF15" s="118" t="str">
        <f t="shared" si="2"/>
        <v/>
      </c>
      <c r="BG15" s="118"/>
      <c r="BH15" s="235">
        <f t="shared" si="3"/>
        <v>0</v>
      </c>
      <c r="BI15" s="119" t="str">
        <f t="shared" si="4"/>
        <v/>
      </c>
      <c r="BJ15" s="120" t="s">
        <v>0</v>
      </c>
      <c r="BK15" s="127" t="str">
        <f t="shared" si="5"/>
        <v/>
      </c>
      <c r="BL15" s="126" t="str">
        <f t="shared" si="6"/>
        <v/>
      </c>
      <c r="BM15" s="25"/>
      <c r="BO15" s="16"/>
      <c r="BP15" s="17"/>
      <c r="BQ15" s="21"/>
      <c r="BR15" s="21"/>
      <c r="BS15" s="21"/>
      <c r="BT15" s="21"/>
      <c r="BU15" s="21"/>
      <c r="BV15" s="21"/>
      <c r="BW15" s="21"/>
      <c r="BX15" s="21"/>
      <c r="BY15" s="21"/>
      <c r="BZ15" s="21"/>
      <c r="CA15" s="22"/>
      <c r="CB15" s="8"/>
      <c r="CC15" s="8"/>
      <c r="CD15" s="8"/>
      <c r="CE15" s="8"/>
      <c r="CF15" s="8"/>
      <c r="CG15" s="8"/>
      <c r="CH15" s="8"/>
      <c r="CI15" s="8"/>
      <c r="CJ15" s="8"/>
      <c r="CK15" s="8"/>
      <c r="CL15" s="8"/>
      <c r="CM15" s="8"/>
      <c r="CN15" s="8"/>
      <c r="CO15" s="8"/>
      <c r="CP15" s="8"/>
      <c r="CQ15" s="8"/>
      <c r="CR15" s="8"/>
      <c r="CS15" s="8"/>
      <c r="CT15" s="8"/>
      <c r="DK15" s="8"/>
      <c r="DL15" s="27" t="str">
        <f>CONCATENATE($DM$5,$G$22,$DN$5)</f>
        <v xml:space="preserve">   "",</v>
      </c>
      <c r="DM15" s="24"/>
      <c r="DN15" s="24"/>
      <c r="DO15" s="6" t="str">
        <f>CONCATENATE(CHAR(34),$C$13,CHAR(34),",",CHAR(34),$C$14,CHAR(34),",",CHAR(34),$C$15,CHAR(34),",",CHAR(34),$C$16,CHAR(34))</f>
        <v>"","","",""</v>
      </c>
      <c r="DT15" s="6" t="str">
        <f>CONCATENATE(CHAR(34),$E$13,CHAR(34),",",CHAR(34),$E$14,CHAR(34),",",CHAR(34),$E$15,CHAR(34),",",CHAR(34),$E$16,CHAR(34))</f>
        <v>"","","",""</v>
      </c>
    </row>
    <row r="16" spans="1:124" s="6" customFormat="1" ht="15" customHeight="1" x14ac:dyDescent="0.2">
      <c r="A16" s="19"/>
      <c r="B16" s="128"/>
      <c r="C16" s="129"/>
      <c r="D16" s="130" t="s">
        <v>3</v>
      </c>
      <c r="E16" s="131"/>
      <c r="F16" s="132"/>
      <c r="G16" s="129"/>
      <c r="H16" s="129" t="s">
        <v>0</v>
      </c>
      <c r="I16" s="134"/>
      <c r="J16" s="135" t="str">
        <f>IF(OR(G$2="",G16="",I16=""),"",IF($BD16="","",IF(G16=$BD16,ABS(I16-$BF16),ABS(I16+$BF16))+IF(G16&lt;&gt;$BD16,$BO$5,0)))</f>
        <v/>
      </c>
      <c r="K16" s="133"/>
      <c r="L16" s="129" t="s">
        <v>0</v>
      </c>
      <c r="M16" s="134"/>
      <c r="N16" s="135" t="str">
        <f>IF(OR(K$2="",K16="",M16=""),"",IF($BD16="","",IF(K16=$BD16,ABS(M16-$BF16),ABS(M16+$BF16))+IF(K16&lt;&gt;$BD16,$BO$5,0)))</f>
        <v/>
      </c>
      <c r="O16" s="133"/>
      <c r="P16" s="129" t="s">
        <v>0</v>
      </c>
      <c r="Q16" s="134"/>
      <c r="R16" s="135" t="str">
        <f>IF(OR(O$2="",O16="",Q16=""),"",IF($BD16="","",IF(O16=$BD16,ABS(Q16-$BF16),ABS(Q16+$BF16))+IF(O16&lt;&gt;$BD16,$BO$5,0)))</f>
        <v/>
      </c>
      <c r="S16" s="133"/>
      <c r="T16" s="129" t="s">
        <v>0</v>
      </c>
      <c r="U16" s="134"/>
      <c r="V16" s="135" t="str">
        <f>IF(OR(S$2="",S16="",U16=""),"",IF($BD16="","",IF(S16=$BD16,ABS(U16-$BF16),ABS(U16+$BF16))+IF(S16&lt;&gt;$BD16,$BO$5,0)))</f>
        <v/>
      </c>
      <c r="W16" s="133"/>
      <c r="X16" s="129" t="s">
        <v>0</v>
      </c>
      <c r="Y16" s="134"/>
      <c r="Z16" s="135" t="str">
        <f>IF(OR(W$2="",W16="",Y16=""),"",IF($BD16="","",IF(W16=$BD16,ABS(Y16-$BF16),ABS(Y16+$BF16))+IF(W16&lt;&gt;$BD16,$BO$5,0)))</f>
        <v/>
      </c>
      <c r="AA16" s="133"/>
      <c r="AB16" s="129" t="s">
        <v>0</v>
      </c>
      <c r="AC16" s="134"/>
      <c r="AD16" s="135" t="str">
        <f>IF(OR(AA$2="",AA16="",AC16=""),"",IF($BD16="","",IF(AA16=$BD16,ABS(AC16-$BF16),ABS(AC16+$BF16))+IF(AA16&lt;&gt;$BD16,$BO$5,0)))</f>
        <v/>
      </c>
      <c r="AE16" s="133"/>
      <c r="AF16" s="129" t="s">
        <v>0</v>
      </c>
      <c r="AG16" s="134"/>
      <c r="AH16" s="135" t="str">
        <f>IF(OR(AE$2="",AE16="",AG16=""),"",IF($BD16="","",IF(AE16=$BD16,ABS(AG16-$BF16),ABS(AG16+$BF16))+IF(AE16&lt;&gt;$BD16,$BO$5,0)))</f>
        <v/>
      </c>
      <c r="AI16" s="133"/>
      <c r="AJ16" s="129" t="s">
        <v>0</v>
      </c>
      <c r="AK16" s="134"/>
      <c r="AL16" s="135" t="str">
        <f>IF(OR(AI$2="",AI16="",AK16=""),"",IF($BD16="","",IF(AI16=$BD16,ABS(AK16-$BF16),ABS(AK16+$BF16))+IF(AI16&lt;&gt;$BD16,$BO$5,0)))</f>
        <v/>
      </c>
      <c r="AM16" s="133"/>
      <c r="AN16" s="129" t="s">
        <v>0</v>
      </c>
      <c r="AO16" s="134"/>
      <c r="AP16" s="135" t="str">
        <f>IF(OR(AM$2="",AM16="",AO16=""),"",IF($BD16="","",IF(AM16=$BD16,ABS(AO16-$BF16),ABS(AO16+$BF16))+IF(AM16&lt;&gt;$BD16,$BO$5,0)))</f>
        <v/>
      </c>
      <c r="AQ16" s="133"/>
      <c r="AR16" s="129" t="s">
        <v>0</v>
      </c>
      <c r="AS16" s="134"/>
      <c r="AT16" s="135" t="str">
        <f>IF(OR(AQ$2="",AQ16="",AS16=""),"",IF($BD16="","",IF(AQ16=$BD16,ABS(AS16-$BF16),ABS(AS16+$BF16))+IF(AQ16&lt;&gt;$BD16,$BO$5,0)))</f>
        <v/>
      </c>
      <c r="AU16" s="133"/>
      <c r="AV16" s="129" t="s">
        <v>0</v>
      </c>
      <c r="AW16" s="134"/>
      <c r="AX16" s="135" t="str">
        <f>IF(OR(AU$2="",AU16="",AW16=""),"",IF($BD16="","",IF(AU16=$BD16,ABS(AW16-$BF16),ABS(AW16+$BF16))+IF(AU16&lt;&gt;$BD16,$BO$5,0)))</f>
        <v/>
      </c>
      <c r="AY16" s="133"/>
      <c r="AZ16" s="129" t="s">
        <v>0</v>
      </c>
      <c r="BA16" s="134"/>
      <c r="BB16" s="136" t="str">
        <f>IF(OR(AY$2="",AY16="",BA16=""),"",IF($BD16="","",IF(AY16=$BD16,ABS(BA16-$BF16),ABS(BA16+$BF16))+IF(AY16&lt;&gt;$BD16,$BO$5,0)))</f>
        <v/>
      </c>
      <c r="BC16" s="117"/>
      <c r="BD16" s="118" t="str">
        <f t="shared" si="1"/>
        <v/>
      </c>
      <c r="BE16" s="118" t="s">
        <v>0</v>
      </c>
      <c r="BF16" s="118" t="str">
        <f t="shared" si="2"/>
        <v/>
      </c>
      <c r="BG16" s="118"/>
      <c r="BH16" s="235">
        <f t="shared" si="3"/>
        <v>0</v>
      </c>
      <c r="BI16" s="137" t="str">
        <f t="shared" si="4"/>
        <v/>
      </c>
      <c r="BJ16" s="130" t="s">
        <v>0</v>
      </c>
      <c r="BK16" s="138" t="str">
        <f t="shared" si="5"/>
        <v/>
      </c>
      <c r="BL16" s="136" t="str">
        <f t="shared" si="6"/>
        <v/>
      </c>
      <c r="BM16" s="25"/>
      <c r="BO16" s="16"/>
      <c r="BP16" s="17"/>
      <c r="BQ16" s="21"/>
      <c r="BR16" s="21"/>
      <c r="BS16" s="21"/>
      <c r="BT16" s="21"/>
      <c r="BU16" s="21"/>
      <c r="BV16" s="21"/>
      <c r="BW16" s="21"/>
      <c r="BX16" s="21"/>
      <c r="BY16" s="21"/>
      <c r="BZ16" s="21"/>
      <c r="CA16" s="22"/>
      <c r="CB16" s="8"/>
      <c r="CC16" s="8"/>
      <c r="CD16" s="8"/>
      <c r="CE16" s="8"/>
      <c r="CF16" s="8"/>
      <c r="CG16" s="8"/>
      <c r="CH16" s="8"/>
      <c r="CI16" s="8"/>
      <c r="CJ16" s="8"/>
      <c r="CK16" s="8"/>
      <c r="CL16" s="8"/>
      <c r="CM16" s="8"/>
      <c r="CN16" s="8"/>
      <c r="CO16" s="8"/>
      <c r="CP16" s="8"/>
      <c r="CQ16" s="8"/>
      <c r="CR16" s="8"/>
      <c r="CS16" s="8"/>
      <c r="CT16" s="8"/>
      <c r="DK16" s="8"/>
      <c r="DL16" s="27" t="str">
        <f>CONCATENATE($DM$5,$G$27,$DN$6)</f>
        <v xml:space="preserve">   ""</v>
      </c>
      <c r="DM16" s="24"/>
      <c r="DN16" s="24"/>
      <c r="DO16" s="6" t="str">
        <f>CONCATENATE(CHAR(34),$C$21,CHAR(34),",",CHAR(34),$C$22,CHAR(34))</f>
        <v>"",""</v>
      </c>
      <c r="DT16" s="6" t="str">
        <f>CONCATENATE(CHAR(34),$E$21,CHAR(34),",",CHAR(34),$E$22,CHAR(34))</f>
        <v>"",""</v>
      </c>
    </row>
    <row r="17" spans="1:124" s="6" customFormat="1" ht="12" customHeight="1" x14ac:dyDescent="0.2">
      <c r="A17" s="19"/>
      <c r="B17" s="93"/>
      <c r="C17" s="94"/>
      <c r="D17" s="95"/>
      <c r="E17" s="96" t="s">
        <v>98</v>
      </c>
      <c r="F17" s="97" t="str">
        <f>IF(SUM(B16,F16)=0,"",SUM(B16,F16))</f>
        <v/>
      </c>
      <c r="G17" s="175"/>
      <c r="H17" s="99" t="s">
        <v>62</v>
      </c>
      <c r="I17" s="100"/>
      <c r="J17" s="104" t="str">
        <f>IF(OR($F17="",I17="",J18=""),"",IF(AND(COUNTIF($J39:$BB39,J39)&gt;1,RANK(J39,$J39:$BB39,1)=1),$F17-I17,""))</f>
        <v/>
      </c>
      <c r="K17" s="98"/>
      <c r="L17" s="99" t="s">
        <v>62</v>
      </c>
      <c r="M17" s="100"/>
      <c r="N17" s="104" t="str">
        <f>IF(OR($F17="",M17="",N18=""),"",IF(AND(COUNTIF($J39:$BB39,N39)&gt;1,RANK(N39,$J39:$BB39,1)=1),$F17-M17,""))</f>
        <v/>
      </c>
      <c r="O17" s="98"/>
      <c r="P17" s="99" t="s">
        <v>62</v>
      </c>
      <c r="Q17" s="100"/>
      <c r="R17" s="104" t="str">
        <f>IF(OR($F17="",Q17="",R18=""),"",IF(AND(COUNTIF($J39:$BB39,R39)&gt;1,RANK(R39,$J39:$BB39,1)=1),$F17-Q17,""))</f>
        <v/>
      </c>
      <c r="S17" s="98"/>
      <c r="T17" s="99" t="s">
        <v>62</v>
      </c>
      <c r="U17" s="100"/>
      <c r="V17" s="104" t="str">
        <f>IF(OR($F17="",U17="",V18=""),"",IF(AND(COUNTIF($J39:$BB39,V39)&gt;1,RANK(V39,$J39:$BB39,1)=1),$F17-U17,""))</f>
        <v/>
      </c>
      <c r="W17" s="98"/>
      <c r="X17" s="99" t="s">
        <v>62</v>
      </c>
      <c r="Y17" s="100"/>
      <c r="Z17" s="104" t="str">
        <f>IF(OR($F17="",Y17="",Z18=""),"",IF(AND(COUNTIF($J39:$BB39,Z39)&gt;1,RANK(Z39,$J39:$BB39,1)=1),$F17-Y17,""))</f>
        <v/>
      </c>
      <c r="AA17" s="98"/>
      <c r="AB17" s="99" t="s">
        <v>62</v>
      </c>
      <c r="AC17" s="100"/>
      <c r="AD17" s="104" t="str">
        <f>IF(OR($F17="",AC17="",AD18=""),"",IF(AND(COUNTIF($J39:$BB39,AD39)&gt;1,RANK(AD39,$J39:$BB39,1)=1),$F17-AC17,""))</f>
        <v/>
      </c>
      <c r="AE17" s="98"/>
      <c r="AF17" s="99" t="s">
        <v>62</v>
      </c>
      <c r="AG17" s="100"/>
      <c r="AH17" s="104" t="str">
        <f>IF(OR($F17="",AG17="",AH18=""),"",IF(AND(COUNTIF($J39:$BB39,AH39)&gt;1,RANK(AH39,$J39:$BB39,1)=1),$F17-AG17,""))</f>
        <v/>
      </c>
      <c r="AI17" s="98"/>
      <c r="AJ17" s="99" t="s">
        <v>62</v>
      </c>
      <c r="AK17" s="100"/>
      <c r="AL17" s="104" t="str">
        <f>IF(OR($F17="",AK17="",AL18=""),"",IF(AND(COUNTIF($J39:$BB39,AL39)&gt;1,RANK(AL39,$J39:$BB39,1)=1),$F17-AK17,""))</f>
        <v/>
      </c>
      <c r="AM17" s="98"/>
      <c r="AN17" s="99" t="s">
        <v>62</v>
      </c>
      <c r="AO17" s="100"/>
      <c r="AP17" s="104" t="str">
        <f>IF(OR($F17="",AO17="",AP18=""),"",IF(AND(COUNTIF($J39:$BB39,AP39)&gt;1,RANK(AP39,$J39:$BB39,1)=1),$F17-AO17,""))</f>
        <v/>
      </c>
      <c r="AQ17" s="98"/>
      <c r="AR17" s="99" t="s">
        <v>62</v>
      </c>
      <c r="AS17" s="100"/>
      <c r="AT17" s="104" t="str">
        <f>IF(OR($F17="",AS17="",AT18=""),"",IF(AND(COUNTIF($J39:$BB39,AT39)&gt;1,RANK(AT39,$J39:$BB39,1)=1),$F17-AS17,""))</f>
        <v/>
      </c>
      <c r="AU17" s="98"/>
      <c r="AV17" s="99" t="s">
        <v>62</v>
      </c>
      <c r="AW17" s="100"/>
      <c r="AX17" s="104" t="str">
        <f>IF(OR($F17="",AW17="",AX18=""),"",IF(AND(COUNTIF($J39:$BB39,AX39)&gt;1,RANK(AX39,$J39:$BB39,1)=1),$F17-AW17,""))</f>
        <v/>
      </c>
      <c r="AY17" s="98"/>
      <c r="AZ17" s="99" t="s">
        <v>62</v>
      </c>
      <c r="BA17" s="100"/>
      <c r="BB17" s="105" t="str">
        <f>IF(OR($F17="",BA17="",BB18=""),"",IF(AND(COUNTIF($J39:$BB39,BB39)&gt;1,RANK(BB39,$J39:$BB39,1)=1),$F17-BA17,""))</f>
        <v/>
      </c>
      <c r="BC17" s="147"/>
      <c r="BD17" s="118"/>
      <c r="BE17" s="118"/>
      <c r="BF17" s="118"/>
      <c r="BG17" s="118"/>
      <c r="BH17" s="236"/>
      <c r="BI17" s="106"/>
      <c r="BJ17" s="95" t="s">
        <v>62</v>
      </c>
      <c r="BK17" s="101" t="str">
        <f>IF(SUM(I17,M17,Q17,U17,Y17,AC17,AG17,AK17,AO17,AS17,AW17,BA17)=0,"",ROUND(AVERAGE(I17,M17,Q17,U17,Y17,AC17,AG17,AK17,AO17,AS17,AW17,BA17),0))</f>
        <v/>
      </c>
      <c r="BL17" s="105" t="str">
        <f>IF(OR($F17="",BK17=""),"",$F17-BK17)</f>
        <v/>
      </c>
      <c r="BQ17" s="21"/>
      <c r="BR17" s="21"/>
      <c r="BS17" s="21"/>
      <c r="BT17" s="21"/>
      <c r="BU17" s="21"/>
      <c r="BV17" s="21"/>
      <c r="BW17" s="21"/>
      <c r="BX17" s="21"/>
      <c r="BY17" s="26"/>
      <c r="BZ17" s="26"/>
      <c r="CA17" s="22"/>
      <c r="CB17" s="8"/>
      <c r="CC17" s="8"/>
      <c r="CD17" s="8"/>
      <c r="CE17" s="8"/>
      <c r="CF17" s="8"/>
      <c r="CG17" s="8"/>
      <c r="CH17" s="8"/>
      <c r="CI17" s="8"/>
      <c r="CJ17" s="8"/>
      <c r="CK17" s="8"/>
      <c r="CL17" s="8"/>
      <c r="CM17" s="8"/>
      <c r="CN17" s="8"/>
      <c r="CO17" s="8"/>
      <c r="CP17" s="8"/>
      <c r="CQ17" s="8"/>
      <c r="CR17" s="8"/>
      <c r="CS17" s="8"/>
      <c r="CT17" s="8"/>
      <c r="DK17" s="8"/>
      <c r="DL17" s="27" t="s">
        <v>28</v>
      </c>
      <c r="DM17" s="24"/>
      <c r="DN17" s="24"/>
      <c r="DO17" s="6" t="str">
        <f>CONCATENATE(CHAR(34),$C$27,CHAR(34))</f>
        <v>""</v>
      </c>
      <c r="DT17" s="6" t="str">
        <f>CONCATENATE(CHAR(34),$E$27,CHAR(34))</f>
        <v>""</v>
      </c>
    </row>
    <row r="18" spans="1:124" s="6" customFormat="1" ht="18" customHeight="1" thickBot="1" x14ac:dyDescent="0.25">
      <c r="A18" s="19"/>
      <c r="B18" s="170"/>
      <c r="C18" s="169"/>
      <c r="D18" s="169"/>
      <c r="E18" s="171"/>
      <c r="F18" s="240" t="s">
        <v>78</v>
      </c>
      <c r="G18" s="176"/>
      <c r="H18" s="150" t="s">
        <v>2</v>
      </c>
      <c r="I18" s="151" t="str">
        <f>IF(J18="","",IF(OR(RANK(J39,$J39:$BB39,1)&gt;1,AND(RANK(J39,$J39:$BB39,1)=1,COUNTIF($J39:$BB39,J39)=1)),RANK(J39,$J39:$BB39,1),IF(MIN($J58:$BB58)=J58,1,COUNTIF($J58:$BB58,MIN($J58:$BB58))+1)))</f>
        <v/>
      </c>
      <c r="J18" s="249" t="str">
        <f>IF(G$2="","",(IF(AND(COUNTBLANK(G13:G16)=0,COUNTBLANK(I13:I16)=0),(SUM(J13:J16))*$BO$18,"")))</f>
        <v/>
      </c>
      <c r="K18" s="149"/>
      <c r="L18" s="150" t="s">
        <v>2</v>
      </c>
      <c r="M18" s="151" t="str">
        <f>IF(N18="","",IF(OR(RANK(N39,$J39:$BB39,1)&gt;1,AND(RANK(N39,$J39:$BB39,1)=1,COUNTIF($J39:$BB39,N39)=1)),RANK(N39,$J39:$BB39,1),IF(MIN($J58:$BB58)=N58,1,COUNTIF($J58:$BB58,MIN($J58:$BB58))+1)))</f>
        <v/>
      </c>
      <c r="N18" s="249" t="str">
        <f>IF(K$2="","",(IF(AND(COUNTBLANK(K13:K16)=0,COUNTBLANK(M13:M16)=0),(SUM(N13:N16))*$BO$18,"")))</f>
        <v/>
      </c>
      <c r="O18" s="149"/>
      <c r="P18" s="150" t="s">
        <v>2</v>
      </c>
      <c r="Q18" s="151" t="str">
        <f>IF(R18="","",IF(OR(RANK(R39,$J39:$BB39,1)&gt;1,AND(RANK(R39,$J39:$BB39,1)=1,COUNTIF($J39:$BB39,R39)=1)),RANK(R39,$J39:$BB39,1),IF(MIN($J58:$BB58)=R58,1,COUNTIF($J58:$BB58,MIN($J58:$BB58))+1)))</f>
        <v/>
      </c>
      <c r="R18" s="249" t="str">
        <f>IF(O$2="","",(IF(AND(COUNTBLANK(O13:O16)=0,COUNTBLANK(Q13:Q16)=0),(SUM(R13:R16))*$BO$18,"")))</f>
        <v/>
      </c>
      <c r="S18" s="149"/>
      <c r="T18" s="150" t="s">
        <v>2</v>
      </c>
      <c r="U18" s="151" t="str">
        <f>IF(V18="","",IF(OR(RANK(V39,$J39:$BB39,1)&gt;1,AND(RANK(V39,$J39:$BB39,1)=1,COUNTIF($J39:$BB39,V39)=1)),RANK(V39,$J39:$BB39,1),IF(MIN($J58:$BB58)=V58,1,COUNTIF($J58:$BB58,MIN($J58:$BB58))+1)))</f>
        <v/>
      </c>
      <c r="V18" s="249" t="str">
        <f>IF(S$2="","",(IF(AND(COUNTBLANK(S13:S16)=0,COUNTBLANK(U13:U16)=0),(SUM(V13:V16))*$BO$18,"")))</f>
        <v/>
      </c>
      <c r="W18" s="149"/>
      <c r="X18" s="150" t="s">
        <v>2</v>
      </c>
      <c r="Y18" s="151" t="str">
        <f>IF(Z18="","",IF(OR(RANK(Z39,$J39:$BB39,1)&gt;1,AND(RANK(Z39,$J39:$BB39,1)=1,COUNTIF($J39:$BB39,Z39)=1)),RANK(Z39,$J39:$BB39,1),IF(MIN($J58:$BB58)=Z58,1,COUNTIF($J58:$BB58,MIN($J58:$BB58))+1)))</f>
        <v/>
      </c>
      <c r="Z18" s="249" t="str">
        <f>IF(W$2="","",(IF(AND(COUNTBLANK(W13:W16)=0,COUNTBLANK(Y13:Y16)=0),(SUM(Z13:Z16))*$BO$18,"")))</f>
        <v/>
      </c>
      <c r="AA18" s="149"/>
      <c r="AB18" s="150" t="s">
        <v>2</v>
      </c>
      <c r="AC18" s="151" t="str">
        <f>IF(AD18="","",IF(OR(RANK(AD39,$J39:$BB39,1)&gt;1,AND(RANK(AD39,$J39:$BB39,1)=1,COUNTIF($J39:$BB39,AD39)=1)),RANK(AD39,$J39:$BB39,1),IF(MIN($J58:$BB58)=AD58,1,COUNTIF($J58:$BB58,MIN($J58:$BB58))+1)))</f>
        <v/>
      </c>
      <c r="AD18" s="249" t="str">
        <f>IF(AA$2="","",(IF(AND(COUNTBLANK(AA13:AA16)=0,COUNTBLANK(AC13:AC16)=0),(SUM(AD13:AD16))*$BO$18,"")))</f>
        <v/>
      </c>
      <c r="AE18" s="149"/>
      <c r="AF18" s="150" t="s">
        <v>2</v>
      </c>
      <c r="AG18" s="151" t="str">
        <f>IF(AH18="","",IF(OR(RANK(AH39,$J39:$BB39,1)&gt;1,AND(RANK(AH39,$J39:$BB39,1)=1,COUNTIF($J39:$BB39,AH39)=1)),RANK(AH39,$J39:$BB39,1),IF(MIN($J58:$BB58)=AH58,1,COUNTIF($J58:$BB58,MIN($J58:$BB58))+1)))</f>
        <v/>
      </c>
      <c r="AH18" s="249" t="str">
        <f>IF(AE$2="","",(IF(AND(COUNTBLANK(AE13:AE16)=0,COUNTBLANK(AG13:AG16)=0),(SUM(AH13:AH16))*$BO$18,"")))</f>
        <v/>
      </c>
      <c r="AI18" s="149"/>
      <c r="AJ18" s="150" t="s">
        <v>2</v>
      </c>
      <c r="AK18" s="151" t="str">
        <f>IF(AL18="","",IF(OR(RANK(AL39,$J39:$BB39,1)&gt;1,AND(RANK(AL39,$J39:$BB39,1)=1,COUNTIF($J39:$BB39,AL39)=1)),RANK(AL39,$J39:$BB39,1),IF(MIN($J58:$BB58)=AL58,1,COUNTIF($J58:$BB58,MIN($J58:$BB58))+1)))</f>
        <v/>
      </c>
      <c r="AL18" s="249" t="str">
        <f>IF(AI$2="","",(IF(AND(COUNTBLANK(AI13:AI16)=0,COUNTBLANK(AK13:AK16)=0),(SUM(AL13:AL16))*$BO$18,"")))</f>
        <v/>
      </c>
      <c r="AM18" s="149"/>
      <c r="AN18" s="150" t="s">
        <v>2</v>
      </c>
      <c r="AO18" s="151" t="str">
        <f>IF(AP18="","",IF(OR(RANK(AP39,$J39:$BB39,1)&gt;1,AND(RANK(AP39,$J39:$BB39,1)=1,COUNTIF($J39:$BB39,AP39)=1)),RANK(AP39,$J39:$BB39,1),IF(MIN($J58:$BB58)=AP58,1,COUNTIF($J58:$BB58,MIN($J58:$BB58))+1)))</f>
        <v/>
      </c>
      <c r="AP18" s="249" t="str">
        <f>IF(AM$2="","",(IF(AND(COUNTBLANK(AM13:AM16)=0,COUNTBLANK(AO13:AO16)=0),(SUM(AP13:AP16))*$BO$18,"")))</f>
        <v/>
      </c>
      <c r="AQ18" s="149"/>
      <c r="AR18" s="150" t="s">
        <v>2</v>
      </c>
      <c r="AS18" s="151" t="str">
        <f>IF(AT18="","",IF(OR(RANK(AT39,$J39:$BB39,1)&gt;1,AND(RANK(AT39,$J39:$BB39,1)=1,COUNTIF($J39:$BB39,AT39)=1)),RANK(AT39,$J39:$BB39,1),IF(MIN($J58:$BB58)=AT58,1,COUNTIF($J58:$BB58,MIN($J58:$BB58))+1)))</f>
        <v/>
      </c>
      <c r="AT18" s="249" t="str">
        <f>IF(AQ$2="","",(IF(AND(COUNTBLANK(AQ13:AQ16)=0,COUNTBLANK(AS13:AS16)=0),(SUM(AT13:AT16))*$BO$18,"")))</f>
        <v/>
      </c>
      <c r="AU18" s="149"/>
      <c r="AV18" s="150" t="s">
        <v>2</v>
      </c>
      <c r="AW18" s="151" t="str">
        <f>IF(AX18="","",IF(OR(RANK(AX39,$J39:$BB39,1)&gt;1,AND(RANK(AX39,$J39:$BB39,1)=1,COUNTIF($J39:$BB39,AX39)=1)),RANK(AX39,$J39:$BB39,1),IF(MIN($J58:$BB58)=AX58,1,COUNTIF($J58:$BB58,MIN($J58:$BB58))+1)))</f>
        <v/>
      </c>
      <c r="AX18" s="249" t="str">
        <f>IF(AU$2="","",(IF(AND(COUNTBLANK(AU13:AU16)=0,COUNTBLANK(AW13:AW16)=0),(SUM(AX13:AX16))*$BO$18,"")))</f>
        <v/>
      </c>
      <c r="AY18" s="156"/>
      <c r="AZ18" s="154" t="s">
        <v>2</v>
      </c>
      <c r="BA18" s="155" t="str">
        <f>IF(BB18="","",IF(OR(RANK(BB39,$J39:$BB39,1)&gt;1,AND(RANK(BB39,$J39:$BB39,1)=1,COUNTIF($J39:$BB39,BB39)=1)),RANK(BB39,$J39:$BB39,1),IF(MIN($J58:$BB58)=BB58,1,COUNTIF($J58:$BB58,MIN($J58:$BB58))+1)))</f>
        <v/>
      </c>
      <c r="BB18" s="250" t="str">
        <f>IF(AY$2="","",(IF(AND(COUNTBLANK(AY13:AY16)=0,COUNTBLANK(BA13:BA16)=0),(SUM(BB13:BB16))*$BO$18,"")))</f>
        <v/>
      </c>
      <c r="BC18" s="117"/>
      <c r="BD18" s="117"/>
      <c r="BE18" s="117"/>
      <c r="BF18" s="117"/>
      <c r="BG18" s="117"/>
      <c r="BH18" s="236"/>
      <c r="BI18" s="153"/>
      <c r="BJ18" s="154" t="s">
        <v>2</v>
      </c>
      <c r="BK18" s="155" t="str">
        <f>IF(BL18="","",RANK(BL39,$J39:$BL39,1))</f>
        <v/>
      </c>
      <c r="BL18" s="250" t="str">
        <f>IF(AND(COUNTBLANK(BI13:BI16)=0,COUNTBLANK(BK13:BK16)=0),(SUM(BL13:BL16))*$BO$18,"")</f>
        <v/>
      </c>
      <c r="BM18" s="20"/>
      <c r="BO18" s="16">
        <v>1</v>
      </c>
      <c r="BP18" s="17" t="s">
        <v>13</v>
      </c>
      <c r="BQ18" s="21"/>
      <c r="BR18" s="21"/>
      <c r="BS18" s="21"/>
      <c r="BT18" s="21"/>
      <c r="BU18" s="21"/>
      <c r="BV18" s="21"/>
      <c r="BW18" s="21"/>
      <c r="BX18" s="21"/>
      <c r="BY18" s="21"/>
      <c r="BZ18" s="21"/>
      <c r="CA18" s="22"/>
      <c r="CB18" s="8"/>
      <c r="CC18" s="8"/>
      <c r="CD18" s="8"/>
      <c r="CE18" s="8"/>
      <c r="CF18" s="8"/>
      <c r="CG18" s="8"/>
      <c r="CH18" s="8"/>
      <c r="CI18" s="8"/>
      <c r="CJ18" s="8"/>
      <c r="CK18" s="8"/>
      <c r="CL18" s="8"/>
      <c r="CM18" s="8"/>
      <c r="CN18" s="8"/>
      <c r="CO18" s="8"/>
      <c r="CP18" s="8"/>
      <c r="CQ18" s="8"/>
      <c r="CR18" s="8"/>
      <c r="CS18" s="8"/>
      <c r="CT18" s="8"/>
      <c r="DK18" s="8"/>
      <c r="DL18" s="27"/>
      <c r="DM18" s="24"/>
      <c r="DN18" s="24"/>
    </row>
    <row r="19" spans="1:124" s="6" customFormat="1" ht="8.1" customHeight="1" thickBot="1" x14ac:dyDescent="0.25">
      <c r="A19" s="19"/>
      <c r="B19" s="181"/>
      <c r="C19" s="102"/>
      <c r="D19" s="102"/>
      <c r="E19" s="172"/>
      <c r="F19" s="182"/>
      <c r="G19" s="177"/>
      <c r="H19" s="158"/>
      <c r="I19" s="177"/>
      <c r="J19" s="183"/>
      <c r="K19" s="177"/>
      <c r="L19" s="158"/>
      <c r="M19" s="177"/>
      <c r="N19" s="183"/>
      <c r="O19" s="177"/>
      <c r="P19" s="158"/>
      <c r="Q19" s="177"/>
      <c r="R19" s="183"/>
      <c r="S19" s="177"/>
      <c r="T19" s="158"/>
      <c r="U19" s="177"/>
      <c r="V19" s="183"/>
      <c r="W19" s="177"/>
      <c r="X19" s="158"/>
      <c r="Y19" s="177"/>
      <c r="Z19" s="183"/>
      <c r="AA19" s="177"/>
      <c r="AB19" s="158"/>
      <c r="AC19" s="177"/>
      <c r="AD19" s="183"/>
      <c r="AE19" s="177"/>
      <c r="AF19" s="158"/>
      <c r="AG19" s="177"/>
      <c r="AH19" s="183"/>
      <c r="AI19" s="177"/>
      <c r="AJ19" s="158"/>
      <c r="AK19" s="177"/>
      <c r="AL19" s="183"/>
      <c r="AM19" s="177"/>
      <c r="AN19" s="158"/>
      <c r="AO19" s="177"/>
      <c r="AP19" s="183"/>
      <c r="AQ19" s="177"/>
      <c r="AR19" s="158"/>
      <c r="AS19" s="177"/>
      <c r="AT19" s="183"/>
      <c r="AU19" s="177"/>
      <c r="AV19" s="158"/>
      <c r="AW19" s="177"/>
      <c r="AX19" s="183"/>
      <c r="AY19" s="177"/>
      <c r="AZ19" s="158"/>
      <c r="BA19" s="177"/>
      <c r="BB19" s="159"/>
      <c r="BC19" s="117"/>
      <c r="BD19" s="117"/>
      <c r="BE19" s="117"/>
      <c r="BF19" s="117"/>
      <c r="BG19" s="117"/>
      <c r="BH19" s="237"/>
      <c r="BI19" s="157"/>
      <c r="BJ19" s="158"/>
      <c r="BK19" s="177"/>
      <c r="BL19" s="159"/>
      <c r="BM19" s="20"/>
      <c r="BO19" s="16"/>
      <c r="BP19" s="17"/>
      <c r="BQ19" s="21"/>
      <c r="BR19" s="21"/>
      <c r="BS19" s="21"/>
      <c r="BT19" s="21"/>
      <c r="BU19" s="21"/>
      <c r="BV19" s="21"/>
      <c r="BW19" s="21"/>
      <c r="BX19" s="21"/>
      <c r="BY19" s="21"/>
      <c r="BZ19" s="21"/>
      <c r="CA19" s="22"/>
      <c r="CB19" s="8"/>
      <c r="CC19" s="8"/>
      <c r="CD19" s="8"/>
      <c r="CE19" s="8"/>
      <c r="CF19" s="8"/>
      <c r="CG19" s="8"/>
      <c r="CH19" s="8"/>
      <c r="CI19" s="8"/>
      <c r="CJ19" s="8"/>
      <c r="CK19" s="8"/>
      <c r="CL19" s="8"/>
      <c r="CM19" s="8"/>
      <c r="CN19" s="8"/>
      <c r="CO19" s="8"/>
      <c r="CP19" s="8"/>
      <c r="CQ19" s="8"/>
      <c r="CR19" s="8"/>
      <c r="CS19" s="8"/>
      <c r="CT19" s="8"/>
      <c r="DK19" s="8"/>
      <c r="DL19" s="27" t="s">
        <v>29</v>
      </c>
      <c r="DM19" s="24"/>
      <c r="DN19" s="24"/>
    </row>
    <row r="20" spans="1:124" s="6" customFormat="1" ht="18" customHeight="1" thickBot="1" x14ac:dyDescent="0.25">
      <c r="A20" s="19"/>
      <c r="B20" s="278" t="s">
        <v>125</v>
      </c>
      <c r="C20" s="279"/>
      <c r="D20" s="279"/>
      <c r="E20" s="279"/>
      <c r="F20" s="280"/>
      <c r="G20" s="241"/>
      <c r="H20" s="241" t="s">
        <v>127</v>
      </c>
      <c r="I20" s="242"/>
      <c r="J20" s="243" t="s">
        <v>1</v>
      </c>
      <c r="K20" s="244"/>
      <c r="L20" s="241" t="s">
        <v>127</v>
      </c>
      <c r="M20" s="242"/>
      <c r="N20" s="243" t="s">
        <v>1</v>
      </c>
      <c r="O20" s="244"/>
      <c r="P20" s="241" t="s">
        <v>127</v>
      </c>
      <c r="Q20" s="242"/>
      <c r="R20" s="243" t="s">
        <v>1</v>
      </c>
      <c r="S20" s="244"/>
      <c r="T20" s="241" t="s">
        <v>127</v>
      </c>
      <c r="U20" s="242"/>
      <c r="V20" s="243" t="s">
        <v>1</v>
      </c>
      <c r="W20" s="244"/>
      <c r="X20" s="241" t="s">
        <v>127</v>
      </c>
      <c r="Y20" s="242"/>
      <c r="Z20" s="243" t="s">
        <v>1</v>
      </c>
      <c r="AA20" s="244"/>
      <c r="AB20" s="241" t="s">
        <v>127</v>
      </c>
      <c r="AC20" s="242"/>
      <c r="AD20" s="243" t="s">
        <v>1</v>
      </c>
      <c r="AE20" s="244"/>
      <c r="AF20" s="241" t="s">
        <v>127</v>
      </c>
      <c r="AG20" s="242"/>
      <c r="AH20" s="243" t="s">
        <v>1</v>
      </c>
      <c r="AI20" s="244"/>
      <c r="AJ20" s="241" t="s">
        <v>127</v>
      </c>
      <c r="AK20" s="242"/>
      <c r="AL20" s="243" t="s">
        <v>1</v>
      </c>
      <c r="AM20" s="244"/>
      <c r="AN20" s="241" t="s">
        <v>127</v>
      </c>
      <c r="AO20" s="242"/>
      <c r="AP20" s="243" t="s">
        <v>1</v>
      </c>
      <c r="AQ20" s="244"/>
      <c r="AR20" s="241" t="s">
        <v>127</v>
      </c>
      <c r="AS20" s="242"/>
      <c r="AT20" s="243" t="s">
        <v>1</v>
      </c>
      <c r="AU20" s="244"/>
      <c r="AV20" s="241" t="s">
        <v>127</v>
      </c>
      <c r="AW20" s="242"/>
      <c r="AX20" s="243" t="s">
        <v>1</v>
      </c>
      <c r="AY20" s="244"/>
      <c r="AZ20" s="241" t="s">
        <v>127</v>
      </c>
      <c r="BA20" s="242"/>
      <c r="BB20" s="245" t="s">
        <v>1</v>
      </c>
      <c r="BC20" s="117"/>
      <c r="BD20" s="148"/>
      <c r="BE20" s="148"/>
      <c r="BF20" s="148"/>
      <c r="BG20" s="148"/>
      <c r="BH20" s="237"/>
      <c r="BI20" s="244"/>
      <c r="BJ20" s="241" t="s">
        <v>127</v>
      </c>
      <c r="BK20" s="242"/>
      <c r="BL20" s="245" t="s">
        <v>1</v>
      </c>
      <c r="BM20" s="25"/>
      <c r="BO20" s="16">
        <f>COUNTIF(J38:BB38,1)</f>
        <v>0</v>
      </c>
      <c r="BP20" s="17" t="s">
        <v>19</v>
      </c>
      <c r="BQ20" s="21"/>
      <c r="BR20" s="21"/>
      <c r="BS20" s="21"/>
      <c r="BT20" s="21"/>
      <c r="BU20" s="21"/>
      <c r="BV20" s="21"/>
      <c r="BW20" s="21"/>
      <c r="BX20" s="21"/>
      <c r="BY20" s="21"/>
      <c r="BZ20" s="21"/>
      <c r="CA20" s="22"/>
      <c r="CB20" s="8"/>
      <c r="CC20" s="8"/>
      <c r="CD20" s="8"/>
      <c r="CE20" s="8"/>
      <c r="CF20" s="8"/>
      <c r="CG20" s="8"/>
      <c r="CH20" s="8"/>
      <c r="CI20" s="8"/>
      <c r="CJ20" s="8"/>
      <c r="CK20" s="8"/>
      <c r="CL20" s="8"/>
      <c r="CM20" s="8"/>
      <c r="CN20" s="8"/>
      <c r="CO20" s="8"/>
      <c r="CP20" s="8"/>
      <c r="CQ20" s="8"/>
      <c r="CR20" s="8"/>
      <c r="CS20" s="8"/>
      <c r="CT20" s="8"/>
      <c r="DK20" s="8"/>
      <c r="DL20" s="27" t="str">
        <f>CONCATENATE($DM$5,$I$5,$DN$5)</f>
        <v xml:space="preserve">   "2",</v>
      </c>
      <c r="DM20" s="24"/>
      <c r="DN20" s="24"/>
    </row>
    <row r="21" spans="1:124" s="6" customFormat="1" ht="15" customHeight="1" x14ac:dyDescent="0.2">
      <c r="A21" s="19"/>
      <c r="B21" s="107"/>
      <c r="C21" s="108"/>
      <c r="D21" s="109" t="s">
        <v>3</v>
      </c>
      <c r="E21" s="110"/>
      <c r="F21" s="124"/>
      <c r="G21" s="113"/>
      <c r="H21" s="113" t="s">
        <v>0</v>
      </c>
      <c r="I21" s="114"/>
      <c r="J21" s="115" t="str">
        <f>IF(OR(G$2="",G21="",I21=""),"",IF($BD21="","",IF(G21=$BD21,ABS(I21-$BF21),ABS(I21+$BF21))+IF(G21&lt;&gt;$BD21,$BO$5,0)))</f>
        <v/>
      </c>
      <c r="K21" s="112"/>
      <c r="L21" s="113" t="s">
        <v>0</v>
      </c>
      <c r="M21" s="114"/>
      <c r="N21" s="115" t="str">
        <f>IF(OR(K$2="",K21="",M21=""),"",IF($BD21="","",IF(K21=$BD21,ABS(M21-$BF21),ABS(M21+$BF21))+IF(K21&lt;&gt;$BD21,$BO$5,0)))</f>
        <v/>
      </c>
      <c r="O21" s="112"/>
      <c r="P21" s="113" t="s">
        <v>0</v>
      </c>
      <c r="Q21" s="114"/>
      <c r="R21" s="115" t="str">
        <f>IF(OR(O$2="",O21="",Q21=""),"",IF($BD21="","",IF(O21=$BD21,ABS(Q21-$BF21),ABS(Q21+$BF21))+IF(O21&lt;&gt;$BD21,$BO$5,0)))</f>
        <v/>
      </c>
      <c r="S21" s="112"/>
      <c r="T21" s="113" t="s">
        <v>0</v>
      </c>
      <c r="U21" s="114"/>
      <c r="V21" s="115" t="str">
        <f>IF(OR(S$2="",S21="",U21=""),"",IF($BD21="","",IF(S21=$BD21,ABS(U21-$BF21),ABS(U21+$BF21))+IF(S21&lt;&gt;$BD21,$BO$5,0)))</f>
        <v/>
      </c>
      <c r="W21" s="112"/>
      <c r="X21" s="113" t="s">
        <v>0</v>
      </c>
      <c r="Y21" s="114"/>
      <c r="Z21" s="115" t="str">
        <f>IF(OR(W$2="",W21="",Y21=""),"",IF($BD21="","",IF(W21=$BD21,ABS(Y21-$BF21),ABS(Y21+$BF21))+IF(W21&lt;&gt;$BD21,$BO$5,0)))</f>
        <v/>
      </c>
      <c r="AA21" s="112"/>
      <c r="AB21" s="113" t="s">
        <v>0</v>
      </c>
      <c r="AC21" s="114"/>
      <c r="AD21" s="115" t="str">
        <f>IF(OR(AA$2="",AA21="",AC21=""),"",IF($BD21="","",IF(AA21=$BD21,ABS(AC21-$BF21),ABS(AC21+$BF21))+IF(AA21&lt;&gt;$BD21,$BO$5,0)))</f>
        <v/>
      </c>
      <c r="AE21" s="112"/>
      <c r="AF21" s="113" t="s">
        <v>0</v>
      </c>
      <c r="AG21" s="114"/>
      <c r="AH21" s="115" t="str">
        <f>IF(OR(AE$2="",AE21="",AG21=""),"",IF($BD21="","",IF(AE21=$BD21,ABS(AG21-$BF21),ABS(AG21+$BF21))+IF(AE21&lt;&gt;$BD21,$BO$5,0)))</f>
        <v/>
      </c>
      <c r="AI21" s="112"/>
      <c r="AJ21" s="113" t="s">
        <v>0</v>
      </c>
      <c r="AK21" s="114"/>
      <c r="AL21" s="115" t="str">
        <f>IF(OR(AI$2="",AI21="",AK21=""),"",IF($BD21="","",IF(AI21=$BD21,ABS(AK21-$BF21),ABS(AK21+$BF21))+IF(AI21&lt;&gt;$BD21,$BO$5,0)))</f>
        <v/>
      </c>
      <c r="AM21" s="112"/>
      <c r="AN21" s="113" t="s">
        <v>0</v>
      </c>
      <c r="AO21" s="114"/>
      <c r="AP21" s="115" t="str">
        <f>IF(OR(AM$2="",AM21="",AO21=""),"",IF($BD21="","",IF(AM21=$BD21,ABS(AO21-$BF21),ABS(AO21+$BF21))+IF(AM21&lt;&gt;$BD21,$BO$5,0)))</f>
        <v/>
      </c>
      <c r="AQ21" s="112"/>
      <c r="AR21" s="113" t="s">
        <v>0</v>
      </c>
      <c r="AS21" s="114"/>
      <c r="AT21" s="115" t="str">
        <f>IF(OR(AQ$2="",AQ21="",AS21=""),"",IF($BD21="","",IF(AQ21=$BD21,ABS(AS21-$BF21),ABS(AS21+$BF21))+IF(AQ21&lt;&gt;$BD21,$BO$5,0)))</f>
        <v/>
      </c>
      <c r="AU21" s="112"/>
      <c r="AV21" s="113" t="s">
        <v>0</v>
      </c>
      <c r="AW21" s="114"/>
      <c r="AX21" s="115" t="str">
        <f>IF(OR(AU$2="",AU21="",AW21=""),"",IF($BD21="","",IF(AU21=$BD21,ABS(AW21-$BF21),ABS(AW21+$BF21))+IF(AU21&lt;&gt;$BD21,$BO$5,0)))</f>
        <v/>
      </c>
      <c r="AY21" s="112"/>
      <c r="AZ21" s="113" t="s">
        <v>0</v>
      </c>
      <c r="BA21" s="114"/>
      <c r="BB21" s="126" t="str">
        <f>IF(OR(AY$2="",AY21="",BA21=""),"",IF($BD21="","",IF(AY21=$BD21,ABS(BA21-$BF21),ABS(BA21+$BF21))+IF(AY21&lt;&gt;$BD21,$BO$5,0)))</f>
        <v/>
      </c>
      <c r="BC21" s="117"/>
      <c r="BD21" s="118" t="str">
        <f t="shared" ref="BD21:BD22" si="7">IF(OR(B21="",F21="",B21=F21),"",IF(B21&gt;F21,"V","H"))</f>
        <v/>
      </c>
      <c r="BE21" s="118" t="s">
        <v>0</v>
      </c>
      <c r="BF21" s="118" t="str">
        <f t="shared" ref="BF21:BF22" si="8">IF(OR(B21="",F21="",B21=F21),"",ABS(B21-F21))</f>
        <v/>
      </c>
      <c r="BG21" s="118"/>
      <c r="BH21" s="235">
        <f t="shared" ref="BH21:BH22" si="9">SUM(IF(G21="H",I21,-I21),IF(K21="H",M21,-M21),IF(O21="H",Q21,-Q21),IF(S21="H",U21,-U21),IF(W21="H",Y21,-Y21),IF(AA21="H",AC21,-AC21),IF(AE21="H",AG21,-AG21),IF(AI21="H",AK21,-AK21),IF(AM21="H",AO21,-AO21),IF(AQ21="H",AS21,-AS21),IF(AU21="H",AW21,-AW21),IF(AY21="H",BA21,-BA21))</f>
        <v>0</v>
      </c>
      <c r="BI21" s="119" t="str">
        <f t="shared" ref="BI21:BI22" si="10">IF(COUNTA(G21,K21,O21,S21,W21,AA21,AE21,AI21,AM21,AQ21,AU21,AY21)&gt;0,IF(BH21&lt;0,"V","H"),"")</f>
        <v/>
      </c>
      <c r="BJ21" s="120" t="s">
        <v>0</v>
      </c>
      <c r="BK21" s="121" t="str">
        <f t="shared" ref="BK21:BK22" si="11">IF(BI21="","",IF(ABS(BH21)&lt;(COUNTA(G21,K21,O21,S21,W21,AA21,AE21,AI21,AM21,AQ21,AU21,AY21)/2),1,ROUND(ABS(BH21)/COUNTA(G21,K21,O21,S21,W21,AA21,AE21,AI21,AM21,AQ21,AU21,AY21),0)))</f>
        <v/>
      </c>
      <c r="BL21" s="126" t="str">
        <f t="shared" ref="BL21:BL22" si="12">IF(OR(BI21="",BK21=""),"",IF($BD21="","",IF(BI21=$BD21,ABS(BK21-$BF21),ABS(BK21+$BF21))+IF(BI21&lt;&gt;$BD21,$BO$5,0)))</f>
        <v/>
      </c>
      <c r="BM21" s="25"/>
      <c r="BO21" s="16"/>
      <c r="BP21" s="17"/>
      <c r="BQ21" s="21"/>
      <c r="BR21" s="21"/>
      <c r="BS21" s="21"/>
      <c r="BT21" s="21"/>
      <c r="BU21" s="21"/>
      <c r="BV21" s="21"/>
      <c r="BW21" s="21"/>
      <c r="BX21" s="21"/>
      <c r="BY21" s="21"/>
      <c r="BZ21" s="21"/>
      <c r="CA21" s="22"/>
      <c r="CB21" s="8"/>
      <c r="CC21" s="8"/>
      <c r="CD21" s="8"/>
      <c r="CE21" s="8"/>
      <c r="CF21" s="8"/>
      <c r="CG21" s="8"/>
      <c r="CH21" s="8"/>
      <c r="CI21" s="8"/>
      <c r="CJ21" s="8"/>
      <c r="CK21" s="8"/>
      <c r="CL21" s="8"/>
      <c r="CM21" s="8"/>
      <c r="CN21" s="8"/>
      <c r="CO21" s="8"/>
      <c r="CP21" s="8"/>
      <c r="CQ21" s="8"/>
      <c r="CR21" s="8"/>
      <c r="CS21" s="8"/>
      <c r="CT21" s="8"/>
      <c r="DK21" s="8"/>
      <c r="DL21" s="27" t="str">
        <f>CONCATENATE($DM$5,$I$6,$DN$5)</f>
        <v xml:space="preserve">   "3",</v>
      </c>
      <c r="DM21" s="24"/>
      <c r="DN21" s="24"/>
    </row>
    <row r="22" spans="1:124" s="6" customFormat="1" ht="15" customHeight="1" x14ac:dyDescent="0.2">
      <c r="A22" s="19"/>
      <c r="B22" s="128"/>
      <c r="C22" s="129"/>
      <c r="D22" s="130" t="s">
        <v>3</v>
      </c>
      <c r="E22" s="131"/>
      <c r="F22" s="132"/>
      <c r="G22" s="129"/>
      <c r="H22" s="129" t="s">
        <v>0</v>
      </c>
      <c r="I22" s="134"/>
      <c r="J22" s="135" t="str">
        <f>IF(OR(G$2="",G22="",I22=""),"",IF($BD22="","",IF(G22=$BD22,ABS(I22-$BF22),ABS(I22+$BF22))+IF(G22&lt;&gt;$BD22,$BO$5,0)))</f>
        <v/>
      </c>
      <c r="K22" s="133"/>
      <c r="L22" s="129" t="s">
        <v>0</v>
      </c>
      <c r="M22" s="134"/>
      <c r="N22" s="135" t="str">
        <f>IF(OR(K$2="",K22="",M22=""),"",IF($BD22="","",IF(K22=$BD22,ABS(M22-$BF22),ABS(M22+$BF22))+IF(K22&lt;&gt;$BD22,$BO$5,0)))</f>
        <v/>
      </c>
      <c r="O22" s="133"/>
      <c r="P22" s="129" t="s">
        <v>0</v>
      </c>
      <c r="Q22" s="134"/>
      <c r="R22" s="135" t="str">
        <f>IF(OR(O$2="",O22="",Q22=""),"",IF($BD22="","",IF(O22=$BD22,ABS(Q22-$BF22),ABS(Q22+$BF22))+IF(O22&lt;&gt;$BD22,$BO$5,0)))</f>
        <v/>
      </c>
      <c r="S22" s="133"/>
      <c r="T22" s="129" t="s">
        <v>0</v>
      </c>
      <c r="U22" s="134"/>
      <c r="V22" s="135" t="str">
        <f>IF(OR(S$2="",S22="",U22=""),"",IF($BD22="","",IF(S22=$BD22,ABS(U22-$BF22),ABS(U22+$BF22))+IF(S22&lt;&gt;$BD22,$BO$5,0)))</f>
        <v/>
      </c>
      <c r="W22" s="133"/>
      <c r="X22" s="129" t="s">
        <v>0</v>
      </c>
      <c r="Y22" s="134"/>
      <c r="Z22" s="135" t="str">
        <f>IF(OR(W$2="",W22="",Y22=""),"",IF($BD22="","",IF(W22=$BD22,ABS(Y22-$BF22),ABS(Y22+$BF22))+IF(W22&lt;&gt;$BD22,$BO$5,0)))</f>
        <v/>
      </c>
      <c r="AA22" s="133"/>
      <c r="AB22" s="129" t="s">
        <v>0</v>
      </c>
      <c r="AC22" s="134"/>
      <c r="AD22" s="135" t="str">
        <f>IF(OR(AA$2="",AA22="",AC22=""),"",IF($BD22="","",IF(AA22=$BD22,ABS(AC22-$BF22),ABS(AC22+$BF22))+IF(AA22&lt;&gt;$BD22,$BO$5,0)))</f>
        <v/>
      </c>
      <c r="AE22" s="133"/>
      <c r="AF22" s="129" t="s">
        <v>0</v>
      </c>
      <c r="AG22" s="134"/>
      <c r="AH22" s="135" t="str">
        <f>IF(OR(AE$2="",AE22="",AG22=""),"",IF($BD22="","",IF(AE22=$BD22,ABS(AG22-$BF22),ABS(AG22+$BF22))+IF(AE22&lt;&gt;$BD22,$BO$5,0)))</f>
        <v/>
      </c>
      <c r="AI22" s="133"/>
      <c r="AJ22" s="129" t="s">
        <v>0</v>
      </c>
      <c r="AK22" s="134"/>
      <c r="AL22" s="135" t="str">
        <f>IF(OR(AI$2="",AI22="",AK22=""),"",IF($BD22="","",IF(AI22=$BD22,ABS(AK22-$BF22),ABS(AK22+$BF22))+IF(AI22&lt;&gt;$BD22,$BO$5,0)))</f>
        <v/>
      </c>
      <c r="AM22" s="133"/>
      <c r="AN22" s="129" t="s">
        <v>0</v>
      </c>
      <c r="AO22" s="134"/>
      <c r="AP22" s="135" t="str">
        <f>IF(OR(AM$2="",AM22="",AO22=""),"",IF($BD22="","",IF(AM22=$BD22,ABS(AO22-$BF22),ABS(AO22+$BF22))+IF(AM22&lt;&gt;$BD22,$BO$5,0)))</f>
        <v/>
      </c>
      <c r="AQ22" s="133"/>
      <c r="AR22" s="129" t="s">
        <v>0</v>
      </c>
      <c r="AS22" s="134"/>
      <c r="AT22" s="135" t="str">
        <f>IF(OR(AQ$2="",AQ22="",AS22=""),"",IF($BD22="","",IF(AQ22=$BD22,ABS(AS22-$BF22),ABS(AS22+$BF22))+IF(AQ22&lt;&gt;$BD22,$BO$5,0)))</f>
        <v/>
      </c>
      <c r="AU22" s="133"/>
      <c r="AV22" s="129" t="s">
        <v>0</v>
      </c>
      <c r="AW22" s="134"/>
      <c r="AX22" s="135" t="str">
        <f>IF(OR(AU$2="",AU22="",AW22=""),"",IF($BD22="","",IF(AU22=$BD22,ABS(AW22-$BF22),ABS(AW22+$BF22))+IF(AU22&lt;&gt;$BD22,$BO$5,0)))</f>
        <v/>
      </c>
      <c r="AY22" s="133"/>
      <c r="AZ22" s="129" t="s">
        <v>0</v>
      </c>
      <c r="BA22" s="134"/>
      <c r="BB22" s="136" t="str">
        <f>IF(OR(AY$2="",AY22="",BA22=""),"",IF($BD22="","",IF(AY22=$BD22,ABS(BA22-$BF22),ABS(BA22+$BF22))+IF(AY22&lt;&gt;$BD22,$BO$5,0)))</f>
        <v/>
      </c>
      <c r="BC22" s="117"/>
      <c r="BD22" s="118" t="str">
        <f t="shared" si="7"/>
        <v/>
      </c>
      <c r="BE22" s="118" t="s">
        <v>0</v>
      </c>
      <c r="BF22" s="118" t="str">
        <f t="shared" si="8"/>
        <v/>
      </c>
      <c r="BG22" s="118"/>
      <c r="BH22" s="235">
        <f t="shared" si="9"/>
        <v>0</v>
      </c>
      <c r="BI22" s="137" t="str">
        <f t="shared" si="10"/>
        <v/>
      </c>
      <c r="BJ22" s="130" t="s">
        <v>0</v>
      </c>
      <c r="BK22" s="138" t="str">
        <f t="shared" si="11"/>
        <v/>
      </c>
      <c r="BL22" s="136" t="str">
        <f t="shared" si="12"/>
        <v/>
      </c>
      <c r="BQ22" s="21"/>
      <c r="BR22" s="21"/>
      <c r="BS22" s="21"/>
      <c r="BT22" s="21"/>
      <c r="BU22" s="21"/>
      <c r="BV22" s="21"/>
      <c r="BW22" s="21"/>
      <c r="BX22" s="21"/>
      <c r="BY22" s="26"/>
      <c r="BZ22" s="26"/>
      <c r="CA22" s="22"/>
      <c r="CB22" s="8"/>
      <c r="CC22" s="8"/>
      <c r="CD22" s="8"/>
      <c r="CE22" s="8"/>
      <c r="CF22" s="8"/>
      <c r="CG22" s="8"/>
      <c r="CH22" s="8"/>
      <c r="CI22" s="8"/>
      <c r="CJ22" s="8"/>
      <c r="CK22" s="8"/>
      <c r="CL22" s="8"/>
      <c r="CM22" s="8"/>
      <c r="CN22" s="8"/>
      <c r="CO22" s="8"/>
      <c r="CP22" s="8"/>
      <c r="CQ22" s="8"/>
      <c r="CR22" s="8"/>
      <c r="CS22" s="8"/>
      <c r="CT22" s="8"/>
      <c r="DK22" s="8"/>
      <c r="DL22" s="27" t="str">
        <f>CONCATENATE($DM$5,$I$7,$DN$5)</f>
        <v xml:space="preserve">   "6",</v>
      </c>
      <c r="DM22" s="24"/>
      <c r="DN22" s="24"/>
    </row>
    <row r="23" spans="1:124" s="6" customFormat="1" ht="12" customHeight="1" x14ac:dyDescent="0.2">
      <c r="A23" s="19"/>
      <c r="B23" s="93"/>
      <c r="C23" s="94"/>
      <c r="D23" s="95"/>
      <c r="E23" s="96" t="s">
        <v>98</v>
      </c>
      <c r="F23" s="97" t="str">
        <f>IF(SUM(B22,F22)=0,"",SUM(B22,F22))</f>
        <v/>
      </c>
      <c r="G23" s="175"/>
      <c r="H23" s="99" t="s">
        <v>62</v>
      </c>
      <c r="I23" s="100"/>
      <c r="J23" s="104" t="str">
        <f>IF(OR($F23="",I23="",J24=""),"",IF(AND(COUNTIF($J41:$BB41,J41)&gt;1,RANK(J41,$J41:$BB41,1)=1),$F23-I23,""))</f>
        <v/>
      </c>
      <c r="K23" s="98"/>
      <c r="L23" s="99" t="s">
        <v>62</v>
      </c>
      <c r="M23" s="100"/>
      <c r="N23" s="104" t="str">
        <f>IF(OR($F23="",M23="",N24=""),"",IF(AND(COUNTIF($J41:$BB41,N41)&gt;1,RANK(N41,$J41:$BB41,1)=1),$F23-M23,""))</f>
        <v/>
      </c>
      <c r="O23" s="98"/>
      <c r="P23" s="99" t="s">
        <v>62</v>
      </c>
      <c r="Q23" s="100"/>
      <c r="R23" s="104" t="str">
        <f>IF(OR($F23="",Q23="",R24=""),"",IF(AND(COUNTIF($J41:$BB41,R41)&gt;1,RANK(R41,$J41:$BB41,1)=1),$F23-Q23,""))</f>
        <v/>
      </c>
      <c r="S23" s="98"/>
      <c r="T23" s="99" t="s">
        <v>62</v>
      </c>
      <c r="U23" s="100"/>
      <c r="V23" s="104" t="str">
        <f>IF(OR($F23="",U23="",V24=""),"",IF(AND(COUNTIF($J41:$BB41,V41)&gt;1,RANK(V41,$J41:$BB41,1)=1),$F23-U23,""))</f>
        <v/>
      </c>
      <c r="W23" s="98"/>
      <c r="X23" s="99" t="s">
        <v>62</v>
      </c>
      <c r="Y23" s="100"/>
      <c r="Z23" s="104" t="str">
        <f>IF(OR($F23="",Y23="",Z24=""),"",IF(AND(COUNTIF($J41:$BB41,Z41)&gt;1,RANK(Z41,$J41:$BB41,1)=1),$F23-Y23,""))</f>
        <v/>
      </c>
      <c r="AA23" s="98"/>
      <c r="AB23" s="99" t="s">
        <v>62</v>
      </c>
      <c r="AC23" s="100"/>
      <c r="AD23" s="104" t="str">
        <f>IF(OR($F23="",AC23="",AD24=""),"",IF(AND(COUNTIF($J41:$BB41,AD41)&gt;1,RANK(AD41,$J41:$BB41,1)=1),$F23-AC23,""))</f>
        <v/>
      </c>
      <c r="AE23" s="98"/>
      <c r="AF23" s="99" t="s">
        <v>62</v>
      </c>
      <c r="AG23" s="100"/>
      <c r="AH23" s="104" t="str">
        <f>IF(OR($F23="",AG23="",AH24=""),"",IF(AND(COUNTIF($J41:$BB41,AH41)&gt;1,RANK(AH41,$J41:$BB41,1)=1),$F23-AG23,""))</f>
        <v/>
      </c>
      <c r="AI23" s="98"/>
      <c r="AJ23" s="99" t="s">
        <v>62</v>
      </c>
      <c r="AK23" s="100"/>
      <c r="AL23" s="104" t="str">
        <f>IF(OR($F23="",AK23="",AL24=""),"",IF(AND(COUNTIF($J41:$BB41,AL41)&gt;1,RANK(AL41,$J41:$BB41,1)=1),$F23-AK23,""))</f>
        <v/>
      </c>
      <c r="AM23" s="98"/>
      <c r="AN23" s="99" t="s">
        <v>62</v>
      </c>
      <c r="AO23" s="100"/>
      <c r="AP23" s="104" t="str">
        <f>IF(OR($F23="",AO23="",AP24=""),"",IF(AND(COUNTIF($J41:$BB41,AP41)&gt;1,RANK(AP41,$J41:$BB41,1)=1),$F23-AO23,""))</f>
        <v/>
      </c>
      <c r="AQ23" s="98"/>
      <c r="AR23" s="99" t="s">
        <v>62</v>
      </c>
      <c r="AS23" s="100"/>
      <c r="AT23" s="104" t="str">
        <f>IF(OR($F23="",AS23="",AT24=""),"",IF(AND(COUNTIF($J41:$BB41,AT41)&gt;1,RANK(AT41,$J41:$BB41,1)=1),$F23-AS23,""))</f>
        <v/>
      </c>
      <c r="AU23" s="98"/>
      <c r="AV23" s="99" t="s">
        <v>62</v>
      </c>
      <c r="AW23" s="100"/>
      <c r="AX23" s="104" t="str">
        <f>IF(OR($F23="",AW23="",AX24=""),"",IF(AND(COUNTIF($J41:$BB41,AX41)&gt;1,RANK(AX41,$J41:$BB41,1)=1),$F23-AW23,""))</f>
        <v/>
      </c>
      <c r="AY23" s="98"/>
      <c r="AZ23" s="99" t="s">
        <v>62</v>
      </c>
      <c r="BA23" s="100"/>
      <c r="BB23" s="105" t="str">
        <f>IF(OR($F23="",BA23="",BB24=""),"",IF(AND(COUNTIF($J41:$BB41,BB41)&gt;1,RANK(BB41,$J41:$BB41,1)=1),$F23-BA23,""))</f>
        <v/>
      </c>
      <c r="BC23" s="117"/>
      <c r="BD23" s="118"/>
      <c r="BE23" s="118"/>
      <c r="BF23" s="118"/>
      <c r="BG23" s="118"/>
      <c r="BH23" s="236"/>
      <c r="BI23" s="106"/>
      <c r="BJ23" s="95" t="s">
        <v>62</v>
      </c>
      <c r="BK23" s="101" t="str">
        <f>IF(SUM(I23,M23,Q23,U23,Y23,AC23,AG23,AK23,AO23,AS23,AW23,BA23)=0,"",ROUND(AVERAGE(I23,M23,Q23,U23,Y23,AC23,AG23,AK23,AO23,AS23,AW23,BA23),0))</f>
        <v/>
      </c>
      <c r="BL23" s="105" t="str">
        <f>IF(OR($F23="",BK23=""),"",$F23-BK23)</f>
        <v/>
      </c>
      <c r="BM23" s="20"/>
      <c r="BQ23" s="21"/>
      <c r="BR23" s="21"/>
      <c r="BS23" s="21"/>
      <c r="BT23" s="21"/>
      <c r="BU23" s="21"/>
      <c r="BV23" s="21"/>
      <c r="BW23" s="21"/>
      <c r="BX23" s="21"/>
      <c r="BY23" s="21"/>
      <c r="BZ23" s="21"/>
      <c r="CA23" s="22"/>
      <c r="CB23" s="8"/>
      <c r="CC23" s="8"/>
      <c r="CD23" s="8"/>
      <c r="CE23" s="8"/>
      <c r="CF23" s="8"/>
      <c r="CG23" s="8"/>
      <c r="CH23" s="8"/>
      <c r="CI23" s="8"/>
      <c r="CJ23" s="8"/>
      <c r="CK23" s="8"/>
      <c r="CL23" s="8"/>
      <c r="CM23" s="8"/>
      <c r="CN23" s="8"/>
      <c r="CO23" s="8"/>
      <c r="CP23" s="8"/>
      <c r="CQ23" s="8"/>
      <c r="CR23" s="8"/>
      <c r="CS23" s="8"/>
      <c r="CT23" s="8"/>
      <c r="DK23" s="8"/>
      <c r="DL23" s="27" t="str">
        <f>CONCATENATE($DM$5,$I$8,$DN$5)</f>
        <v xml:space="preserve">   "3",</v>
      </c>
      <c r="DM23" s="24"/>
      <c r="DN23" s="24"/>
    </row>
    <row r="24" spans="1:124" s="6" customFormat="1" ht="18" customHeight="1" thickBot="1" x14ac:dyDescent="0.25">
      <c r="A24" s="19"/>
      <c r="B24" s="170"/>
      <c r="C24" s="169"/>
      <c r="D24" s="169"/>
      <c r="E24" s="171"/>
      <c r="F24" s="240" t="s">
        <v>80</v>
      </c>
      <c r="G24" s="176"/>
      <c r="H24" s="150" t="s">
        <v>2</v>
      </c>
      <c r="I24" s="151" t="str">
        <f>IF(J24="","",IF(OR(RANK(J41,$J41:$BB41,1)&gt;1,AND(RANK(J41,$J41:$BB41,1)=1,COUNTIF($J41:$BB41,J41)=1)),RANK(J41,$J41:$BB41,1),IF(MIN($J59:$BB59)=J59,1,COUNTIF($J59:$BB59,MIN($J59:$BB59))+1)))</f>
        <v/>
      </c>
      <c r="J24" s="249" t="str">
        <f>IF(G$2="","",(IF(AND(COUNTBLANK(G21:G22)=0,COUNTBLANK(I21:I22)=0),(SUM(J21:J22))*$BO$24,"")))</f>
        <v/>
      </c>
      <c r="K24" s="149"/>
      <c r="L24" s="150" t="s">
        <v>2</v>
      </c>
      <c r="M24" s="151" t="str">
        <f>IF(N24="","",IF(OR(RANK(N41,$J41:$BB41,1)&gt;1,AND(RANK(N41,$J41:$BB41,1)=1,COUNTIF($J41:$BB41,N41)=1)),RANK(N41,$J41:$BB41,1),IF(MIN($J59:$BB59)=N59,1,COUNTIF($J59:$BB59,MIN($J59:$BB59))+1)))</f>
        <v/>
      </c>
      <c r="N24" s="249" t="str">
        <f>IF(K$2="","",(IF(AND(COUNTBLANK(K21:K22)=0,COUNTBLANK(M21:M22)=0),(SUM(N21:N22))*$BO$24,"")))</f>
        <v/>
      </c>
      <c r="O24" s="149"/>
      <c r="P24" s="150" t="s">
        <v>2</v>
      </c>
      <c r="Q24" s="151" t="str">
        <f>IF(R24="","",IF(OR(RANK(R41,$J41:$BB41,1)&gt;1,AND(RANK(R41,$J41:$BB41,1)=1,COUNTIF($J41:$BB41,R41)=1)),RANK(R41,$J41:$BB41,1),IF(MIN($J59:$BB59)=R59,1,COUNTIF($J59:$BB59,MIN($J59:$BB59))+1)))</f>
        <v/>
      </c>
      <c r="R24" s="249" t="str">
        <f>IF(O$2="","",(IF(AND(COUNTBLANK(O21:O22)=0,COUNTBLANK(Q21:Q22)=0),(SUM(R21:R22))*$BO$24,"")))</f>
        <v/>
      </c>
      <c r="S24" s="149"/>
      <c r="T24" s="150" t="s">
        <v>2</v>
      </c>
      <c r="U24" s="151" t="str">
        <f>IF(V24="","",IF(OR(RANK(V41,$J41:$BB41,1)&gt;1,AND(RANK(V41,$J41:$BB41,1)=1,COUNTIF($J41:$BB41,V41)=1)),RANK(V41,$J41:$BB41,1),IF(MIN($J59:$BB59)=V59,1,COUNTIF($J59:$BB59,MIN($J59:$BB59))+1)))</f>
        <v/>
      </c>
      <c r="V24" s="249" t="str">
        <f>IF(S$2="","",(IF(AND(COUNTBLANK(S21:S22)=0,COUNTBLANK(U21:U22)=0),(SUM(V21:V22))*$BO$24,"")))</f>
        <v/>
      </c>
      <c r="W24" s="149"/>
      <c r="X24" s="150" t="s">
        <v>2</v>
      </c>
      <c r="Y24" s="151" t="str">
        <f>IF(Z24="","",IF(OR(RANK(Z41,$J41:$BB41,1)&gt;1,AND(RANK(Z41,$J41:$BB41,1)=1,COUNTIF($J41:$BB41,Z41)=1)),RANK(Z41,$J41:$BB41,1),IF(MIN($J59:$BB59)=Z59,1,COUNTIF($J59:$BB59,MIN($J59:$BB59))+1)))</f>
        <v/>
      </c>
      <c r="Z24" s="249" t="str">
        <f>IF(W$2="","",(IF(AND(COUNTBLANK(W21:W22)=0,COUNTBLANK(Y21:Y22)=0),(SUM(Z21:Z22))*$BO$24,"")))</f>
        <v/>
      </c>
      <c r="AA24" s="149"/>
      <c r="AB24" s="150" t="s">
        <v>2</v>
      </c>
      <c r="AC24" s="151" t="str">
        <f>IF(AD24="","",IF(OR(RANK(AD41,$J41:$BB41,1)&gt;1,AND(RANK(AD41,$J41:$BB41,1)=1,COUNTIF($J41:$BB41,AD41)=1)),RANK(AD41,$J41:$BB41,1),IF(MIN($J59:$BB59)=AD59,1,COUNTIF($J59:$BB59,MIN($J59:$BB59))+1)))</f>
        <v/>
      </c>
      <c r="AD24" s="249" t="str">
        <f>IF(AA$2="","",(IF(AND(COUNTBLANK(AA21:AA22)=0,COUNTBLANK(AC21:AC22)=0),(SUM(AD21:AD22))*$BO$24,"")))</f>
        <v/>
      </c>
      <c r="AE24" s="149"/>
      <c r="AF24" s="150" t="s">
        <v>2</v>
      </c>
      <c r="AG24" s="151" t="str">
        <f>IF(AH24="","",IF(OR(RANK(AH41,$J41:$BB41,1)&gt;1,AND(RANK(AH41,$J41:$BB41,1)=1,COUNTIF($J41:$BB41,AH41)=1)),RANK(AH41,$J41:$BB41,1),IF(MIN($J59:$BB59)=AH59,1,COUNTIF($J59:$BB59,MIN($J59:$BB59))+1)))</f>
        <v/>
      </c>
      <c r="AH24" s="249" t="str">
        <f>IF(AE$2="","",(IF(AND(COUNTBLANK(AE21:AE22)=0,COUNTBLANK(AG21:AG22)=0),(SUM(AH21:AH22))*$BO$24,"")))</f>
        <v/>
      </c>
      <c r="AI24" s="149"/>
      <c r="AJ24" s="150" t="s">
        <v>2</v>
      </c>
      <c r="AK24" s="151" t="str">
        <f>IF(AL24="","",IF(OR(RANK(AL41,$J41:$BB41,1)&gt;1,AND(RANK(AL41,$J41:$BB41,1)=1,COUNTIF($J41:$BB41,AL41)=1)),RANK(AL41,$J41:$BB41,1),IF(MIN($J59:$BB59)=AL59,1,COUNTIF($J59:$BB59,MIN($J59:$BB59))+1)))</f>
        <v/>
      </c>
      <c r="AL24" s="249" t="str">
        <f>IF(AI$2="","",(IF(AND(COUNTBLANK(AI21:AI22)=0,COUNTBLANK(AK21:AK22)=0),(SUM(AL21:AL22))*$BO$24,"")))</f>
        <v/>
      </c>
      <c r="AM24" s="149"/>
      <c r="AN24" s="150" t="s">
        <v>2</v>
      </c>
      <c r="AO24" s="151" t="str">
        <f>IF(AP24="","",IF(OR(RANK(AP41,$J41:$BB41,1)&gt;1,AND(RANK(AP41,$J41:$BB41,1)=1,COUNTIF($J41:$BB41,AP41)=1)),RANK(AP41,$J41:$BB41,1),IF(MIN($J59:$BB59)=AP59,1,COUNTIF($J59:$BB59,MIN($J59:$BB59))+1)))</f>
        <v/>
      </c>
      <c r="AP24" s="249" t="str">
        <f>IF(AM$2="","",(IF(AND(COUNTBLANK(AM21:AM22)=0,COUNTBLANK(AO21:AO22)=0),(SUM(AP21:AP22))*$BO$24,"")))</f>
        <v/>
      </c>
      <c r="AQ24" s="149"/>
      <c r="AR24" s="150" t="s">
        <v>2</v>
      </c>
      <c r="AS24" s="151" t="str">
        <f>IF(AT24="","",IF(OR(RANK(AT41,$J41:$BB41,1)&gt;1,AND(RANK(AT41,$J41:$BB41,1)=1,COUNTIF($J41:$BB41,AT41)=1)),RANK(AT41,$J41:$BB41,1),IF(MIN($J59:$BB59)=AT59,1,COUNTIF($J59:$BB59,MIN($J59:$BB59))+1)))</f>
        <v/>
      </c>
      <c r="AT24" s="249" t="str">
        <f>IF(AQ$2="","",(IF(AND(COUNTBLANK(AQ21:AQ22)=0,COUNTBLANK(AS21:AS22)=0),(SUM(AT21:AT22))*$BO$24,"")))</f>
        <v/>
      </c>
      <c r="AU24" s="149"/>
      <c r="AV24" s="150" t="s">
        <v>2</v>
      </c>
      <c r="AW24" s="151" t="str">
        <f>IF(AX24="","",IF(OR(RANK(AX41,$J41:$BB41,1)&gt;1,AND(RANK(AX41,$J41:$BB41,1)=1,COUNTIF($J41:$BB41,AX41)=1)),RANK(AX41,$J41:$BB41,1),IF(MIN($J59:$BB59)=AX59,1,COUNTIF($J59:$BB59,MIN($J59:$BB59))+1)))</f>
        <v/>
      </c>
      <c r="AX24" s="249" t="str">
        <f>IF(AU$2="","",(IF(AND(COUNTBLANK(AU21:AU22)=0,COUNTBLANK(AW21:AW22)=0),(SUM(AX21:AX22))*$BO$24,"")))</f>
        <v/>
      </c>
      <c r="AY24" s="156"/>
      <c r="AZ24" s="154" t="s">
        <v>2</v>
      </c>
      <c r="BA24" s="155" t="str">
        <f>IF(BB24="","",IF(OR(RANK(BB41,$J41:$BB41,1)&gt;1,AND(RANK(BB41,$J41:$BB41,1)=1,COUNTIF($J41:$BB41,BB41)=1)),RANK(BB41,$J41:$BB41,1),IF(MIN($J59:$BB59)=BB59,1,COUNTIF($J59:$BB59,MIN($J59:$BB59))+1)))</f>
        <v/>
      </c>
      <c r="BB24" s="250" t="str">
        <f>IF(AY$2="","",(IF(AND(COUNTBLANK(AY21:AY22)=0,COUNTBLANK(BA21:BA22)=0),(SUM(BB21:BB22))*$BO$24,"")))</f>
        <v/>
      </c>
      <c r="BC24" s="117"/>
      <c r="BD24" s="117"/>
      <c r="BE24" s="117"/>
      <c r="BF24" s="117"/>
      <c r="BG24" s="117"/>
      <c r="BH24" s="236"/>
      <c r="BI24" s="153"/>
      <c r="BJ24" s="154" t="s">
        <v>2</v>
      </c>
      <c r="BK24" s="155" t="str">
        <f>IF(BL24="","",RANK(BL41,$J41:$BL41,1))</f>
        <v/>
      </c>
      <c r="BL24" s="250" t="str">
        <f>IF(AND(COUNTBLANK(BI21:BI22)=0,COUNTBLANK(BK21:BK22)=0),(SUM(BL21:BL22))*$BO$24,"")</f>
        <v/>
      </c>
      <c r="BM24" s="25"/>
      <c r="BO24" s="16">
        <v>2</v>
      </c>
      <c r="BP24" s="17" t="s">
        <v>12</v>
      </c>
      <c r="BQ24" s="21"/>
      <c r="BR24" s="21"/>
      <c r="BS24" s="21"/>
      <c r="BT24" s="21"/>
      <c r="BU24" s="21"/>
      <c r="BV24" s="21"/>
      <c r="BW24" s="21"/>
      <c r="BX24" s="21"/>
      <c r="BY24" s="21"/>
      <c r="BZ24" s="21"/>
      <c r="CA24" s="22"/>
      <c r="CB24" s="8"/>
      <c r="CC24" s="8"/>
      <c r="CD24" s="8"/>
      <c r="CE24" s="8"/>
      <c r="CF24" s="8"/>
      <c r="CG24" s="8"/>
      <c r="CH24" s="8"/>
      <c r="CI24" s="8"/>
      <c r="CJ24" s="8"/>
      <c r="CK24" s="8"/>
      <c r="CL24" s="8"/>
      <c r="CM24" s="8"/>
      <c r="CN24" s="8"/>
      <c r="CO24" s="8"/>
      <c r="CP24" s="8"/>
      <c r="CQ24" s="8"/>
      <c r="CR24" s="8"/>
      <c r="CS24" s="8"/>
      <c r="CT24" s="8"/>
      <c r="DK24" s="8"/>
      <c r="DL24" s="27" t="str">
        <f>CONCATENATE($DM$5,$I$13,$DN$5)</f>
        <v xml:space="preserve">   "",</v>
      </c>
      <c r="DM24" s="24"/>
      <c r="DN24" s="24"/>
    </row>
    <row r="25" spans="1:124" s="6" customFormat="1" ht="8.1" customHeight="1" thickBot="1" x14ac:dyDescent="0.25">
      <c r="A25" s="19"/>
      <c r="B25" s="181"/>
      <c r="C25" s="102"/>
      <c r="D25" s="102"/>
      <c r="E25" s="172"/>
      <c r="F25" s="182"/>
      <c r="G25" s="177"/>
      <c r="H25" s="158"/>
      <c r="I25" s="177"/>
      <c r="J25" s="183"/>
      <c r="K25" s="177"/>
      <c r="L25" s="158"/>
      <c r="M25" s="177"/>
      <c r="N25" s="183"/>
      <c r="O25" s="177"/>
      <c r="P25" s="158"/>
      <c r="Q25" s="177"/>
      <c r="R25" s="183"/>
      <c r="S25" s="177"/>
      <c r="T25" s="158"/>
      <c r="U25" s="177"/>
      <c r="V25" s="183"/>
      <c r="W25" s="177"/>
      <c r="X25" s="158"/>
      <c r="Y25" s="177"/>
      <c r="Z25" s="183"/>
      <c r="AA25" s="177"/>
      <c r="AB25" s="158"/>
      <c r="AC25" s="177"/>
      <c r="AD25" s="183"/>
      <c r="AE25" s="177"/>
      <c r="AF25" s="158"/>
      <c r="AG25" s="177"/>
      <c r="AH25" s="183"/>
      <c r="AI25" s="177"/>
      <c r="AJ25" s="158"/>
      <c r="AK25" s="177"/>
      <c r="AL25" s="183"/>
      <c r="AM25" s="177"/>
      <c r="AN25" s="158"/>
      <c r="AO25" s="177"/>
      <c r="AP25" s="183"/>
      <c r="AQ25" s="177"/>
      <c r="AR25" s="158"/>
      <c r="AS25" s="177"/>
      <c r="AT25" s="183"/>
      <c r="AU25" s="177"/>
      <c r="AV25" s="158"/>
      <c r="AW25" s="177"/>
      <c r="AX25" s="183"/>
      <c r="AY25" s="177"/>
      <c r="AZ25" s="158"/>
      <c r="BA25" s="177"/>
      <c r="BB25" s="159"/>
      <c r="BC25" s="117"/>
      <c r="BD25" s="117"/>
      <c r="BE25" s="117"/>
      <c r="BF25" s="117"/>
      <c r="BG25" s="117"/>
      <c r="BH25" s="237"/>
      <c r="BI25" s="157"/>
      <c r="BJ25" s="158"/>
      <c r="BK25" s="177"/>
      <c r="BL25" s="159"/>
      <c r="BM25" s="25"/>
      <c r="BO25" s="16"/>
      <c r="BP25" s="17"/>
      <c r="BQ25" s="21"/>
      <c r="BR25" s="21"/>
      <c r="BS25" s="21"/>
      <c r="BT25" s="21"/>
      <c r="BU25" s="21"/>
      <c r="BV25" s="21"/>
      <c r="BW25" s="21"/>
      <c r="BX25" s="21"/>
      <c r="BY25" s="21"/>
      <c r="BZ25" s="21"/>
      <c r="CA25" s="22"/>
      <c r="CB25" s="8"/>
      <c r="CC25" s="8"/>
      <c r="CD25" s="8"/>
      <c r="CE25" s="8"/>
      <c r="CF25" s="8"/>
      <c r="CG25" s="8"/>
      <c r="CH25" s="8"/>
      <c r="CI25" s="8"/>
      <c r="CJ25" s="8"/>
      <c r="CK25" s="8"/>
      <c r="CL25" s="8"/>
      <c r="CM25" s="8"/>
      <c r="CN25" s="8"/>
      <c r="CO25" s="8"/>
      <c r="CP25" s="8"/>
      <c r="CQ25" s="8"/>
      <c r="CR25" s="8"/>
      <c r="CS25" s="8"/>
      <c r="CT25" s="8"/>
      <c r="DK25" s="8"/>
      <c r="DL25" s="27" t="str">
        <f>CONCATENATE($DM$5,$I$14,$DN$5)</f>
        <v xml:space="preserve">   "",</v>
      </c>
      <c r="DM25" s="24"/>
      <c r="DN25" s="24"/>
    </row>
    <row r="26" spans="1:124" s="6" customFormat="1" ht="18" customHeight="1" thickBot="1" x14ac:dyDescent="0.25">
      <c r="A26" s="19"/>
      <c r="B26" s="278" t="s">
        <v>126</v>
      </c>
      <c r="C26" s="279"/>
      <c r="D26" s="279"/>
      <c r="E26" s="279"/>
      <c r="F26" s="280"/>
      <c r="G26" s="241"/>
      <c r="H26" s="241" t="s">
        <v>127</v>
      </c>
      <c r="I26" s="242"/>
      <c r="J26" s="243" t="s">
        <v>1</v>
      </c>
      <c r="K26" s="244"/>
      <c r="L26" s="241" t="s">
        <v>127</v>
      </c>
      <c r="M26" s="242"/>
      <c r="N26" s="243" t="s">
        <v>1</v>
      </c>
      <c r="O26" s="244"/>
      <c r="P26" s="241" t="s">
        <v>127</v>
      </c>
      <c r="Q26" s="242"/>
      <c r="R26" s="243" t="s">
        <v>1</v>
      </c>
      <c r="S26" s="244"/>
      <c r="T26" s="241" t="s">
        <v>127</v>
      </c>
      <c r="U26" s="242"/>
      <c r="V26" s="243" t="s">
        <v>1</v>
      </c>
      <c r="W26" s="244"/>
      <c r="X26" s="241" t="s">
        <v>127</v>
      </c>
      <c r="Y26" s="242"/>
      <c r="Z26" s="243" t="s">
        <v>1</v>
      </c>
      <c r="AA26" s="244"/>
      <c r="AB26" s="241" t="s">
        <v>127</v>
      </c>
      <c r="AC26" s="242"/>
      <c r="AD26" s="243" t="s">
        <v>1</v>
      </c>
      <c r="AE26" s="244"/>
      <c r="AF26" s="241" t="s">
        <v>127</v>
      </c>
      <c r="AG26" s="242"/>
      <c r="AH26" s="243" t="s">
        <v>1</v>
      </c>
      <c r="AI26" s="244"/>
      <c r="AJ26" s="241" t="s">
        <v>127</v>
      </c>
      <c r="AK26" s="242"/>
      <c r="AL26" s="243" t="s">
        <v>1</v>
      </c>
      <c r="AM26" s="244"/>
      <c r="AN26" s="241" t="s">
        <v>127</v>
      </c>
      <c r="AO26" s="242"/>
      <c r="AP26" s="243" t="s">
        <v>1</v>
      </c>
      <c r="AQ26" s="244"/>
      <c r="AR26" s="241" t="s">
        <v>127</v>
      </c>
      <c r="AS26" s="242"/>
      <c r="AT26" s="243" t="s">
        <v>1</v>
      </c>
      <c r="AU26" s="244"/>
      <c r="AV26" s="241" t="s">
        <v>127</v>
      </c>
      <c r="AW26" s="242"/>
      <c r="AX26" s="243" t="s">
        <v>1</v>
      </c>
      <c r="AY26" s="244"/>
      <c r="AZ26" s="241" t="s">
        <v>127</v>
      </c>
      <c r="BA26" s="242"/>
      <c r="BB26" s="245" t="s">
        <v>1</v>
      </c>
      <c r="BC26" s="117"/>
      <c r="BD26" s="148"/>
      <c r="BE26" s="148"/>
      <c r="BF26" s="148"/>
      <c r="BG26" s="148"/>
      <c r="BH26" s="237"/>
      <c r="BI26" s="244"/>
      <c r="BJ26" s="241" t="s">
        <v>127</v>
      </c>
      <c r="BK26" s="242"/>
      <c r="BL26" s="245" t="s">
        <v>1</v>
      </c>
      <c r="BO26" s="16">
        <f>COUNTIF(J40:BB40,1)</f>
        <v>0</v>
      </c>
      <c r="BP26" s="17" t="s">
        <v>20</v>
      </c>
      <c r="BQ26" s="21"/>
      <c r="BR26" s="21"/>
      <c r="BS26" s="21"/>
      <c r="BT26" s="21"/>
      <c r="BU26" s="21"/>
      <c r="BV26" s="21"/>
      <c r="BW26" s="21"/>
      <c r="BX26" s="21"/>
      <c r="BY26" s="26"/>
      <c r="BZ26" s="26"/>
      <c r="CA26" s="22"/>
      <c r="CB26" s="8"/>
      <c r="CC26" s="8"/>
      <c r="CD26" s="8"/>
      <c r="CE26" s="8"/>
      <c r="CF26" s="8"/>
      <c r="CG26" s="8"/>
      <c r="CH26" s="8"/>
      <c r="CI26" s="8"/>
      <c r="CJ26" s="8"/>
      <c r="CK26" s="8"/>
      <c r="CL26" s="8"/>
      <c r="CM26" s="8"/>
      <c r="CN26" s="8"/>
      <c r="CO26" s="8"/>
      <c r="CP26" s="8"/>
      <c r="CQ26" s="8"/>
      <c r="CR26" s="8"/>
      <c r="CS26" s="8"/>
      <c r="CT26" s="8"/>
      <c r="DK26" s="8"/>
      <c r="DL26" s="27" t="str">
        <f>CONCATENATE($DM$5,$I$15,$DN$5)</f>
        <v xml:space="preserve">   "",</v>
      </c>
      <c r="DM26" s="24"/>
      <c r="DN26" s="24"/>
    </row>
    <row r="27" spans="1:124" s="6" customFormat="1" ht="15" customHeight="1" x14ac:dyDescent="0.2">
      <c r="B27" s="139"/>
      <c r="C27" s="140"/>
      <c r="D27" s="141" t="s">
        <v>3</v>
      </c>
      <c r="E27" s="142"/>
      <c r="F27" s="132"/>
      <c r="G27" s="140"/>
      <c r="H27" s="129" t="s">
        <v>0</v>
      </c>
      <c r="I27" s="144"/>
      <c r="J27" s="135" t="str">
        <f>IF(OR(G$2="",G27="",I27=""),"",IF($BD27="","",IF(G27=$BD27,ABS(I27-$BF27),ABS(I27+$BF27))+IF(G27&lt;&gt;$BD27,$BO$5,0)))</f>
        <v/>
      </c>
      <c r="K27" s="143"/>
      <c r="L27" s="129" t="s">
        <v>0</v>
      </c>
      <c r="M27" s="144"/>
      <c r="N27" s="135" t="str">
        <f>IF(OR(K$2="",K27="",M27=""),"",IF($BD27="","",IF(K27=$BD27,ABS(M27-$BF27),ABS(M27+$BF27))+IF(K27&lt;&gt;$BD27,$BO$5,0)))</f>
        <v/>
      </c>
      <c r="O27" s="143"/>
      <c r="P27" s="129" t="s">
        <v>0</v>
      </c>
      <c r="Q27" s="144"/>
      <c r="R27" s="135" t="str">
        <f>IF(OR(O$2="",O27="",Q27=""),"",IF($BD27="","",IF(O27=$BD27,ABS(Q27-$BF27),ABS(Q27+$BF27))+IF(O27&lt;&gt;$BD27,$BO$5,0)))</f>
        <v/>
      </c>
      <c r="S27" s="143"/>
      <c r="T27" s="129" t="s">
        <v>0</v>
      </c>
      <c r="U27" s="144"/>
      <c r="V27" s="135" t="str">
        <f>IF(OR(S$2="",S27="",U27=""),"",IF($BD27="","",IF(S27=$BD27,ABS(U27-$BF27),ABS(U27+$BF27))+IF(S27&lt;&gt;$BD27,$BO$5,0)))</f>
        <v/>
      </c>
      <c r="W27" s="143"/>
      <c r="X27" s="129" t="s">
        <v>0</v>
      </c>
      <c r="Y27" s="144"/>
      <c r="Z27" s="135" t="str">
        <f>IF(OR(W$2="",W27="",Y27=""),"",IF($BD27="","",IF(W27=$BD27,ABS(Y27-$BF27),ABS(Y27+$BF27))+IF(W27&lt;&gt;$BD27,$BO$5,0)))</f>
        <v/>
      </c>
      <c r="AA27" s="143"/>
      <c r="AB27" s="129" t="s">
        <v>0</v>
      </c>
      <c r="AC27" s="144"/>
      <c r="AD27" s="135" t="str">
        <f>IF(OR(AA$2="",AA27="",AC27=""),"",IF($BD27="","",IF(AA27=$BD27,ABS(AC27-$BF27),ABS(AC27+$BF27))+IF(AA27&lt;&gt;$BD27,$BO$5,0)))</f>
        <v/>
      </c>
      <c r="AE27" s="143"/>
      <c r="AF27" s="129" t="s">
        <v>0</v>
      </c>
      <c r="AG27" s="144"/>
      <c r="AH27" s="135" t="str">
        <f>IF(OR(AE$2="",AE27="",AG27=""),"",IF($BD27="","",IF(AE27=$BD27,ABS(AG27-$BF27),ABS(AG27+$BF27))+IF(AE27&lt;&gt;$BD27,$BO$5,0)))</f>
        <v/>
      </c>
      <c r="AI27" s="143"/>
      <c r="AJ27" s="129" t="s">
        <v>0</v>
      </c>
      <c r="AK27" s="144"/>
      <c r="AL27" s="135" t="str">
        <f>IF(OR(AI$2="",AI27="",AK27=""),"",IF($BD27="","",IF(AI27=$BD27,ABS(AK27-$BF27),ABS(AK27+$BF27))+IF(AI27&lt;&gt;$BD27,$BO$5,0)))</f>
        <v/>
      </c>
      <c r="AM27" s="143"/>
      <c r="AN27" s="129" t="s">
        <v>0</v>
      </c>
      <c r="AO27" s="144"/>
      <c r="AP27" s="135" t="str">
        <f>IF(OR(AM$2="",AM27="",AO27=""),"",IF($BD27="","",IF(AM27=$BD27,ABS(AO27-$BF27),ABS(AO27+$BF27))+IF(AM27&lt;&gt;$BD27,$BO$5,0)))</f>
        <v/>
      </c>
      <c r="AQ27" s="143"/>
      <c r="AR27" s="129" t="s">
        <v>0</v>
      </c>
      <c r="AS27" s="144"/>
      <c r="AT27" s="135" t="str">
        <f>IF(OR(AQ$2="",AQ27="",AS27=""),"",IF($BD27="","",IF(AQ27=$BD27,ABS(AS27-$BF27),ABS(AS27+$BF27))+IF(AQ27&lt;&gt;$BD27,$BO$5,0)))</f>
        <v/>
      </c>
      <c r="AU27" s="143"/>
      <c r="AV27" s="129" t="s">
        <v>0</v>
      </c>
      <c r="AW27" s="144"/>
      <c r="AX27" s="135" t="str">
        <f>IF(OR(AU$2="",AU27="",AW27=""),"",IF($BD27="","",IF(AU27=$BD27,ABS(AW27-$BF27),ABS(AW27+$BF27))+IF(AU27&lt;&gt;$BD27,$BO$5,0)))</f>
        <v/>
      </c>
      <c r="AY27" s="143"/>
      <c r="AZ27" s="129" t="s">
        <v>0</v>
      </c>
      <c r="BA27" s="144"/>
      <c r="BB27" s="136" t="str">
        <f>IF(OR(AY$2="",AY27="",BA27=""),"",IF($BD27="","",IF(AY27=$BD27,ABS(BA27-$BF27),ABS(BA27+$BF27))+IF(AY27&lt;&gt;$BD27,$BO$5,0)))</f>
        <v/>
      </c>
      <c r="BC27" s="117"/>
      <c r="BD27" s="118" t="str">
        <f>IF(OR(B27="",F27="",B27=F27),"",IF(B27&gt;F27,"V","H"))</f>
        <v/>
      </c>
      <c r="BE27" s="118" t="s">
        <v>0</v>
      </c>
      <c r="BF27" s="118" t="str">
        <f>IF(OR(B27="",F27="",B27=F27),"",ABS(B27-F27))</f>
        <v/>
      </c>
      <c r="BG27" s="118"/>
      <c r="BH27" s="235">
        <f t="shared" ref="BH27" si="13">SUM(IF(G27="H",I27,-I27),IF(K27="H",M27,-M27),IF(O27="H",Q27,-Q27),IF(S27="H",U27,-U27),IF(W27="H",Y27,-Y27),IF(AA27="H",AC27,-AC27),IF(AE27="H",AG27,-AG27),IF(AI27="H",AK27,-AK27),IF(AM27="H",AO27,-AO27),IF(AQ27="H",AS27,-AS27),IF(AU27="H",AW27,-AW27),IF(AY27="H",BA27,-BA27))</f>
        <v>0</v>
      </c>
      <c r="BI27" s="145" t="str">
        <f>IF(COUNTA(G27,K27,O27,S27,W27,AA27,AE27,AI27,AM27,AQ27,AU27,AY27)&gt;0,IF(BH27&lt;0,"V","H"),"")</f>
        <v/>
      </c>
      <c r="BJ27" s="130" t="s">
        <v>0</v>
      </c>
      <c r="BK27" s="146" t="str">
        <f>IF(BI27="","",IF(ABS(BH27)&lt;(COUNTA(G27,K27,O27,S27,W27,AA27,AE27,AI27,AM27,AQ27,AU27,AY27)/2),1,ROUND(ABS(BH27)/COUNTA(G27,K27,O27,S27,W27,AA27,AE27,AI27,AM27,AQ27,AU27,AY27),0)))</f>
        <v/>
      </c>
      <c r="BL27" s="136" t="str">
        <f>IF(OR(BI27="",BK27=""),"",IF($BD27="","",IF(BI27=$BD27,ABS(BK27-$BF27),ABS(BK27+$BF27))+IF(BI27&lt;&gt;$BD27,$BO$5,0)))</f>
        <v/>
      </c>
      <c r="BQ27" s="28"/>
      <c r="BR27" s="28"/>
      <c r="BS27" s="28"/>
      <c r="BT27" s="28"/>
      <c r="BU27" s="28"/>
      <c r="BV27" s="28"/>
      <c r="BW27" s="28"/>
      <c r="BX27" s="28"/>
      <c r="BY27" s="28"/>
      <c r="BZ27" s="28"/>
      <c r="CB27" s="8"/>
      <c r="CC27" s="8"/>
      <c r="CD27" s="8"/>
      <c r="CE27" s="8"/>
      <c r="CF27" s="8"/>
      <c r="CG27" s="8"/>
      <c r="CH27" s="8"/>
      <c r="CI27" s="8"/>
      <c r="CJ27" s="8"/>
      <c r="CK27" s="8"/>
      <c r="CL27" s="8"/>
      <c r="CM27" s="8"/>
      <c r="CN27" s="8"/>
      <c r="CO27" s="8"/>
      <c r="CP27" s="8"/>
      <c r="CQ27" s="8"/>
      <c r="CR27" s="8"/>
      <c r="CS27" s="8"/>
      <c r="CT27" s="8"/>
      <c r="DK27" s="8"/>
      <c r="DL27" s="27" t="str">
        <f>CONCATENATE($DM$5,$I$16,$DN$5)</f>
        <v xml:space="preserve">   "",</v>
      </c>
      <c r="DM27" s="24"/>
      <c r="DN27" s="24"/>
    </row>
    <row r="28" spans="1:124" s="6" customFormat="1" ht="12" customHeight="1" x14ac:dyDescent="0.2">
      <c r="A28" s="19"/>
      <c r="B28" s="93"/>
      <c r="C28" s="94"/>
      <c r="D28" s="95"/>
      <c r="E28" s="96" t="s">
        <v>98</v>
      </c>
      <c r="F28" s="97" t="str">
        <f>IF(SUM(B27,F27)=0,"",SUM(B27,F27))</f>
        <v/>
      </c>
      <c r="G28" s="175"/>
      <c r="H28" s="99" t="s">
        <v>62</v>
      </c>
      <c r="I28" s="100"/>
      <c r="J28" s="104" t="str">
        <f>IF(OR($F28="",I28="",J29=""),"",IF(AND(COUNTIF($J43:$BB43,J43)&gt;1,RANK(J43,$J43:$BB43,1)=1),$F28-I28,""))</f>
        <v/>
      </c>
      <c r="K28" s="98"/>
      <c r="L28" s="99" t="s">
        <v>62</v>
      </c>
      <c r="M28" s="100"/>
      <c r="N28" s="104" t="str">
        <f>IF(OR($F28="",M28="",N29=""),"",IF(AND(COUNTIF($J43:$BB43,N43)&gt;1,RANK(N43,$J43:$BB43,1)=1),$F28-M28,""))</f>
        <v/>
      </c>
      <c r="O28" s="98"/>
      <c r="P28" s="99" t="s">
        <v>62</v>
      </c>
      <c r="Q28" s="100"/>
      <c r="R28" s="104" t="str">
        <f>IF(OR($F28="",Q28="",R29=""),"",IF(AND(COUNTIF($J43:$BB43,R43)&gt;1,RANK(R43,$J43:$BB43,1)=1),$F28-Q28,""))</f>
        <v/>
      </c>
      <c r="S28" s="98"/>
      <c r="T28" s="99" t="s">
        <v>62</v>
      </c>
      <c r="U28" s="100"/>
      <c r="V28" s="104" t="str">
        <f>IF(OR($F28="",U28="",V29=""),"",IF(AND(COUNTIF($J43:$BB43,V43)&gt;1,RANK(V43,$J43:$BB43,1)=1),$F28-U28,""))</f>
        <v/>
      </c>
      <c r="W28" s="98"/>
      <c r="X28" s="99" t="s">
        <v>62</v>
      </c>
      <c r="Y28" s="100"/>
      <c r="Z28" s="104" t="str">
        <f>IF(OR($F28="",Y28="",Z29=""),"",IF(AND(COUNTIF($J43:$BB43,Z43)&gt;1,RANK(Z43,$J43:$BB43,1)=1),$F28-Y28,""))</f>
        <v/>
      </c>
      <c r="AA28" s="98"/>
      <c r="AB28" s="99" t="s">
        <v>62</v>
      </c>
      <c r="AC28" s="100"/>
      <c r="AD28" s="104" t="str">
        <f>IF(OR($F28="",AC28="",AD29=""),"",IF(AND(COUNTIF($J43:$BB43,AD43)&gt;1,RANK(AD43,$J43:$BB43,1)=1),$F28-AC28,""))</f>
        <v/>
      </c>
      <c r="AE28" s="98"/>
      <c r="AF28" s="99" t="s">
        <v>62</v>
      </c>
      <c r="AG28" s="100"/>
      <c r="AH28" s="104" t="str">
        <f>IF(OR($F28="",AG28="",AH29=""),"",IF(AND(COUNTIF($J43:$BB43,AH43)&gt;1,RANK(AH43,$J43:$BB43,1)=1),$F28-AG28,""))</f>
        <v/>
      </c>
      <c r="AI28" s="98"/>
      <c r="AJ28" s="99" t="s">
        <v>62</v>
      </c>
      <c r="AK28" s="100"/>
      <c r="AL28" s="104" t="str">
        <f>IF(OR($F28="",AK28="",AL29=""),"",IF(AND(COUNTIF($J43:$BB43,AL43)&gt;1,RANK(AL43,$J43:$BB43,1)=1),$F28-AK28,""))</f>
        <v/>
      </c>
      <c r="AM28" s="98"/>
      <c r="AN28" s="99" t="s">
        <v>62</v>
      </c>
      <c r="AO28" s="100"/>
      <c r="AP28" s="104" t="str">
        <f>IF(OR($F28="",AO28="",AP29=""),"",IF(AND(COUNTIF($J43:$BB43,AP43)&gt;1,RANK(AP43,$J43:$BB43,1)=1),$F28-AO28,""))</f>
        <v/>
      </c>
      <c r="AQ28" s="98"/>
      <c r="AR28" s="99" t="s">
        <v>62</v>
      </c>
      <c r="AS28" s="100"/>
      <c r="AT28" s="104" t="str">
        <f>IF(OR($F28="",AS28="",AT29=""),"",IF(AND(COUNTIF($J43:$BB43,AT43)&gt;1,RANK(AT43,$J43:$BB43,1)=1),$F28-AS28,""))</f>
        <v/>
      </c>
      <c r="AU28" s="98"/>
      <c r="AV28" s="99" t="s">
        <v>62</v>
      </c>
      <c r="AW28" s="100"/>
      <c r="AX28" s="104" t="str">
        <f>IF(OR($F28="",AW28="",AX29=""),"",IF(AND(COUNTIF($J43:$BB43,AX43)&gt;1,RANK(AX43,$J43:$BB43,1)=1),$F28-AW28,""))</f>
        <v/>
      </c>
      <c r="AY28" s="98"/>
      <c r="AZ28" s="99" t="s">
        <v>62</v>
      </c>
      <c r="BA28" s="100"/>
      <c r="BB28" s="105" t="str">
        <f>IF(OR($F28="",BA28="",BB29=""),"",IF(AND(COUNTIF($J43:$BB43,BB43)&gt;1,RANK(BB43,$J43:$BB43,1)=1),$F28-BA28,""))</f>
        <v/>
      </c>
      <c r="BC28" s="147"/>
      <c r="BD28" s="118"/>
      <c r="BE28" s="118"/>
      <c r="BF28" s="118"/>
      <c r="BG28" s="118"/>
      <c r="BH28" s="236"/>
      <c r="BI28" s="106"/>
      <c r="BJ28" s="95" t="s">
        <v>62</v>
      </c>
      <c r="BK28" s="101" t="str">
        <f>IF(SUM(I28,M28,Q28,U28,Y28,AC28,AG28,AK28,AO28,AS28,AW28,BA28)=0,"",ROUND(AVERAGE(I28,M28,Q28,U28,Y28,AC28,AG28,AK28,AO28,AS28,AW28,BA28),0))</f>
        <v/>
      </c>
      <c r="BL28" s="105" t="str">
        <f>IF(OR($F28="",BK28=""),"",$F28-BK28)</f>
        <v/>
      </c>
      <c r="BS28" s="21"/>
      <c r="BT28" s="21"/>
      <c r="BU28" s="21"/>
      <c r="BV28" s="21"/>
      <c r="BW28" s="21"/>
      <c r="BX28" s="21"/>
      <c r="BY28" s="21"/>
      <c r="BZ28" s="21"/>
      <c r="CA28" s="22"/>
      <c r="CB28" s="8"/>
      <c r="CC28" s="8"/>
      <c r="CD28" s="8"/>
      <c r="CE28" s="8"/>
      <c r="CF28" s="8"/>
      <c r="CG28" s="8"/>
      <c r="CH28" s="8"/>
      <c r="CI28" s="8"/>
      <c r="CJ28" s="8"/>
      <c r="CK28" s="8"/>
      <c r="CL28" s="8"/>
      <c r="CM28" s="8"/>
      <c r="CN28" s="8"/>
      <c r="CO28" s="8"/>
      <c r="CP28" s="8"/>
      <c r="CQ28" s="8"/>
      <c r="CR28" s="8"/>
      <c r="CS28" s="8"/>
      <c r="CT28" s="8"/>
      <c r="DK28" s="8"/>
      <c r="DL28" s="27" t="str">
        <f>CONCATENATE($DM$5,$I$21,$DN$5)</f>
        <v xml:space="preserve">   "",</v>
      </c>
      <c r="DM28" s="24"/>
      <c r="DN28" s="24"/>
    </row>
    <row r="29" spans="1:124" s="6" customFormat="1" ht="18" customHeight="1" thickBot="1" x14ac:dyDescent="0.25">
      <c r="A29" s="19"/>
      <c r="B29" s="170"/>
      <c r="C29" s="169"/>
      <c r="D29" s="169"/>
      <c r="E29" s="171"/>
      <c r="F29" s="240" t="s">
        <v>82</v>
      </c>
      <c r="G29" s="176"/>
      <c r="H29" s="150" t="s">
        <v>2</v>
      </c>
      <c r="I29" s="151" t="str">
        <f>IF(J29="","",IF(OR(RANK(J43,$J43:$BB43,1)&gt;1,AND(RANK(J43,$J43:$BB43,1)=1,COUNTIF($J43:$BB43,J43)=1)),RANK(J43,$J43:$BB43,1),IF(MIN($J60:$BB60)=J60,1,COUNTIF($J60:$BB60,MIN($J60:$BB60))+1)))</f>
        <v/>
      </c>
      <c r="J29" s="249" t="str">
        <f>IF(G$2="","",(IF(AND(COUNTBLANK(G27:G27)=0,COUNTBLANK(I27:I27)=0),(SUM(J27:J27))*$BO$29,"")))</f>
        <v/>
      </c>
      <c r="K29" s="149"/>
      <c r="L29" s="150" t="s">
        <v>2</v>
      </c>
      <c r="M29" s="151" t="str">
        <f>IF(N29="","",IF(OR(RANK(N43,$J43:$BB43,1)&gt;1,AND(RANK(N43,$J43:$BB43,1)=1,COUNTIF($J43:$BB43,N43)=1)),RANK(N43,$J43:$BB43,1),IF(MIN($J60:$BB60)=N60,1,COUNTIF($J60:$BB60,MIN($J60:$BB60))+1)))</f>
        <v/>
      </c>
      <c r="N29" s="249" t="str">
        <f>IF(K$2="","",(IF(AND(COUNTBLANK(K27:K27)=0,COUNTBLANK(M27:M27)=0),(SUM(N27:N27))*$BO$29,"")))</f>
        <v/>
      </c>
      <c r="O29" s="149"/>
      <c r="P29" s="150" t="s">
        <v>2</v>
      </c>
      <c r="Q29" s="151" t="str">
        <f>IF(R29="","",IF(OR(RANK(R43,$J43:$BB43,1)&gt;1,AND(RANK(R43,$J43:$BB43,1)=1,COUNTIF($J43:$BB43,R43)=1)),RANK(R43,$J43:$BB43,1),IF(MIN($J60:$BB60)=R60,1,COUNTIF($J60:$BB60,MIN($J60:$BB60))+1)))</f>
        <v/>
      </c>
      <c r="R29" s="249" t="str">
        <f>IF(O$2="","",(IF(AND(COUNTBLANK(O27:O27)=0,COUNTBLANK(Q27:Q27)=0),(SUM(R27:R27))*$BO$29,"")))</f>
        <v/>
      </c>
      <c r="S29" s="149"/>
      <c r="T29" s="150" t="s">
        <v>2</v>
      </c>
      <c r="U29" s="151" t="str">
        <f>IF(V29="","",IF(OR(RANK(V43,$J43:$BB43,1)&gt;1,AND(RANK(V43,$J43:$BB43,1)=1,COUNTIF($J43:$BB43,V43)=1)),RANK(V43,$J43:$BB43,1),IF(MIN($J60:$BB60)=V60,1,COUNTIF($J60:$BB60,MIN($J60:$BB60))+1)))</f>
        <v/>
      </c>
      <c r="V29" s="249" t="str">
        <f>IF(S$2="","",(IF(AND(COUNTBLANK(S27:S27)=0,COUNTBLANK(U27:U27)=0),(SUM(V27:V27))*$BO$29,"")))</f>
        <v/>
      </c>
      <c r="W29" s="149"/>
      <c r="X29" s="150" t="s">
        <v>2</v>
      </c>
      <c r="Y29" s="151" t="str">
        <f>IF(Z29="","",IF(OR(RANK(Z43,$J43:$BB43,1)&gt;1,AND(RANK(Z43,$J43:$BB43,1)=1,COUNTIF($J43:$BB43,Z43)=1)),RANK(Z43,$J43:$BB43,1),IF(MIN($J60:$BB60)=Z60,1,COUNTIF($J60:$BB60,MIN($J60:$BB60))+1)))</f>
        <v/>
      </c>
      <c r="Z29" s="249" t="str">
        <f>IF(W$2="","",(IF(AND(COUNTBLANK(W27:W27)=0,COUNTBLANK(Y27:Y27)=0),(SUM(Z27:Z27))*$BO$29,"")))</f>
        <v/>
      </c>
      <c r="AA29" s="149"/>
      <c r="AB29" s="150" t="s">
        <v>2</v>
      </c>
      <c r="AC29" s="151" t="str">
        <f>IF(AD29="","",IF(OR(RANK(AD43,$J43:$BB43,1)&gt;1,AND(RANK(AD43,$J43:$BB43,1)=1,COUNTIF($J43:$BB43,AD43)=1)),RANK(AD43,$J43:$BB43,1),IF(MIN($J60:$BB60)=AD60,1,COUNTIF($J60:$BB60,MIN($J60:$BB60))+1)))</f>
        <v/>
      </c>
      <c r="AD29" s="249" t="str">
        <f>IF(AA$2="","",(IF(AND(COUNTBLANK(AA27:AA27)=0,COUNTBLANK(AC27:AC27)=0),(SUM(AD27:AD27))*$BO$29,"")))</f>
        <v/>
      </c>
      <c r="AE29" s="149"/>
      <c r="AF29" s="150" t="s">
        <v>2</v>
      </c>
      <c r="AG29" s="151" t="str">
        <f>IF(AH29="","",IF(OR(RANK(AH43,$J43:$BB43,1)&gt;1,AND(RANK(AH43,$J43:$BB43,1)=1,COUNTIF($J43:$BB43,AH43)=1)),RANK(AH43,$J43:$BB43,1),IF(MIN($J60:$BB60)=AH60,1,COUNTIF($J60:$BB60,MIN($J60:$BB60))+1)))</f>
        <v/>
      </c>
      <c r="AH29" s="249" t="str">
        <f>IF(AE$2="","",(IF(AND(COUNTBLANK(AE27:AE27)=0,COUNTBLANK(AG27:AG27)=0),(SUM(AH27:AH27))*$BO$29,"")))</f>
        <v/>
      </c>
      <c r="AI29" s="149"/>
      <c r="AJ29" s="150" t="s">
        <v>2</v>
      </c>
      <c r="AK29" s="151" t="str">
        <f>IF(AL29="","",IF(OR(RANK(AL43,$J43:$BB43,1)&gt;1,AND(RANK(AL43,$J43:$BB43,1)=1,COUNTIF($J43:$BB43,AL43)=1)),RANK(AL43,$J43:$BB43,1),IF(MIN($J60:$BB60)=AL60,1,COUNTIF($J60:$BB60,MIN($J60:$BB60))+1)))</f>
        <v/>
      </c>
      <c r="AL29" s="249" t="str">
        <f>IF(AI$2="","",(IF(AND(COUNTBLANK(AI27:AI27)=0,COUNTBLANK(AK27:AK27)=0),(SUM(AL27:AL27))*$BO$29,"")))</f>
        <v/>
      </c>
      <c r="AM29" s="149"/>
      <c r="AN29" s="150" t="s">
        <v>2</v>
      </c>
      <c r="AO29" s="151" t="str">
        <f>IF(AP29="","",IF(OR(RANK(AP43,$J43:$BB43,1)&gt;1,AND(RANK(AP43,$J43:$BB43,1)=1,COUNTIF($J43:$BB43,AP43)=1)),RANK(AP43,$J43:$BB43,1),IF(MIN($J60:$BB60)=AP60,1,COUNTIF($J60:$BB60,MIN($J60:$BB60))+1)))</f>
        <v/>
      </c>
      <c r="AP29" s="249" t="str">
        <f>IF(AM$2="","",(IF(AND(COUNTBLANK(AM27:AM27)=0,COUNTBLANK(AO27:AO27)=0),(SUM(AP27:AP27))*$BO$29,"")))</f>
        <v/>
      </c>
      <c r="AQ29" s="149"/>
      <c r="AR29" s="150" t="s">
        <v>2</v>
      </c>
      <c r="AS29" s="151" t="str">
        <f>IF(AT29="","",IF(OR(RANK(AT43,$J43:$BB43,1)&gt;1,AND(RANK(AT43,$J43:$BB43,1)=1,COUNTIF($J43:$BB43,AT43)=1)),RANK(AT43,$J43:$BB43,1),IF(MIN($J60:$BB60)=AT60,1,COUNTIF($J60:$BB60,MIN($J60:$BB60))+1)))</f>
        <v/>
      </c>
      <c r="AT29" s="249" t="str">
        <f>IF(AQ$2="","",(IF(AND(COUNTBLANK(AQ27:AQ27)=0,COUNTBLANK(AS27:AS27)=0),(SUM(AT27:AT27))*$BO$29,"")))</f>
        <v/>
      </c>
      <c r="AU29" s="149"/>
      <c r="AV29" s="150" t="s">
        <v>2</v>
      </c>
      <c r="AW29" s="151" t="str">
        <f>IF(AX29="","",IF(OR(RANK(AX43,$J43:$BB43,1)&gt;1,AND(RANK(AX43,$J43:$BB43,1)=1,COUNTIF($J43:$BB43,AX43)=1)),RANK(AX43,$J43:$BB43,1),IF(MIN($J60:$BB60)=AX60,1,COUNTIF($J60:$BB60,MIN($J60:$BB60))+1)))</f>
        <v/>
      </c>
      <c r="AX29" s="249" t="str">
        <f>IF(AU$2="","",(IF(AND(COUNTBLANK(AU27:AU27)=0,COUNTBLANK(AW27:AW27)=0),(SUM(AX27:AX27))*$BO$29,"")))</f>
        <v/>
      </c>
      <c r="AY29" s="156"/>
      <c r="AZ29" s="154" t="s">
        <v>2</v>
      </c>
      <c r="BA29" s="155" t="str">
        <f>IF(BB29="","",IF(OR(RANK(BB43,$J43:$BB43,1)&gt;1,AND(RANK(BB43,$J43:$BB43,1)=1,COUNTIF($J43:$BB43,BB43)=1)),RANK(BB43,$J43:$BB43,1),IF(MIN($J60:$BB60)=BB60,1,COUNTIF($J60:$BB60,MIN($J60:$BB60))+1)))</f>
        <v/>
      </c>
      <c r="BB29" s="250" t="str">
        <f>IF(AY$2="","",(IF(AND(COUNTBLANK(AY27:AY27)=0,COUNTBLANK(BA27:BA27)=0),(SUM(BB27:BB27))*$BO$29,"")))</f>
        <v/>
      </c>
      <c r="BC29" s="117"/>
      <c r="BD29" s="117"/>
      <c r="BE29" s="117"/>
      <c r="BF29" s="117"/>
      <c r="BG29" s="117"/>
      <c r="BH29" s="236"/>
      <c r="BI29" s="153"/>
      <c r="BJ29" s="154" t="s">
        <v>2</v>
      </c>
      <c r="BK29" s="155" t="str">
        <f>IF(BL29="","",RANK(BL43,$J43:$BL43,1))</f>
        <v/>
      </c>
      <c r="BL29" s="250" t="str">
        <f>IF(AND(COUNTBLANK(BI27:BI27)=0,COUNTBLANK(BK27:BK27)=0),(SUM(BL27:BL27))*$BO$29,"")</f>
        <v/>
      </c>
      <c r="BO29" s="16">
        <v>4</v>
      </c>
      <c r="BP29" s="17" t="s">
        <v>11</v>
      </c>
      <c r="BQ29" s="17"/>
      <c r="BR29" s="21"/>
      <c r="BS29" s="21"/>
      <c r="BT29" s="21"/>
      <c r="BU29" s="21"/>
      <c r="BV29" s="21"/>
      <c r="BW29" s="21"/>
      <c r="BX29" s="21"/>
      <c r="BY29" s="21"/>
      <c r="BZ29" s="21"/>
      <c r="CA29" s="22"/>
      <c r="CB29" s="8"/>
      <c r="CC29" s="8"/>
      <c r="CD29" s="8"/>
      <c r="CE29" s="8"/>
      <c r="CF29" s="8"/>
      <c r="CG29" s="8"/>
      <c r="CH29" s="8"/>
      <c r="CI29" s="8"/>
      <c r="CJ29" s="8"/>
      <c r="CK29" s="8"/>
      <c r="CL29" s="8"/>
      <c r="CM29" s="8"/>
      <c r="CN29" s="8"/>
      <c r="CO29" s="8"/>
      <c r="CP29" s="8"/>
      <c r="CQ29" s="8"/>
      <c r="CR29" s="8"/>
      <c r="CS29" s="8"/>
      <c r="CT29" s="8"/>
      <c r="DK29" s="8"/>
      <c r="DL29" s="27" t="str">
        <f>CONCATENATE($DM$5,$I$22,$DN$5)</f>
        <v xml:space="preserve">   "",</v>
      </c>
      <c r="DM29" s="24"/>
      <c r="DN29" s="24"/>
    </row>
    <row r="30" spans="1:124" s="6" customFormat="1" ht="8.1" customHeight="1" thickBot="1" x14ac:dyDescent="0.25">
      <c r="A30" s="19"/>
      <c r="B30" s="181"/>
      <c r="C30" s="102"/>
      <c r="D30" s="102"/>
      <c r="E30" s="172"/>
      <c r="F30" s="182"/>
      <c r="G30" s="177"/>
      <c r="H30" s="158"/>
      <c r="I30" s="177"/>
      <c r="J30" s="183"/>
      <c r="K30" s="177"/>
      <c r="L30" s="158"/>
      <c r="M30" s="177"/>
      <c r="N30" s="183"/>
      <c r="O30" s="177"/>
      <c r="P30" s="158"/>
      <c r="Q30" s="177"/>
      <c r="R30" s="183"/>
      <c r="S30" s="177"/>
      <c r="T30" s="158"/>
      <c r="U30" s="177"/>
      <c r="V30" s="183"/>
      <c r="W30" s="177"/>
      <c r="X30" s="158"/>
      <c r="Y30" s="177"/>
      <c r="Z30" s="183"/>
      <c r="AA30" s="177"/>
      <c r="AB30" s="158"/>
      <c r="AC30" s="177"/>
      <c r="AD30" s="183"/>
      <c r="AE30" s="177"/>
      <c r="AF30" s="158"/>
      <c r="AG30" s="177"/>
      <c r="AH30" s="183"/>
      <c r="AI30" s="177"/>
      <c r="AJ30" s="158"/>
      <c r="AK30" s="177"/>
      <c r="AL30" s="183"/>
      <c r="AM30" s="177"/>
      <c r="AN30" s="158"/>
      <c r="AO30" s="177"/>
      <c r="AP30" s="183"/>
      <c r="AQ30" s="177"/>
      <c r="AR30" s="158"/>
      <c r="AS30" s="177"/>
      <c r="AT30" s="183"/>
      <c r="AU30" s="177"/>
      <c r="AV30" s="158"/>
      <c r="AW30" s="177"/>
      <c r="AX30" s="183"/>
      <c r="AY30" s="177"/>
      <c r="AZ30" s="158"/>
      <c r="BA30" s="177"/>
      <c r="BB30" s="159"/>
      <c r="BC30" s="117"/>
      <c r="BD30" s="117"/>
      <c r="BE30" s="117"/>
      <c r="BF30" s="117"/>
      <c r="BG30" s="117"/>
      <c r="BH30" s="237"/>
      <c r="BI30" s="157"/>
      <c r="BJ30" s="158"/>
      <c r="BK30" s="177"/>
      <c r="BL30" s="159"/>
      <c r="BO30" s="16"/>
      <c r="BP30" s="17"/>
      <c r="BQ30" s="17"/>
      <c r="BR30" s="21"/>
      <c r="BS30" s="21"/>
      <c r="BT30" s="21"/>
      <c r="BU30" s="21"/>
      <c r="BV30" s="21"/>
      <c r="BW30" s="21"/>
      <c r="BX30" s="21"/>
      <c r="BY30" s="21"/>
      <c r="BZ30" s="21"/>
      <c r="CA30" s="22"/>
      <c r="CB30" s="8"/>
      <c r="CC30" s="8"/>
      <c r="CD30" s="8"/>
      <c r="CE30" s="8"/>
      <c r="CF30" s="8"/>
      <c r="CG30" s="8"/>
      <c r="CH30" s="8"/>
      <c r="CI30" s="8"/>
      <c r="CJ30" s="8"/>
      <c r="CK30" s="8"/>
      <c r="CL30" s="8"/>
      <c r="CM30" s="8"/>
      <c r="CN30" s="8"/>
      <c r="CO30" s="8"/>
      <c r="CP30" s="8"/>
      <c r="CQ30" s="8"/>
      <c r="CR30" s="8"/>
      <c r="CS30" s="8"/>
      <c r="CT30" s="8"/>
      <c r="DK30" s="8"/>
      <c r="DL30" s="27" t="str">
        <f>CONCATENATE($DM$5,$I$27,$DN$6)</f>
        <v xml:space="preserve">   ""</v>
      </c>
      <c r="DM30" s="24"/>
      <c r="DN30" s="24"/>
    </row>
    <row r="31" spans="1:124" s="6" customFormat="1" ht="18" customHeight="1" thickBot="1" x14ac:dyDescent="0.25">
      <c r="B31" s="265" t="s">
        <v>120</v>
      </c>
      <c r="C31" s="266"/>
      <c r="D31" s="266"/>
      <c r="E31" s="266"/>
      <c r="F31" s="267"/>
      <c r="G31" s="241"/>
      <c r="H31" s="241" t="s">
        <v>4</v>
      </c>
      <c r="I31" s="242"/>
      <c r="J31" s="243" t="s">
        <v>1</v>
      </c>
      <c r="K31" s="244"/>
      <c r="L31" s="241" t="s">
        <v>4</v>
      </c>
      <c r="M31" s="242"/>
      <c r="N31" s="243" t="s">
        <v>1</v>
      </c>
      <c r="O31" s="244"/>
      <c r="P31" s="241" t="s">
        <v>4</v>
      </c>
      <c r="Q31" s="242"/>
      <c r="R31" s="243" t="s">
        <v>1</v>
      </c>
      <c r="S31" s="244"/>
      <c r="T31" s="241" t="s">
        <v>4</v>
      </c>
      <c r="U31" s="242"/>
      <c r="V31" s="243" t="s">
        <v>1</v>
      </c>
      <c r="W31" s="244"/>
      <c r="X31" s="241" t="s">
        <v>4</v>
      </c>
      <c r="Y31" s="242"/>
      <c r="Z31" s="243" t="s">
        <v>1</v>
      </c>
      <c r="AA31" s="244"/>
      <c r="AB31" s="241" t="s">
        <v>4</v>
      </c>
      <c r="AC31" s="242"/>
      <c r="AD31" s="243" t="s">
        <v>1</v>
      </c>
      <c r="AE31" s="244"/>
      <c r="AF31" s="241" t="s">
        <v>4</v>
      </c>
      <c r="AG31" s="242"/>
      <c r="AH31" s="243" t="s">
        <v>1</v>
      </c>
      <c r="AI31" s="244"/>
      <c r="AJ31" s="241" t="s">
        <v>4</v>
      </c>
      <c r="AK31" s="242"/>
      <c r="AL31" s="243" t="s">
        <v>1</v>
      </c>
      <c r="AM31" s="244"/>
      <c r="AN31" s="241" t="s">
        <v>4</v>
      </c>
      <c r="AO31" s="242"/>
      <c r="AP31" s="243" t="s">
        <v>1</v>
      </c>
      <c r="AQ31" s="244"/>
      <c r="AR31" s="241" t="s">
        <v>4</v>
      </c>
      <c r="AS31" s="242"/>
      <c r="AT31" s="243" t="s">
        <v>1</v>
      </c>
      <c r="AU31" s="244"/>
      <c r="AV31" s="241" t="s">
        <v>4</v>
      </c>
      <c r="AW31" s="242"/>
      <c r="AX31" s="243" t="s">
        <v>1</v>
      </c>
      <c r="AY31" s="244"/>
      <c r="AZ31" s="241" t="s">
        <v>4</v>
      </c>
      <c r="BA31" s="242"/>
      <c r="BB31" s="245" t="s">
        <v>1</v>
      </c>
      <c r="BC31" s="117"/>
      <c r="BD31" s="117"/>
      <c r="BE31" s="117"/>
      <c r="BF31" s="117"/>
      <c r="BG31" s="117"/>
      <c r="BH31" s="237"/>
      <c r="BI31" s="244"/>
      <c r="BJ31" s="241" t="s">
        <v>4</v>
      </c>
      <c r="BK31" s="242"/>
      <c r="BL31" s="245" t="s">
        <v>1</v>
      </c>
      <c r="BO31" s="16">
        <f>COUNTIF(J42:BB42,1)</f>
        <v>0</v>
      </c>
      <c r="BP31" s="17" t="s">
        <v>21</v>
      </c>
      <c r="CB31" s="8"/>
      <c r="CC31" s="8"/>
      <c r="CD31" s="8"/>
      <c r="CE31" s="8"/>
      <c r="CF31" s="8"/>
      <c r="CG31" s="8"/>
      <c r="CH31" s="8"/>
      <c r="CI31" s="8"/>
      <c r="CJ31" s="8"/>
      <c r="CK31" s="8"/>
      <c r="CL31" s="8"/>
      <c r="CM31" s="8"/>
      <c r="CN31" s="8"/>
      <c r="CO31" s="8"/>
      <c r="CP31" s="8"/>
      <c r="CQ31" s="8"/>
      <c r="CR31" s="8"/>
      <c r="CS31" s="8"/>
      <c r="CT31" s="8"/>
      <c r="DK31" s="8"/>
      <c r="DL31" s="27" t="s">
        <v>28</v>
      </c>
      <c r="DM31" s="24"/>
      <c r="DN31" s="24"/>
    </row>
    <row r="32" spans="1:124" s="6" customFormat="1" ht="21" customHeight="1" x14ac:dyDescent="0.2">
      <c r="B32" s="185"/>
      <c r="C32" s="186"/>
      <c r="D32" s="186"/>
      <c r="E32" s="187"/>
      <c r="F32" s="238" t="s">
        <v>121</v>
      </c>
      <c r="G32" s="188"/>
      <c r="H32" s="189" t="s">
        <v>2</v>
      </c>
      <c r="I32" s="190">
        <f>IF(J32="","",RANK(J45,$J45:$BB45,1))</f>
        <v>3</v>
      </c>
      <c r="J32" s="252">
        <f>IF(OR(G$2="",AND(OR($BO$41&gt;=1,$BO$46&gt;=1),OR(COUNTBLANK(G5:G8)&gt;0,COUNTBLANK(I5:I8)&gt;0)),AND(OR($BO$41&gt;=2,$BO$46&gt;=2),OR(COUNTBLANK(G13:G16)&gt;0,COUNTBLANK(I13:I16)&gt;0)),AND(OR($BO$41&gt;=3,$BO$46&gt;=3),OR(COUNTBLANK(G21:G22)&gt;0,COUNTBLANK(I21:I22)&gt;0)),AND(OR($BO$41&gt;=4,$BO$46&gt;=4),OR(COUNTBLANK(G27)&gt;0,COUNTBLANK(I27)&gt;0))),"",SUM(J10,J18,J24,J29))</f>
        <v>42</v>
      </c>
      <c r="K32" s="191"/>
      <c r="L32" s="189" t="s">
        <v>2</v>
      </c>
      <c r="M32" s="190">
        <f>IF(N32="","",RANK(N45,$J45:$BB45,1))</f>
        <v>11</v>
      </c>
      <c r="N32" s="252">
        <f>IF(OR(K$2="",AND(OR($BO$41&gt;=1,$BO$46&gt;=1),OR(COUNTBLANK(K5:K8)&gt;0,COUNTBLANK(M5:M8)&gt;0)),AND(OR($BO$41&gt;=2,$BO$46&gt;=2),OR(COUNTBLANK(K13:K16)&gt;0,COUNTBLANK(M13:M16)&gt;0)),AND(OR($BO$41&gt;=3,$BO$46&gt;=3),OR(COUNTBLANK(K21:K22)&gt;0,COUNTBLANK(M21:M22)&gt;0)),AND(OR($BO$41&gt;=4,$BO$46&gt;=4),OR(COUNTBLANK(K27)&gt;0,COUNTBLANK(M27)&gt;0))),"",SUM(N10,N18,N24,N29))</f>
        <v>69</v>
      </c>
      <c r="O32" s="191"/>
      <c r="P32" s="189" t="s">
        <v>2</v>
      </c>
      <c r="Q32" s="190">
        <f>IF(R32="","",RANK(R45,$J45:$BB45,1))</f>
        <v>4</v>
      </c>
      <c r="R32" s="252">
        <f>IF(OR(O$2="",AND(OR($BO$41&gt;=1,$BO$46&gt;=1),OR(COUNTBLANK(O5:O8)&gt;0,COUNTBLANK(Q5:Q8)&gt;0)),AND(OR($BO$41&gt;=2,$BO$46&gt;=2),OR(COUNTBLANK(O13:O16)&gt;0,COUNTBLANK(Q13:Q16)&gt;0)),AND(OR($BO$41&gt;=3,$BO$46&gt;=3),OR(COUNTBLANK(O21:O22)&gt;0,COUNTBLANK(Q21:Q22)&gt;0)),AND(OR($BO$41&gt;=4,$BO$46&gt;=4),OR(COUNTBLANK(O27)&gt;0,COUNTBLANK(Q27)&gt;0))),"",SUM(R10,R18,R24,R29))</f>
        <v>44</v>
      </c>
      <c r="S32" s="191"/>
      <c r="T32" s="189" t="s">
        <v>2</v>
      </c>
      <c r="U32" s="190">
        <f>IF(V32="","",RANK(V45,$J45:$BB45,1))</f>
        <v>12</v>
      </c>
      <c r="V32" s="252">
        <f>IF(OR(S$2="",AND(OR($BO$41&gt;=1,$BO$46&gt;=1),OR(COUNTBLANK(S5:S8)&gt;0,COUNTBLANK(U5:U8)&gt;0)),AND(OR($BO$41&gt;=2,$BO$46&gt;=2),OR(COUNTBLANK(S13:S16)&gt;0,COUNTBLANK(U13:U16)&gt;0)),AND(OR($BO$41&gt;=3,$BO$46&gt;=3),OR(COUNTBLANK(S21:S22)&gt;0,COUNTBLANK(U21:U22)&gt;0)),AND(OR($BO$41&gt;=4,$BO$46&gt;=4),OR(COUNTBLANK(S27)&gt;0,COUNTBLANK(U27)&gt;0))),"",SUM(V10,V18,V24,V29))</f>
        <v>77</v>
      </c>
      <c r="W32" s="191"/>
      <c r="X32" s="189" t="s">
        <v>2</v>
      </c>
      <c r="Y32" s="190">
        <f>IF(Z32="","",RANK(Z45,$J45:$BB45,1))</f>
        <v>10</v>
      </c>
      <c r="Z32" s="252">
        <f>IF(OR(W$2="",AND(OR($BO$41&gt;=1,$BO$46&gt;=1),OR(COUNTBLANK(W5:W8)&gt;0,COUNTBLANK(Y5:Y8)&gt;0)),AND(OR($BO$41&gt;=2,$BO$46&gt;=2),OR(COUNTBLANK(W13:W16)&gt;0,COUNTBLANK(Y13:Y16)&gt;0)),AND(OR($BO$41&gt;=3,$BO$46&gt;=3),OR(COUNTBLANK(W21:W22)&gt;0,COUNTBLANK(Y21:Y22)&gt;0)),AND(OR($BO$41&gt;=4,$BO$46&gt;=4),OR(COUNTBLANK(W27)&gt;0,COUNTBLANK(Y27)&gt;0))),"",SUM(Z10,Z18,Z24,Z29))</f>
        <v>62</v>
      </c>
      <c r="AA32" s="191"/>
      <c r="AB32" s="189" t="s">
        <v>2</v>
      </c>
      <c r="AC32" s="190">
        <f>IF(AD32="","",RANK(AD45,$J45:$BB45,1))</f>
        <v>1</v>
      </c>
      <c r="AD32" s="252">
        <f>IF(OR(AA$2="",AND(OR($BO$41&gt;=1,$BO$46&gt;=1),OR(COUNTBLANK(AA5:AA8)&gt;0,COUNTBLANK(AC5:AC8)&gt;0)),AND(OR($BO$41&gt;=2,$BO$46&gt;=2),OR(COUNTBLANK(AA13:AA16)&gt;0,COUNTBLANK(AC13:AC16)&gt;0)),AND(OR($BO$41&gt;=3,$BO$46&gt;=3),OR(COUNTBLANK(AA21:AA22)&gt;0,COUNTBLANK(AC21:AC22)&gt;0)),AND(OR($BO$41&gt;=4,$BO$46&gt;=4),OR(COUNTBLANK(AA27)&gt;0,COUNTBLANK(AC27)&gt;0))),"",SUM(AD10,AD18,AD24,AD29))</f>
        <v>25</v>
      </c>
      <c r="AE32" s="191"/>
      <c r="AF32" s="189" t="s">
        <v>2</v>
      </c>
      <c r="AG32" s="190">
        <f>IF(AH32="","",RANK(AH45,$J45:$BB45,1))</f>
        <v>7</v>
      </c>
      <c r="AH32" s="252">
        <f>IF(OR(AE$2="",AND(OR($BO$41&gt;=1,$BO$46&gt;=1),OR(COUNTBLANK(AE5:AE8)&gt;0,COUNTBLANK(AG5:AG8)&gt;0)),AND(OR($BO$41&gt;=2,$BO$46&gt;=2),OR(COUNTBLANK(AE13:AE16)&gt;0,COUNTBLANK(AG13:AG16)&gt;0)),AND(OR($BO$41&gt;=3,$BO$46&gt;=3),OR(COUNTBLANK(AE21:AE22)&gt;0,COUNTBLANK(AG21:AG22)&gt;0)),AND(OR($BO$41&gt;=4,$BO$46&gt;=4),OR(COUNTBLANK(AE27)&gt;0,COUNTBLANK(AG27)&gt;0))),"",SUM(AH10,AH18,AH24,AH29))</f>
        <v>48</v>
      </c>
      <c r="AI32" s="191"/>
      <c r="AJ32" s="189" t="s">
        <v>2</v>
      </c>
      <c r="AK32" s="190">
        <f>IF(AL32="","",RANK(AL45,$J45:$BB45,1))</f>
        <v>9</v>
      </c>
      <c r="AL32" s="252">
        <f>IF(OR(AI$2="",AND(OR($BO$41&gt;=1,$BO$46&gt;=1),OR(COUNTBLANK(AI5:AI8)&gt;0,COUNTBLANK(AK5:AK8)&gt;0)),AND(OR($BO$41&gt;=2,$BO$46&gt;=2),OR(COUNTBLANK(AI13:AI16)&gt;0,COUNTBLANK(AK13:AK16)&gt;0)),AND(OR($BO$41&gt;=3,$BO$46&gt;=3),OR(COUNTBLANK(AI21:AI22)&gt;0,COUNTBLANK(AK21:AK22)&gt;0)),AND(OR($BO$41&gt;=4,$BO$46&gt;=4),OR(COUNTBLANK(AI27)&gt;0,COUNTBLANK(AK27)&gt;0))),"",SUM(AL10,AL18,AL24,AL29))</f>
        <v>61</v>
      </c>
      <c r="AM32" s="191"/>
      <c r="AN32" s="189" t="s">
        <v>2</v>
      </c>
      <c r="AO32" s="190">
        <f>IF(AP32="","",RANK(AP45,$J45:$BB45,1))</f>
        <v>6</v>
      </c>
      <c r="AP32" s="252">
        <f>IF(OR(AM$2="",AND(OR($BO$41&gt;=1,$BO$46&gt;=1),OR(COUNTBLANK(AM5:AM8)&gt;0,COUNTBLANK(AO5:AO8)&gt;0)),AND(OR($BO$41&gt;=2,$BO$46&gt;=2),OR(COUNTBLANK(AM13:AM16)&gt;0,COUNTBLANK(AO13:AO16)&gt;0)),AND(OR($BO$41&gt;=3,$BO$46&gt;=3),OR(COUNTBLANK(AM21:AM22)&gt;0,COUNTBLANK(AO21:AO22)&gt;0)),AND(OR($BO$41&gt;=4,$BO$46&gt;=4),OR(COUNTBLANK(AM27)&gt;0,COUNTBLANK(AO27)&gt;0))),"",SUM(AP10,AP18,AP24,AP29))</f>
        <v>47</v>
      </c>
      <c r="AQ32" s="191"/>
      <c r="AR32" s="189" t="s">
        <v>2</v>
      </c>
      <c r="AS32" s="190">
        <f>IF(AT32="","",RANK(AT45,$J45:$BB45,1))</f>
        <v>5</v>
      </c>
      <c r="AT32" s="252">
        <f>IF(OR(AQ$2="",AND(OR($BO$41&gt;=1,$BO$46&gt;=1),OR(COUNTBLANK(AQ5:AQ8)&gt;0,COUNTBLANK(AS5:AS8)&gt;0)),AND(OR($BO$41&gt;=2,$BO$46&gt;=2),OR(COUNTBLANK(AQ13:AQ16)&gt;0,COUNTBLANK(AS13:AS16)&gt;0)),AND(OR($BO$41&gt;=3,$BO$46&gt;=3),OR(COUNTBLANK(AQ21:AQ22)&gt;0,COUNTBLANK(AS21:AS22)&gt;0)),AND(OR($BO$41&gt;=4,$BO$46&gt;=4),OR(COUNTBLANK(AQ27)&gt;0,COUNTBLANK(AS27)&gt;0))),"",SUM(AT10,AT18,AT24,AT29))</f>
        <v>45</v>
      </c>
      <c r="AU32" s="191"/>
      <c r="AV32" s="189" t="s">
        <v>2</v>
      </c>
      <c r="AW32" s="190">
        <f>IF(AX32="","",RANK(AX45,$J45:$BB45,1))</f>
        <v>2</v>
      </c>
      <c r="AX32" s="252">
        <f>IF(OR(AU$2="",AND(OR($BO$41&gt;=1,$BO$46&gt;=1),OR(COUNTBLANK(AU5:AU8)&gt;0,COUNTBLANK(AW5:AW8)&gt;0)),AND(OR($BO$41&gt;=2,$BO$46&gt;=2),OR(COUNTBLANK(AU13:AU16)&gt;0,COUNTBLANK(AW13:AW16)&gt;0)),AND(OR($BO$41&gt;=3,$BO$46&gt;=3),OR(COUNTBLANK(AU21:AU22)&gt;0,COUNTBLANK(AW21:AW22)&gt;0)),AND(OR($BO$41&gt;=4,$BO$46&gt;=4),OR(COUNTBLANK(AU27)&gt;0,COUNTBLANK(AW27)&gt;0))),"",SUM(AX10,AX18,AX24,AX29))</f>
        <v>41</v>
      </c>
      <c r="AY32" s="191"/>
      <c r="AZ32" s="189" t="s">
        <v>2</v>
      </c>
      <c r="BA32" s="190">
        <f>IF(BB32="","",RANK(BB45,$J45:$BB45,1))</f>
        <v>8</v>
      </c>
      <c r="BB32" s="251">
        <f>IF(OR(AY$2="",AND(OR($BO$41&gt;=1,$BO$46&gt;=1),OR(COUNTBLANK(AY5:AY8)&gt;0,COUNTBLANK(BA5:BA8)&gt;0)),AND(OR($BO$41&gt;=2,$BO$46&gt;=2),OR(COUNTBLANK(AY13:AY16)&gt;0,COUNTBLANK(BA13:BA16)&gt;0)),AND(OR($BO$41&gt;=3,$BO$46&gt;=3),OR(COUNTBLANK(AY21:AY22)&gt;0,COUNTBLANK(BA21:BA22)&gt;0)),AND(OR($BO$41&gt;=4,$BO$46&gt;=4),OR(COUNTBLANK(AY27)&gt;0,COUNTBLANK(BA27)&gt;0))),"",SUM(BB10,BB18,BB24,BB29))</f>
        <v>54</v>
      </c>
      <c r="BC32" s="117"/>
      <c r="BD32" s="117"/>
      <c r="BE32" s="117"/>
      <c r="BF32" s="117"/>
      <c r="BG32" s="117"/>
      <c r="BH32" s="237"/>
      <c r="BI32" s="192"/>
      <c r="BJ32" s="193" t="s">
        <v>2</v>
      </c>
      <c r="BK32" s="194">
        <f>IF(BL32="","",RANK(BL45,$J45:$BL45,1))</f>
        <v>7</v>
      </c>
      <c r="BL32" s="253">
        <f>IF(OR(AND($BO$46&gt;=1,OR(COUNTBLANK(BI5:BI8)&gt;0,COUNTBLANK(BK5:BK8)&gt;0)),AND($BO$46&gt;=2,OR(COUNTBLANK(BI13:BI16)&gt;0,COUNTBLANK(BK13:BK16)&gt;0)),AND($BO$46&gt;=3,OR(COUNTBLANK(BI21:BI22)&gt;0,COUNTBLANK(BK21:BK22)&gt;0)),AND($BO$46&gt;=4,OR(COUNTBLANK(BI27)&gt;0,COUNTBLANK(BK27)&gt;0))),"",SUM(BL10,BL18,BL24,BL29))</f>
        <v>48</v>
      </c>
      <c r="BO32" s="8"/>
      <c r="BP32" s="9"/>
      <c r="CB32" s="8"/>
      <c r="CC32" s="8"/>
      <c r="CD32" s="8"/>
      <c r="CE32" s="8"/>
      <c r="CF32" s="8"/>
      <c r="CG32" s="8"/>
      <c r="CH32" s="8"/>
      <c r="CI32" s="8"/>
      <c r="CJ32" s="8"/>
      <c r="CK32" s="8"/>
      <c r="CL32" s="8"/>
      <c r="CM32" s="8"/>
      <c r="CN32" s="8"/>
      <c r="CO32" s="8"/>
      <c r="CP32" s="8"/>
      <c r="CQ32" s="8"/>
      <c r="CR32" s="8"/>
      <c r="CS32" s="8"/>
      <c r="CT32" s="8"/>
      <c r="DK32" s="8"/>
      <c r="DL32" s="46"/>
      <c r="DM32" s="24"/>
      <c r="DN32" s="24"/>
    </row>
    <row r="33" spans="1:118" s="6" customFormat="1" ht="21" customHeight="1" thickBot="1" x14ac:dyDescent="0.25">
      <c r="A33" s="29"/>
      <c r="B33" s="184"/>
      <c r="C33" s="173"/>
      <c r="D33" s="173"/>
      <c r="E33" s="174"/>
      <c r="F33" s="239" t="s">
        <v>122</v>
      </c>
      <c r="G33" s="178"/>
      <c r="H33" s="161" t="s">
        <v>60</v>
      </c>
      <c r="I33" s="162">
        <f>IF(J32="","",SUM(G46:G56))</f>
        <v>2</v>
      </c>
      <c r="J33" s="163">
        <f>IF(J32="","",IF(COUNTBLANK(G46:G56)=11,"",I33/(11-COUNTBLANK(G46:G56))))</f>
        <v>0.5</v>
      </c>
      <c r="K33" s="160"/>
      <c r="L33" s="161" t="s">
        <v>60</v>
      </c>
      <c r="M33" s="162">
        <f>IF(N32="","",SUM(K46:K56))</f>
        <v>1</v>
      </c>
      <c r="N33" s="163">
        <f>IF(N32="","",IF(COUNTBLANK(K46:K56)=11,"",M33/(11-COUNTBLANK(K46:K56))))</f>
        <v>0.25</v>
      </c>
      <c r="O33" s="160"/>
      <c r="P33" s="161" t="s">
        <v>60</v>
      </c>
      <c r="Q33" s="162">
        <f>IF(R32="","",SUM(O46:O56))</f>
        <v>2</v>
      </c>
      <c r="R33" s="163">
        <f>IF(R32="","",IF(COUNTBLANK(O46:O56)=11,"",Q33/(11-COUNTBLANK(O46:O56))))</f>
        <v>0.5</v>
      </c>
      <c r="S33" s="160"/>
      <c r="T33" s="161" t="s">
        <v>60</v>
      </c>
      <c r="U33" s="162">
        <f>IF(V32="","",SUM(S46:S56))</f>
        <v>1</v>
      </c>
      <c r="V33" s="163">
        <f>IF(V32="","",IF(COUNTBLANK(S46:S56)=11,"",U33/(11-COUNTBLANK(S46:S56))))</f>
        <v>0.25</v>
      </c>
      <c r="W33" s="160"/>
      <c r="X33" s="161" t="s">
        <v>60</v>
      </c>
      <c r="Y33" s="162">
        <f>IF(Z32="","",SUM(W46:W56))</f>
        <v>1</v>
      </c>
      <c r="Z33" s="163">
        <f>IF(Z32="","",IF(COUNTBLANK(W46:W56)=11,"",Y33/(11-COUNTBLANK(W46:W56))))</f>
        <v>0.25</v>
      </c>
      <c r="AA33" s="160"/>
      <c r="AB33" s="161" t="s">
        <v>60</v>
      </c>
      <c r="AC33" s="162">
        <f>IF(AD32="","",SUM(AA46:AA56))</f>
        <v>3</v>
      </c>
      <c r="AD33" s="163">
        <f>IF(AD32="","",IF(COUNTBLANK(AA46:AA56)=11,"",AC33/(11-COUNTBLANK(AA46:AA56))))</f>
        <v>0.75</v>
      </c>
      <c r="AE33" s="160"/>
      <c r="AF33" s="161" t="s">
        <v>60</v>
      </c>
      <c r="AG33" s="162">
        <f>IF(AH32="","",SUM(AE46:AE56))</f>
        <v>2</v>
      </c>
      <c r="AH33" s="163">
        <f>IF(AH32="","",IF(COUNTBLANK(AE46:AE56)=11,"",AG33/(11-COUNTBLANK(AE46:AE56))))</f>
        <v>0.5</v>
      </c>
      <c r="AI33" s="160"/>
      <c r="AJ33" s="161" t="s">
        <v>60</v>
      </c>
      <c r="AK33" s="162">
        <f>IF(AL32="","",SUM(AI46:AI56))</f>
        <v>0</v>
      </c>
      <c r="AL33" s="163">
        <f>IF(AL32="","",IF(COUNTBLANK(AI46:AI56)=11,"",AK33/(11-COUNTBLANK(AI46:AI56))))</f>
        <v>0</v>
      </c>
      <c r="AM33" s="160"/>
      <c r="AN33" s="161" t="s">
        <v>60</v>
      </c>
      <c r="AO33" s="162">
        <f>IF(AP32="","",SUM(AM46:AM56))</f>
        <v>2</v>
      </c>
      <c r="AP33" s="163">
        <f>IF(AP32="","",IF(COUNTBLANK(AM46:AM56)=11,"",AO33/(11-COUNTBLANK(AM46:AM56))))</f>
        <v>0.5</v>
      </c>
      <c r="AQ33" s="160"/>
      <c r="AR33" s="161" t="s">
        <v>60</v>
      </c>
      <c r="AS33" s="162">
        <f>IF(AT32="","",SUM(AQ46:AQ56))</f>
        <v>2</v>
      </c>
      <c r="AT33" s="163">
        <f>IF(AT32="","",IF(COUNTBLANK(AQ46:AQ56)=11,"",AS33/(11-COUNTBLANK(AQ46:AQ56))))</f>
        <v>0.5</v>
      </c>
      <c r="AU33" s="160"/>
      <c r="AV33" s="161" t="s">
        <v>60</v>
      </c>
      <c r="AW33" s="162">
        <f>IF(AX32="","",SUM(AU46:AU56))</f>
        <v>2</v>
      </c>
      <c r="AX33" s="163">
        <f>IF(AX32="","",IF(COUNTBLANK(AU46:AU56)=11,"",AW33/(11-COUNTBLANK(AU46:AU56))))</f>
        <v>0.5</v>
      </c>
      <c r="AY33" s="160"/>
      <c r="AZ33" s="161" t="s">
        <v>60</v>
      </c>
      <c r="BA33" s="162">
        <f>IF(BB32="","",SUM(AY46:AY56))</f>
        <v>1</v>
      </c>
      <c r="BB33" s="164">
        <f>IF(BB32="","",IF(COUNTBLANK(AY46:AY56)=11,"",BA33/(11-COUNTBLANK(AY46:AY56))))</f>
        <v>0.25</v>
      </c>
      <c r="BC33" s="103"/>
      <c r="BD33" s="103"/>
      <c r="BE33" s="103"/>
      <c r="BF33" s="103"/>
      <c r="BG33" s="103"/>
      <c r="BH33" s="236"/>
      <c r="BI33" s="165"/>
      <c r="BJ33" s="161" t="s">
        <v>60</v>
      </c>
      <c r="BK33" s="162">
        <f>IF(BL32="","",SUM(BI46:BI56))</f>
        <v>2</v>
      </c>
      <c r="BL33" s="164">
        <f>IF(BL32="","",IF(COUNTBLANK(BI46:BI56)=11,"",BK33/(11-COUNTBLANK(BI46:BI56))))</f>
        <v>0.5</v>
      </c>
      <c r="BO33" s="16">
        <f>COUNTIF(J44:BB44,1)</f>
        <v>1</v>
      </c>
      <c r="BP33" s="16">
        <f>COUNTIF(J44:BB44,2)</f>
        <v>1</v>
      </c>
      <c r="BQ33" s="17" t="s">
        <v>22</v>
      </c>
      <c r="BR33" s="21"/>
      <c r="CB33" s="8"/>
      <c r="CC33" s="8"/>
      <c r="CD33" s="8"/>
      <c r="CE33" s="8"/>
      <c r="CF33" s="8"/>
      <c r="CG33" s="8"/>
      <c r="CH33" s="8"/>
      <c r="CI33" s="8"/>
      <c r="CJ33" s="8"/>
      <c r="CK33" s="8"/>
      <c r="CL33" s="8"/>
      <c r="CM33" s="8"/>
      <c r="CN33" s="8"/>
      <c r="CO33" s="8"/>
      <c r="CP33" s="8"/>
      <c r="CQ33" s="8"/>
      <c r="CR33" s="8"/>
      <c r="CS33" s="8"/>
      <c r="CT33" s="8"/>
      <c r="DK33" s="8"/>
      <c r="DL33" s="36" t="s">
        <v>63</v>
      </c>
      <c r="DM33" s="24"/>
      <c r="DN33" s="24"/>
    </row>
    <row r="34" spans="1:118" s="6" customFormat="1" ht="18" customHeight="1" thickTop="1" x14ac:dyDescent="0.2">
      <c r="A34" s="29"/>
      <c r="BH34" s="7"/>
      <c r="BO34" s="8"/>
      <c r="BP34" s="9"/>
      <c r="CB34" s="8"/>
      <c r="CC34" s="8"/>
      <c r="CD34" s="8"/>
      <c r="CE34" s="8"/>
      <c r="CF34" s="8"/>
      <c r="CG34" s="8"/>
      <c r="CH34" s="8"/>
      <c r="CI34" s="8"/>
      <c r="CJ34" s="8"/>
      <c r="CK34" s="8"/>
      <c r="CL34" s="8"/>
      <c r="CM34" s="8"/>
      <c r="CN34" s="8"/>
      <c r="CO34" s="8"/>
      <c r="CP34" s="8"/>
      <c r="CQ34" s="8"/>
      <c r="CR34" s="8"/>
      <c r="CS34" s="8"/>
      <c r="CT34" s="8"/>
      <c r="DK34" s="8"/>
      <c r="DL34" s="36" t="str">
        <f>CONCATENATE($DM$5,$DN$5)</f>
        <v xml:space="preserve">   "",</v>
      </c>
      <c r="DM34" s="24"/>
      <c r="DN34" s="24"/>
    </row>
    <row r="35" spans="1:118" s="6" customFormat="1" ht="15" customHeight="1" x14ac:dyDescent="0.2">
      <c r="A35" s="29"/>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3"/>
      <c r="BI35" s="32"/>
      <c r="BJ35" s="32"/>
      <c r="BK35" s="32"/>
      <c r="BL35" s="32"/>
      <c r="BO35" s="8"/>
      <c r="BP35" s="9"/>
      <c r="CB35" s="8"/>
      <c r="CC35" s="8"/>
      <c r="CD35" s="8"/>
      <c r="CE35" s="8"/>
      <c r="CF35" s="8"/>
      <c r="CG35" s="8"/>
      <c r="CH35" s="8"/>
      <c r="CI35" s="8"/>
      <c r="CJ35" s="8"/>
      <c r="CK35" s="8"/>
      <c r="CL35" s="8"/>
      <c r="CM35" s="8"/>
      <c r="CN35" s="8"/>
      <c r="CO35" s="8"/>
      <c r="CP35" s="8"/>
      <c r="CQ35" s="8"/>
      <c r="CR35" s="8"/>
      <c r="CS35" s="8"/>
      <c r="CT35" s="8"/>
      <c r="DK35" s="8"/>
      <c r="DL35" s="36" t="str">
        <f>CONCATENATE($DM$5,$DN$5)</f>
        <v xml:space="preserve">   "",</v>
      </c>
      <c r="DM35" s="24"/>
      <c r="DN35" s="24"/>
    </row>
    <row r="36" spans="1:118" s="32" customFormat="1" ht="15" hidden="1" customHeight="1" x14ac:dyDescent="0.2">
      <c r="A36" s="31"/>
      <c r="B36" s="38" t="s">
        <v>8</v>
      </c>
      <c r="C36" s="39" t="s">
        <v>9</v>
      </c>
      <c r="D36" s="31"/>
      <c r="E36" s="31"/>
      <c r="F36" s="40" t="s">
        <v>75</v>
      </c>
      <c r="I36" s="38"/>
      <c r="J36" s="38">
        <f>I10</f>
        <v>3</v>
      </c>
      <c r="K36" s="38"/>
      <c r="L36" s="38"/>
      <c r="M36" s="38"/>
      <c r="N36" s="38">
        <f>M10</f>
        <v>11</v>
      </c>
      <c r="O36" s="38"/>
      <c r="P36" s="38"/>
      <c r="Q36" s="38"/>
      <c r="R36" s="38">
        <f>Q10</f>
        <v>4</v>
      </c>
      <c r="S36" s="38"/>
      <c r="T36" s="38"/>
      <c r="U36" s="38"/>
      <c r="V36" s="38">
        <f>U10</f>
        <v>12</v>
      </c>
      <c r="W36" s="38"/>
      <c r="X36" s="38"/>
      <c r="Y36" s="38"/>
      <c r="Z36" s="38">
        <f>Y10</f>
        <v>10</v>
      </c>
      <c r="AA36" s="38"/>
      <c r="AB36" s="38"/>
      <c r="AC36" s="38"/>
      <c r="AD36" s="38">
        <f>AC10</f>
        <v>1</v>
      </c>
      <c r="AE36" s="38"/>
      <c r="AF36" s="38"/>
      <c r="AG36" s="38"/>
      <c r="AH36" s="38">
        <f>AG10</f>
        <v>7</v>
      </c>
      <c r="AI36" s="38"/>
      <c r="AJ36" s="38"/>
      <c r="AK36" s="38"/>
      <c r="AL36" s="38">
        <f>AK10</f>
        <v>9</v>
      </c>
      <c r="AM36" s="38"/>
      <c r="AN36" s="38"/>
      <c r="AO36" s="38"/>
      <c r="AP36" s="38">
        <f>AO10</f>
        <v>6</v>
      </c>
      <c r="AQ36" s="38"/>
      <c r="AR36" s="38"/>
      <c r="AS36" s="38"/>
      <c r="AT36" s="38">
        <f>AS10</f>
        <v>5</v>
      </c>
      <c r="AU36" s="38"/>
      <c r="AV36" s="38"/>
      <c r="AW36" s="38"/>
      <c r="AX36" s="38">
        <f>AW10</f>
        <v>2</v>
      </c>
      <c r="AY36" s="38"/>
      <c r="AZ36" s="38"/>
      <c r="BA36" s="38"/>
      <c r="BB36" s="38">
        <f>BA10</f>
        <v>8</v>
      </c>
      <c r="BH36" s="33"/>
      <c r="BI36" s="38"/>
      <c r="BJ36" s="38"/>
      <c r="BK36" s="38"/>
      <c r="BL36" s="38">
        <f>BK10</f>
        <v>7</v>
      </c>
      <c r="BO36" s="34"/>
      <c r="BP36" s="35"/>
      <c r="CB36" s="34"/>
      <c r="CC36" s="34"/>
      <c r="CD36" s="34"/>
      <c r="CE36" s="34"/>
      <c r="CF36" s="34"/>
      <c r="CG36" s="34"/>
      <c r="CH36" s="34"/>
      <c r="CI36" s="34"/>
      <c r="CJ36" s="34"/>
      <c r="CK36" s="34"/>
      <c r="CL36" s="34"/>
      <c r="CM36" s="34"/>
      <c r="CN36" s="34"/>
      <c r="CO36" s="34"/>
      <c r="CP36" s="34"/>
      <c r="CQ36" s="34"/>
      <c r="CR36" s="34"/>
      <c r="CS36" s="34"/>
      <c r="CT36" s="34"/>
      <c r="DK36" s="34"/>
      <c r="DL36" s="36" t="str">
        <f>CONCATENATE($DM$5,$DN$5)</f>
        <v xml:space="preserve">   "",</v>
      </c>
      <c r="DM36" s="37"/>
      <c r="DN36" s="37"/>
    </row>
    <row r="37" spans="1:118" s="32" customFormat="1" ht="15" hidden="1" customHeight="1" x14ac:dyDescent="0.2">
      <c r="A37" s="31"/>
      <c r="B37" s="31"/>
      <c r="C37" s="31"/>
      <c r="D37" s="31"/>
      <c r="E37" s="31"/>
      <c r="F37" s="40" t="s">
        <v>76</v>
      </c>
      <c r="G37" s="38"/>
      <c r="H37" s="38"/>
      <c r="I37" s="38"/>
      <c r="J37" s="38">
        <f>J10</f>
        <v>42</v>
      </c>
      <c r="K37" s="38"/>
      <c r="L37" s="38"/>
      <c r="M37" s="38"/>
      <c r="N37" s="38">
        <f>N10</f>
        <v>69</v>
      </c>
      <c r="O37" s="38"/>
      <c r="P37" s="38"/>
      <c r="Q37" s="38"/>
      <c r="R37" s="38">
        <f>R10</f>
        <v>44</v>
      </c>
      <c r="S37" s="38"/>
      <c r="T37" s="38"/>
      <c r="U37" s="38"/>
      <c r="V37" s="38">
        <f>V10</f>
        <v>77</v>
      </c>
      <c r="W37" s="38"/>
      <c r="X37" s="38"/>
      <c r="Y37" s="38"/>
      <c r="Z37" s="38">
        <f>Z10</f>
        <v>62</v>
      </c>
      <c r="AA37" s="38"/>
      <c r="AB37" s="38"/>
      <c r="AC37" s="38"/>
      <c r="AD37" s="38">
        <f>AD10</f>
        <v>25</v>
      </c>
      <c r="AE37" s="38"/>
      <c r="AF37" s="38"/>
      <c r="AG37" s="38"/>
      <c r="AH37" s="38">
        <f>AH10</f>
        <v>48</v>
      </c>
      <c r="AI37" s="38"/>
      <c r="AJ37" s="38"/>
      <c r="AK37" s="38"/>
      <c r="AL37" s="38">
        <f>AL10</f>
        <v>61</v>
      </c>
      <c r="AM37" s="38"/>
      <c r="AN37" s="38"/>
      <c r="AO37" s="38"/>
      <c r="AP37" s="38">
        <f>AP10</f>
        <v>47</v>
      </c>
      <c r="AQ37" s="38"/>
      <c r="AR37" s="38"/>
      <c r="AS37" s="38"/>
      <c r="AT37" s="38">
        <f>AT10</f>
        <v>45</v>
      </c>
      <c r="AU37" s="38"/>
      <c r="AV37" s="38"/>
      <c r="AW37" s="38"/>
      <c r="AX37" s="38">
        <f>AX10</f>
        <v>41</v>
      </c>
      <c r="AY37" s="38"/>
      <c r="AZ37" s="38"/>
      <c r="BA37" s="38"/>
      <c r="BB37" s="38">
        <f>BB10</f>
        <v>54</v>
      </c>
      <c r="BH37" s="33"/>
      <c r="BI37" s="38"/>
      <c r="BJ37" s="38"/>
      <c r="BK37" s="38"/>
      <c r="BL37" s="45">
        <f>BL10</f>
        <v>48</v>
      </c>
      <c r="BN37" s="41"/>
      <c r="BO37" s="42">
        <f>IF(COUNTBLANK($C$5:$C$8)=0,1,0)</f>
        <v>1</v>
      </c>
      <c r="BP37" s="43" t="str">
        <f>IF(AND($BO$41=0,$BO$46=0),"",IF($BO$41&gt;$BO$46,CONCATENATE("Week ",$BO$41," Preliminary"),CONCATENATE("Week ",$BO$46," Final")))</f>
        <v>Week 1 Final</v>
      </c>
      <c r="BQ37" s="44"/>
      <c r="BR37" s="44"/>
      <c r="BS37" s="44"/>
      <c r="BT37" s="44"/>
      <c r="BU37" s="44"/>
      <c r="BV37" s="44"/>
      <c r="BW37" s="44"/>
      <c r="BX37" s="44"/>
      <c r="BY37" s="44"/>
      <c r="BZ37" s="44"/>
      <c r="CA37" s="44"/>
      <c r="CB37" s="34"/>
      <c r="CC37" s="34"/>
      <c r="CD37" s="34"/>
      <c r="CE37" s="34"/>
      <c r="CF37" s="34"/>
      <c r="CG37" s="34"/>
      <c r="CH37" s="34"/>
      <c r="CI37" s="34"/>
      <c r="CJ37" s="34"/>
      <c r="CK37" s="34"/>
      <c r="CL37" s="34"/>
      <c r="CM37" s="34"/>
      <c r="CN37" s="34"/>
      <c r="CO37" s="34"/>
      <c r="CP37" s="34"/>
      <c r="CQ37" s="34"/>
      <c r="CR37" s="34"/>
      <c r="CS37" s="34"/>
      <c r="CT37" s="34"/>
      <c r="DK37" s="34"/>
      <c r="DL37" s="27" t="str">
        <f>CONCATENATE($DM$5,$I$9,$DN$5)</f>
        <v xml:space="preserve">   "45",</v>
      </c>
      <c r="DM37" s="37"/>
      <c r="DN37" s="37"/>
    </row>
    <row r="38" spans="1:118" s="32" customFormat="1" ht="15" hidden="1" customHeight="1" x14ac:dyDescent="0.2">
      <c r="A38" s="31"/>
      <c r="B38" s="31"/>
      <c r="C38" s="31"/>
      <c r="D38" s="31"/>
      <c r="E38" s="31"/>
      <c r="F38" s="40" t="s">
        <v>77</v>
      </c>
      <c r="G38" s="38"/>
      <c r="H38" s="38"/>
      <c r="I38" s="38"/>
      <c r="J38" s="38" t="str">
        <f>I18</f>
        <v/>
      </c>
      <c r="K38" s="38"/>
      <c r="L38" s="38"/>
      <c r="M38" s="38"/>
      <c r="N38" s="38" t="str">
        <f>M18</f>
        <v/>
      </c>
      <c r="O38" s="38"/>
      <c r="P38" s="38"/>
      <c r="Q38" s="38"/>
      <c r="R38" s="38" t="str">
        <f>Q18</f>
        <v/>
      </c>
      <c r="S38" s="38"/>
      <c r="T38" s="38"/>
      <c r="U38" s="38"/>
      <c r="V38" s="38" t="str">
        <f>U18</f>
        <v/>
      </c>
      <c r="W38" s="38"/>
      <c r="X38" s="38"/>
      <c r="Y38" s="38"/>
      <c r="Z38" s="38" t="str">
        <f>Y18</f>
        <v/>
      </c>
      <c r="AA38" s="38"/>
      <c r="AB38" s="38"/>
      <c r="AC38" s="38"/>
      <c r="AD38" s="38" t="str">
        <f>AC18</f>
        <v/>
      </c>
      <c r="AE38" s="38"/>
      <c r="AF38" s="38"/>
      <c r="AG38" s="38"/>
      <c r="AH38" s="38" t="str">
        <f>AG18</f>
        <v/>
      </c>
      <c r="AI38" s="38"/>
      <c r="AJ38" s="38"/>
      <c r="AK38" s="38"/>
      <c r="AL38" s="38" t="str">
        <f>AK18</f>
        <v/>
      </c>
      <c r="AM38" s="38"/>
      <c r="AN38" s="38"/>
      <c r="AO38" s="38"/>
      <c r="AP38" s="38" t="str">
        <f>AO18</f>
        <v/>
      </c>
      <c r="AQ38" s="38"/>
      <c r="AR38" s="38"/>
      <c r="AS38" s="38"/>
      <c r="AT38" s="38" t="str">
        <f>AS18</f>
        <v/>
      </c>
      <c r="AU38" s="38"/>
      <c r="AV38" s="38"/>
      <c r="AW38" s="38"/>
      <c r="AX38" s="38" t="str">
        <f>AW18</f>
        <v/>
      </c>
      <c r="AY38" s="38"/>
      <c r="AZ38" s="38"/>
      <c r="BA38" s="38"/>
      <c r="BB38" s="38" t="str">
        <f>BA18</f>
        <v/>
      </c>
      <c r="BH38" s="33"/>
      <c r="BI38" s="38"/>
      <c r="BJ38" s="38"/>
      <c r="BK38" s="38"/>
      <c r="BL38" s="38" t="str">
        <f>BK18</f>
        <v/>
      </c>
      <c r="BN38" s="41"/>
      <c r="BO38" s="42">
        <f>IF(COUNTBLANK($C$13:$C$16)=0,1,0)</f>
        <v>0</v>
      </c>
      <c r="BP38" s="43"/>
      <c r="BQ38" s="44"/>
      <c r="BR38" s="44"/>
      <c r="BS38" s="44"/>
      <c r="BT38" s="44"/>
      <c r="BU38" s="44"/>
      <c r="BV38" s="44"/>
      <c r="BW38" s="44"/>
      <c r="BX38" s="44"/>
      <c r="BY38" s="44"/>
      <c r="BZ38" s="44"/>
      <c r="CA38" s="44"/>
      <c r="CB38" s="34"/>
      <c r="CC38" s="34"/>
      <c r="CD38" s="34"/>
      <c r="CE38" s="34"/>
      <c r="CF38" s="34"/>
      <c r="CG38" s="34"/>
      <c r="CH38" s="34"/>
      <c r="CI38" s="34"/>
      <c r="CJ38" s="34"/>
      <c r="CK38" s="34"/>
      <c r="CL38" s="34"/>
      <c r="CM38" s="34"/>
      <c r="CN38" s="34"/>
      <c r="CO38" s="34"/>
      <c r="CP38" s="34"/>
      <c r="CQ38" s="34"/>
      <c r="CR38" s="34"/>
      <c r="CS38" s="34"/>
      <c r="CT38" s="34"/>
      <c r="DK38" s="34"/>
      <c r="DL38" s="36" t="str">
        <f>CONCATENATE($DM$5,$DN$5)</f>
        <v xml:space="preserve">   "",</v>
      </c>
      <c r="DM38" s="37"/>
      <c r="DN38" s="37"/>
    </row>
    <row r="39" spans="1:118" s="32" customFormat="1" ht="15" hidden="1" customHeight="1" x14ac:dyDescent="0.2">
      <c r="A39" s="31"/>
      <c r="B39" s="31"/>
      <c r="C39" s="31"/>
      <c r="D39" s="31"/>
      <c r="E39" s="31"/>
      <c r="F39" s="40" t="s">
        <v>78</v>
      </c>
      <c r="G39" s="38"/>
      <c r="H39" s="38"/>
      <c r="I39" s="38"/>
      <c r="J39" s="38" t="str">
        <f>J18</f>
        <v/>
      </c>
      <c r="K39" s="38"/>
      <c r="L39" s="38"/>
      <c r="M39" s="38"/>
      <c r="N39" s="38" t="str">
        <f>N18</f>
        <v/>
      </c>
      <c r="O39" s="38"/>
      <c r="P39" s="38"/>
      <c r="Q39" s="38"/>
      <c r="R39" s="38" t="str">
        <f>R18</f>
        <v/>
      </c>
      <c r="S39" s="38"/>
      <c r="T39" s="38"/>
      <c r="U39" s="38"/>
      <c r="V39" s="38" t="str">
        <f>V18</f>
        <v/>
      </c>
      <c r="W39" s="38"/>
      <c r="X39" s="38"/>
      <c r="Y39" s="38"/>
      <c r="Z39" s="38" t="str">
        <f>Z18</f>
        <v/>
      </c>
      <c r="AA39" s="38"/>
      <c r="AB39" s="38"/>
      <c r="AC39" s="38"/>
      <c r="AD39" s="38" t="str">
        <f>AD18</f>
        <v/>
      </c>
      <c r="AE39" s="38"/>
      <c r="AF39" s="38"/>
      <c r="AG39" s="38"/>
      <c r="AH39" s="38" t="str">
        <f>AH18</f>
        <v/>
      </c>
      <c r="AI39" s="38"/>
      <c r="AJ39" s="38"/>
      <c r="AK39" s="38"/>
      <c r="AL39" s="38" t="str">
        <f>AL18</f>
        <v/>
      </c>
      <c r="AM39" s="38"/>
      <c r="AN39" s="38"/>
      <c r="AO39" s="38"/>
      <c r="AP39" s="38" t="str">
        <f>AP18</f>
        <v/>
      </c>
      <c r="AQ39" s="38"/>
      <c r="AR39" s="38"/>
      <c r="AS39" s="38"/>
      <c r="AT39" s="38" t="str">
        <f>AT18</f>
        <v/>
      </c>
      <c r="AU39" s="38"/>
      <c r="AV39" s="38"/>
      <c r="AW39" s="38"/>
      <c r="AX39" s="38" t="str">
        <f>AX18</f>
        <v/>
      </c>
      <c r="AY39" s="38"/>
      <c r="AZ39" s="38"/>
      <c r="BA39" s="38"/>
      <c r="BB39" s="38" t="str">
        <f>BB18</f>
        <v/>
      </c>
      <c r="BH39" s="33"/>
      <c r="BI39" s="38"/>
      <c r="BJ39" s="38"/>
      <c r="BK39" s="38"/>
      <c r="BL39" s="38" t="str">
        <f>BL18</f>
        <v/>
      </c>
      <c r="BN39" s="41"/>
      <c r="BO39" s="42">
        <f>IF(COUNTBLANK($C$21:$C$22)=0,1,0)</f>
        <v>0</v>
      </c>
      <c r="BP39" s="43"/>
      <c r="BQ39" s="44"/>
      <c r="BR39" s="44"/>
      <c r="BS39" s="44"/>
      <c r="BT39" s="44"/>
      <c r="BU39" s="44"/>
      <c r="BV39" s="44"/>
      <c r="BW39" s="44"/>
      <c r="BX39" s="44"/>
      <c r="BY39" s="44"/>
      <c r="BZ39" s="44"/>
      <c r="CA39" s="44"/>
      <c r="CB39" s="34"/>
      <c r="CC39" s="34"/>
      <c r="CD39" s="34"/>
      <c r="CE39" s="34"/>
      <c r="CF39" s="34"/>
      <c r="CG39" s="34"/>
      <c r="CH39" s="34"/>
      <c r="CI39" s="34"/>
      <c r="CJ39" s="34"/>
      <c r="CK39" s="34"/>
      <c r="CL39" s="34"/>
      <c r="CM39" s="34"/>
      <c r="CN39" s="34"/>
      <c r="CO39" s="34"/>
      <c r="CP39" s="34"/>
      <c r="CQ39" s="34"/>
      <c r="CR39" s="34"/>
      <c r="CS39" s="34"/>
      <c r="CT39" s="34"/>
      <c r="DK39" s="34"/>
      <c r="DL39" s="36" t="str">
        <f>CONCATENATE($DM$5,$DN$5)</f>
        <v xml:space="preserve">   "",</v>
      </c>
      <c r="DM39" s="37"/>
      <c r="DN39" s="37"/>
    </row>
    <row r="40" spans="1:118" s="32" customFormat="1" ht="15" hidden="1" customHeight="1" x14ac:dyDescent="0.2">
      <c r="A40" s="31"/>
      <c r="B40" s="31"/>
      <c r="C40" s="31"/>
      <c r="D40" s="31"/>
      <c r="E40" s="31"/>
      <c r="F40" s="40" t="s">
        <v>79</v>
      </c>
      <c r="G40" s="38"/>
      <c r="H40" s="38"/>
      <c r="I40" s="38"/>
      <c r="J40" s="38" t="str">
        <f>I24</f>
        <v/>
      </c>
      <c r="K40" s="38"/>
      <c r="L40" s="38"/>
      <c r="M40" s="38"/>
      <c r="N40" s="38" t="str">
        <f>M24</f>
        <v/>
      </c>
      <c r="O40" s="38"/>
      <c r="P40" s="38"/>
      <c r="Q40" s="38"/>
      <c r="R40" s="38" t="str">
        <f>Q24</f>
        <v/>
      </c>
      <c r="S40" s="38"/>
      <c r="T40" s="38"/>
      <c r="U40" s="38"/>
      <c r="V40" s="38" t="str">
        <f>U24</f>
        <v/>
      </c>
      <c r="W40" s="38"/>
      <c r="X40" s="38"/>
      <c r="Y40" s="38"/>
      <c r="Z40" s="38" t="str">
        <f>Y24</f>
        <v/>
      </c>
      <c r="AA40" s="38"/>
      <c r="AB40" s="38"/>
      <c r="AC40" s="38"/>
      <c r="AD40" s="38" t="str">
        <f>AC24</f>
        <v/>
      </c>
      <c r="AE40" s="38"/>
      <c r="AF40" s="38"/>
      <c r="AG40" s="38"/>
      <c r="AH40" s="38" t="str">
        <f>AG24</f>
        <v/>
      </c>
      <c r="AI40" s="38"/>
      <c r="AJ40" s="38"/>
      <c r="AK40" s="38"/>
      <c r="AL40" s="38" t="str">
        <f>AK24</f>
        <v/>
      </c>
      <c r="AM40" s="38"/>
      <c r="AN40" s="38"/>
      <c r="AO40" s="38"/>
      <c r="AP40" s="38" t="str">
        <f>AO24</f>
        <v/>
      </c>
      <c r="AQ40" s="38"/>
      <c r="AR40" s="38"/>
      <c r="AS40" s="38"/>
      <c r="AT40" s="38" t="str">
        <f>AS24</f>
        <v/>
      </c>
      <c r="AU40" s="38"/>
      <c r="AV40" s="38"/>
      <c r="AW40" s="38"/>
      <c r="AX40" s="38" t="str">
        <f>AW24</f>
        <v/>
      </c>
      <c r="AY40" s="38"/>
      <c r="AZ40" s="38"/>
      <c r="BA40" s="38"/>
      <c r="BB40" s="38" t="str">
        <f>BA24</f>
        <v/>
      </c>
      <c r="BH40" s="33"/>
      <c r="BI40" s="38"/>
      <c r="BJ40" s="38"/>
      <c r="BK40" s="38"/>
      <c r="BL40" s="38" t="str">
        <f>BK24</f>
        <v/>
      </c>
      <c r="BN40" s="41"/>
      <c r="BO40" s="42">
        <f>IF(COUNTBLANK($C$27)=0,1,0)</f>
        <v>0</v>
      </c>
      <c r="BP40" s="43"/>
      <c r="BQ40" s="44"/>
      <c r="BR40" s="44"/>
      <c r="BS40" s="44"/>
      <c r="BT40" s="44"/>
      <c r="BU40" s="44"/>
      <c r="BV40" s="44"/>
      <c r="BW40" s="44"/>
      <c r="BX40" s="44"/>
      <c r="BY40" s="44"/>
      <c r="BZ40" s="44"/>
      <c r="CA40" s="44"/>
      <c r="CB40" s="34"/>
      <c r="CC40" s="34"/>
      <c r="CD40" s="34"/>
      <c r="CE40" s="34"/>
      <c r="CF40" s="34"/>
      <c r="CG40" s="34"/>
      <c r="CH40" s="34"/>
      <c r="CI40" s="34"/>
      <c r="CJ40" s="34"/>
      <c r="CK40" s="34"/>
      <c r="CL40" s="34"/>
      <c r="CM40" s="34"/>
      <c r="CN40" s="34"/>
      <c r="CO40" s="34"/>
      <c r="CP40" s="34"/>
      <c r="CQ40" s="34"/>
      <c r="CR40" s="34"/>
      <c r="CS40" s="34"/>
      <c r="CT40" s="34"/>
      <c r="DK40" s="34"/>
      <c r="DL40" s="36" t="str">
        <f>CONCATENATE($DM$5,$DN$5)</f>
        <v xml:space="preserve">   "",</v>
      </c>
      <c r="DM40" s="37"/>
      <c r="DN40" s="37"/>
    </row>
    <row r="41" spans="1:118" s="32" customFormat="1" ht="15" hidden="1" customHeight="1" x14ac:dyDescent="0.2">
      <c r="A41" s="31"/>
      <c r="B41" s="31"/>
      <c r="C41" s="31"/>
      <c r="D41" s="31"/>
      <c r="E41" s="31"/>
      <c r="F41" s="40" t="s">
        <v>80</v>
      </c>
      <c r="G41" s="38"/>
      <c r="H41" s="38"/>
      <c r="I41" s="38"/>
      <c r="J41" s="38" t="str">
        <f>J24</f>
        <v/>
      </c>
      <c r="K41" s="38"/>
      <c r="L41" s="38"/>
      <c r="M41" s="38"/>
      <c r="N41" s="38" t="str">
        <f>N24</f>
        <v/>
      </c>
      <c r="O41" s="38"/>
      <c r="P41" s="38"/>
      <c r="Q41" s="38"/>
      <c r="R41" s="38" t="str">
        <f>R24</f>
        <v/>
      </c>
      <c r="S41" s="38"/>
      <c r="T41" s="38"/>
      <c r="U41" s="38"/>
      <c r="V41" s="38" t="str">
        <f>V24</f>
        <v/>
      </c>
      <c r="W41" s="38"/>
      <c r="X41" s="38"/>
      <c r="Y41" s="38"/>
      <c r="Z41" s="38" t="str">
        <f>Z24</f>
        <v/>
      </c>
      <c r="AA41" s="38"/>
      <c r="AB41" s="38"/>
      <c r="AC41" s="38"/>
      <c r="AD41" s="38" t="str">
        <f>AD24</f>
        <v/>
      </c>
      <c r="AE41" s="38"/>
      <c r="AF41" s="38"/>
      <c r="AG41" s="38"/>
      <c r="AH41" s="38" t="str">
        <f>AH24</f>
        <v/>
      </c>
      <c r="AI41" s="38"/>
      <c r="AJ41" s="38"/>
      <c r="AK41" s="38"/>
      <c r="AL41" s="38" t="str">
        <f>AL24</f>
        <v/>
      </c>
      <c r="AM41" s="38"/>
      <c r="AN41" s="38"/>
      <c r="AO41" s="38"/>
      <c r="AP41" s="38" t="str">
        <f>AP24</f>
        <v/>
      </c>
      <c r="AQ41" s="38"/>
      <c r="AR41" s="38"/>
      <c r="AS41" s="38"/>
      <c r="AT41" s="38" t="str">
        <f>AT24</f>
        <v/>
      </c>
      <c r="AU41" s="38"/>
      <c r="AV41" s="38"/>
      <c r="AW41" s="38"/>
      <c r="AX41" s="38" t="str">
        <f>AX24</f>
        <v/>
      </c>
      <c r="AY41" s="38"/>
      <c r="AZ41" s="38"/>
      <c r="BA41" s="38"/>
      <c r="BB41" s="38" t="str">
        <f>BB24</f>
        <v/>
      </c>
      <c r="BH41" s="33"/>
      <c r="BI41" s="38"/>
      <c r="BJ41" s="38"/>
      <c r="BK41" s="38"/>
      <c r="BL41" s="38" t="str">
        <f>BL24</f>
        <v/>
      </c>
      <c r="BN41" s="41" t="s">
        <v>56</v>
      </c>
      <c r="BO41" s="42">
        <f>SUM(BO37:BO40)</f>
        <v>1</v>
      </c>
      <c r="BP41" s="43" t="s">
        <v>57</v>
      </c>
      <c r="BQ41" s="44"/>
      <c r="BR41" s="44"/>
      <c r="BS41" s="44"/>
      <c r="BT41" s="44"/>
      <c r="BU41" s="44"/>
      <c r="BV41" s="44"/>
      <c r="BW41" s="44"/>
      <c r="BX41" s="44"/>
      <c r="BY41" s="44"/>
      <c r="BZ41" s="44"/>
      <c r="CA41" s="44"/>
      <c r="CB41" s="34"/>
      <c r="CC41" s="34"/>
      <c r="CD41" s="34"/>
      <c r="CE41" s="34"/>
      <c r="CF41" s="34"/>
      <c r="CG41" s="34"/>
      <c r="CH41" s="34"/>
      <c r="CI41" s="34"/>
      <c r="CJ41" s="34"/>
      <c r="CK41" s="34"/>
      <c r="CL41" s="34"/>
      <c r="CM41" s="34"/>
      <c r="CN41" s="34"/>
      <c r="CO41" s="34"/>
      <c r="CP41" s="34"/>
      <c r="CQ41" s="34"/>
      <c r="CR41" s="34"/>
      <c r="CS41" s="34"/>
      <c r="CT41" s="34"/>
      <c r="DK41" s="34"/>
      <c r="DL41" s="27" t="str">
        <f>CONCATENATE($DM$5,$I$17,$DN$5)</f>
        <v xml:space="preserve">   "",</v>
      </c>
      <c r="DM41" s="37"/>
      <c r="DN41" s="37"/>
    </row>
    <row r="42" spans="1:118" s="32" customFormat="1" ht="15" hidden="1" customHeight="1" x14ac:dyDescent="0.2">
      <c r="A42" s="31"/>
      <c r="B42" s="31"/>
      <c r="C42" s="31"/>
      <c r="D42" s="31"/>
      <c r="E42" s="31"/>
      <c r="F42" s="40" t="s">
        <v>81</v>
      </c>
      <c r="G42" s="38"/>
      <c r="H42" s="38"/>
      <c r="I42" s="38"/>
      <c r="J42" s="38" t="str">
        <f>I29</f>
        <v/>
      </c>
      <c r="K42" s="38"/>
      <c r="L42" s="38"/>
      <c r="M42" s="38"/>
      <c r="N42" s="38" t="str">
        <f>M29</f>
        <v/>
      </c>
      <c r="O42" s="38"/>
      <c r="P42" s="38"/>
      <c r="Q42" s="38"/>
      <c r="R42" s="38" t="str">
        <f>Q29</f>
        <v/>
      </c>
      <c r="S42" s="38"/>
      <c r="T42" s="38"/>
      <c r="U42" s="38"/>
      <c r="V42" s="38" t="str">
        <f>U29</f>
        <v/>
      </c>
      <c r="W42" s="38"/>
      <c r="X42" s="38"/>
      <c r="Y42" s="38"/>
      <c r="Z42" s="38" t="str">
        <f>Y29</f>
        <v/>
      </c>
      <c r="AA42" s="38"/>
      <c r="AB42" s="38"/>
      <c r="AC42" s="38"/>
      <c r="AD42" s="38" t="str">
        <f>AC29</f>
        <v/>
      </c>
      <c r="AE42" s="38"/>
      <c r="AF42" s="38"/>
      <c r="AG42" s="38"/>
      <c r="AH42" s="38" t="str">
        <f>AG29</f>
        <v/>
      </c>
      <c r="AI42" s="38"/>
      <c r="AJ42" s="38"/>
      <c r="AK42" s="38"/>
      <c r="AL42" s="38" t="str">
        <f>AK29</f>
        <v/>
      </c>
      <c r="AM42" s="38"/>
      <c r="AN42" s="38"/>
      <c r="AO42" s="38"/>
      <c r="AP42" s="38" t="str">
        <f>AO29</f>
        <v/>
      </c>
      <c r="AQ42" s="38"/>
      <c r="AR42" s="38"/>
      <c r="AS42" s="38"/>
      <c r="AT42" s="38" t="str">
        <f>AS29</f>
        <v/>
      </c>
      <c r="AU42" s="38"/>
      <c r="AV42" s="38"/>
      <c r="AW42" s="38"/>
      <c r="AX42" s="38" t="str">
        <f>AW29</f>
        <v/>
      </c>
      <c r="AY42" s="38"/>
      <c r="AZ42" s="38"/>
      <c r="BA42" s="38"/>
      <c r="BB42" s="38" t="str">
        <f>BA29</f>
        <v/>
      </c>
      <c r="BH42" s="33"/>
      <c r="BI42" s="38"/>
      <c r="BJ42" s="38"/>
      <c r="BK42" s="38"/>
      <c r="BL42" s="38" t="str">
        <f>BK29</f>
        <v/>
      </c>
      <c r="BN42" s="41"/>
      <c r="BO42" s="42">
        <f>IF(COUNTBLANK($BD$5:$BD$8)=0,1,0)</f>
        <v>1</v>
      </c>
      <c r="BP42" s="43"/>
      <c r="BQ42" s="44"/>
      <c r="BR42" s="44"/>
      <c r="BS42" s="44"/>
      <c r="BT42" s="44"/>
      <c r="BU42" s="44"/>
      <c r="BV42" s="44"/>
      <c r="BW42" s="44"/>
      <c r="BX42" s="44"/>
      <c r="BY42" s="44"/>
      <c r="BZ42" s="44"/>
      <c r="CA42" s="44"/>
      <c r="CB42" s="34"/>
      <c r="CC42" s="34"/>
      <c r="CD42" s="34"/>
      <c r="CE42" s="34"/>
      <c r="CF42" s="34"/>
      <c r="CG42" s="34"/>
      <c r="CH42" s="34"/>
      <c r="CI42" s="34"/>
      <c r="CJ42" s="34"/>
      <c r="CK42" s="34"/>
      <c r="CL42" s="34"/>
      <c r="CM42" s="34"/>
      <c r="CN42" s="34"/>
      <c r="CO42" s="34"/>
      <c r="CP42" s="34"/>
      <c r="CQ42" s="34"/>
      <c r="CR42" s="34"/>
      <c r="CS42" s="34"/>
      <c r="CT42" s="34"/>
      <c r="DK42" s="34"/>
      <c r="DL42" s="36" t="str">
        <f>CONCATENATE($DM$5,$DN$5)</f>
        <v xml:space="preserve">   "",</v>
      </c>
      <c r="DM42" s="37"/>
      <c r="DN42" s="37"/>
    </row>
    <row r="43" spans="1:118" s="32" customFormat="1" ht="15" hidden="1" customHeight="1" x14ac:dyDescent="0.2">
      <c r="A43" s="31"/>
      <c r="B43" s="31"/>
      <c r="C43" s="31"/>
      <c r="D43" s="31"/>
      <c r="E43" s="31"/>
      <c r="F43" s="40" t="s">
        <v>82</v>
      </c>
      <c r="G43" s="38"/>
      <c r="H43" s="38"/>
      <c r="I43" s="38"/>
      <c r="J43" s="38" t="str">
        <f>J29</f>
        <v/>
      </c>
      <c r="K43" s="38"/>
      <c r="L43" s="38"/>
      <c r="M43" s="38"/>
      <c r="N43" s="38" t="str">
        <f>N29</f>
        <v/>
      </c>
      <c r="O43" s="38"/>
      <c r="P43" s="38"/>
      <c r="Q43" s="38"/>
      <c r="R43" s="38" t="str">
        <f>R29</f>
        <v/>
      </c>
      <c r="S43" s="38"/>
      <c r="T43" s="38"/>
      <c r="U43" s="38"/>
      <c r="V43" s="38" t="str">
        <f>V29</f>
        <v/>
      </c>
      <c r="W43" s="38"/>
      <c r="X43" s="38"/>
      <c r="Y43" s="38"/>
      <c r="Z43" s="38" t="str">
        <f>Z29</f>
        <v/>
      </c>
      <c r="AA43" s="38"/>
      <c r="AB43" s="38"/>
      <c r="AC43" s="38"/>
      <c r="AD43" s="38" t="str">
        <f>AD29</f>
        <v/>
      </c>
      <c r="AE43" s="38"/>
      <c r="AF43" s="38"/>
      <c r="AG43" s="38"/>
      <c r="AH43" s="38" t="str">
        <f>AH29</f>
        <v/>
      </c>
      <c r="AI43" s="38"/>
      <c r="AJ43" s="38"/>
      <c r="AK43" s="38"/>
      <c r="AL43" s="38" t="str">
        <f>AL29</f>
        <v/>
      </c>
      <c r="AM43" s="38"/>
      <c r="AN43" s="38"/>
      <c r="AO43" s="38"/>
      <c r="AP43" s="38" t="str">
        <f>AP29</f>
        <v/>
      </c>
      <c r="AQ43" s="38"/>
      <c r="AR43" s="38"/>
      <c r="AS43" s="38"/>
      <c r="AT43" s="38" t="str">
        <f>AT29</f>
        <v/>
      </c>
      <c r="AU43" s="38"/>
      <c r="AV43" s="38"/>
      <c r="AW43" s="38"/>
      <c r="AX43" s="38" t="str">
        <f>AX29</f>
        <v/>
      </c>
      <c r="AY43" s="38"/>
      <c r="AZ43" s="38"/>
      <c r="BA43" s="38"/>
      <c r="BB43" s="38" t="str">
        <f>BB29</f>
        <v/>
      </c>
      <c r="BH43" s="33"/>
      <c r="BI43" s="38"/>
      <c r="BJ43" s="38"/>
      <c r="BK43" s="38"/>
      <c r="BL43" s="38" t="str">
        <f>BL29</f>
        <v/>
      </c>
      <c r="BN43" s="41"/>
      <c r="BO43" s="42">
        <f>IF(COUNTBLANK($BD$13:$BD$16)=0,1,0)</f>
        <v>0</v>
      </c>
      <c r="BP43" s="43"/>
      <c r="BQ43" s="44"/>
      <c r="BR43" s="44"/>
      <c r="BS43" s="44"/>
      <c r="BT43" s="44"/>
      <c r="BU43" s="44"/>
      <c r="BV43" s="44"/>
      <c r="BW43" s="44"/>
      <c r="BX43" s="44"/>
      <c r="BY43" s="44"/>
      <c r="BZ43" s="44"/>
      <c r="CA43" s="44"/>
      <c r="CB43" s="34"/>
      <c r="CC43" s="34"/>
      <c r="CD43" s="34"/>
      <c r="CE43" s="34"/>
      <c r="CF43" s="34"/>
      <c r="CG43" s="34"/>
      <c r="CH43" s="34"/>
      <c r="CI43" s="34"/>
      <c r="CJ43" s="34"/>
      <c r="CK43" s="34"/>
      <c r="CL43" s="34"/>
      <c r="CM43" s="34"/>
      <c r="CN43" s="34"/>
      <c r="CO43" s="34"/>
      <c r="CP43" s="34"/>
      <c r="CQ43" s="34"/>
      <c r="CR43" s="34"/>
      <c r="CS43" s="34"/>
      <c r="CT43" s="34"/>
      <c r="DK43" s="34"/>
      <c r="DL43" s="27" t="str">
        <f>CONCATENATE($DM$5,$I$23,$DN$5)</f>
        <v xml:space="preserve">   "",</v>
      </c>
      <c r="DM43" s="37"/>
      <c r="DN43" s="37"/>
    </row>
    <row r="44" spans="1:118" s="32" customFormat="1" ht="15" hidden="1" customHeight="1" x14ac:dyDescent="0.2">
      <c r="A44" s="31"/>
      <c r="B44" s="31"/>
      <c r="C44" s="31"/>
      <c r="D44" s="31"/>
      <c r="E44" s="31"/>
      <c r="F44" s="40" t="s">
        <v>83</v>
      </c>
      <c r="G44" s="38"/>
      <c r="H44" s="38"/>
      <c r="I44" s="38"/>
      <c r="J44" s="38">
        <f>I32</f>
        <v>3</v>
      </c>
      <c r="K44" s="38"/>
      <c r="L44" s="38"/>
      <c r="M44" s="38"/>
      <c r="N44" s="38">
        <f>M32</f>
        <v>11</v>
      </c>
      <c r="O44" s="38"/>
      <c r="P44" s="38"/>
      <c r="Q44" s="38"/>
      <c r="R44" s="38">
        <f>Q32</f>
        <v>4</v>
      </c>
      <c r="S44" s="38"/>
      <c r="T44" s="38"/>
      <c r="U44" s="38"/>
      <c r="V44" s="38">
        <f>U32</f>
        <v>12</v>
      </c>
      <c r="W44" s="38"/>
      <c r="X44" s="38"/>
      <c r="Y44" s="38"/>
      <c r="Z44" s="38">
        <f>Y32</f>
        <v>10</v>
      </c>
      <c r="AA44" s="38"/>
      <c r="AB44" s="38"/>
      <c r="AC44" s="38"/>
      <c r="AD44" s="38">
        <f>AC32</f>
        <v>1</v>
      </c>
      <c r="AE44" s="38"/>
      <c r="AF44" s="38"/>
      <c r="AG44" s="38"/>
      <c r="AH44" s="38">
        <f>AG32</f>
        <v>7</v>
      </c>
      <c r="AI44" s="38"/>
      <c r="AJ44" s="38"/>
      <c r="AK44" s="38"/>
      <c r="AL44" s="38">
        <f>AK32</f>
        <v>9</v>
      </c>
      <c r="AM44" s="38"/>
      <c r="AN44" s="38"/>
      <c r="AO44" s="38"/>
      <c r="AP44" s="38">
        <f>AO32</f>
        <v>6</v>
      </c>
      <c r="AQ44" s="38"/>
      <c r="AR44" s="38"/>
      <c r="AS44" s="38"/>
      <c r="AT44" s="38">
        <f>AS32</f>
        <v>5</v>
      </c>
      <c r="AU44" s="38"/>
      <c r="AV44" s="38"/>
      <c r="AW44" s="38"/>
      <c r="AX44" s="38">
        <f>AW32</f>
        <v>2</v>
      </c>
      <c r="AY44" s="38"/>
      <c r="AZ44" s="38"/>
      <c r="BA44" s="38"/>
      <c r="BB44" s="38">
        <f>BA32</f>
        <v>8</v>
      </c>
      <c r="BH44" s="33"/>
      <c r="BI44" s="38"/>
      <c r="BJ44" s="38"/>
      <c r="BK44" s="38"/>
      <c r="BL44" s="38">
        <f>BK32</f>
        <v>7</v>
      </c>
      <c r="BN44" s="41"/>
      <c r="BO44" s="42">
        <f>IF(COUNTBLANK($BD$21:$BD$22)=0,1,0)</f>
        <v>0</v>
      </c>
      <c r="BP44" s="43"/>
      <c r="BQ44" s="44"/>
      <c r="BR44" s="44"/>
      <c r="BS44" s="44"/>
      <c r="BT44" s="44"/>
      <c r="BU44" s="44"/>
      <c r="BV44" s="44"/>
      <c r="BW44" s="44"/>
      <c r="BX44" s="44"/>
      <c r="BY44" s="44"/>
      <c r="BZ44" s="44"/>
      <c r="CA44" s="44"/>
      <c r="CB44" s="34"/>
      <c r="CC44" s="34"/>
      <c r="CD44" s="34"/>
      <c r="CE44" s="34"/>
      <c r="CF44" s="34"/>
      <c r="CG44" s="34"/>
      <c r="CH44" s="34"/>
      <c r="CI44" s="34"/>
      <c r="CJ44" s="34"/>
      <c r="CK44" s="34"/>
      <c r="CL44" s="34"/>
      <c r="CM44" s="34"/>
      <c r="CN44" s="34"/>
      <c r="CO44" s="34"/>
      <c r="CP44" s="34"/>
      <c r="CQ44" s="34"/>
      <c r="CR44" s="34"/>
      <c r="CS44" s="34"/>
      <c r="CT44" s="34"/>
      <c r="DK44" s="34"/>
      <c r="DL44" s="27" t="str">
        <f>CONCATENATE($DM$5,$I$28,$DN$6)</f>
        <v xml:space="preserve">   ""</v>
      </c>
      <c r="DM44" s="37"/>
      <c r="DN44" s="37"/>
    </row>
    <row r="45" spans="1:118" s="32" customFormat="1" ht="15" hidden="1" customHeight="1" x14ac:dyDescent="0.2">
      <c r="A45" s="31"/>
      <c r="B45" s="31"/>
      <c r="C45" s="31"/>
      <c r="D45" s="31"/>
      <c r="E45" s="31"/>
      <c r="F45" s="40" t="s">
        <v>84</v>
      </c>
      <c r="G45" s="38"/>
      <c r="H45" s="38"/>
      <c r="I45" s="38"/>
      <c r="J45" s="38">
        <f>J32</f>
        <v>42</v>
      </c>
      <c r="K45" s="38"/>
      <c r="L45" s="38"/>
      <c r="M45" s="38"/>
      <c r="N45" s="38">
        <f>N32</f>
        <v>69</v>
      </c>
      <c r="O45" s="38"/>
      <c r="P45" s="38"/>
      <c r="Q45" s="38"/>
      <c r="R45" s="38">
        <f>R32</f>
        <v>44</v>
      </c>
      <c r="S45" s="38"/>
      <c r="T45" s="38"/>
      <c r="U45" s="38"/>
      <c r="V45" s="38">
        <f>V32</f>
        <v>77</v>
      </c>
      <c r="W45" s="38"/>
      <c r="X45" s="38"/>
      <c r="Y45" s="38"/>
      <c r="Z45" s="38">
        <f>Z32</f>
        <v>62</v>
      </c>
      <c r="AA45" s="38"/>
      <c r="AB45" s="38"/>
      <c r="AC45" s="38"/>
      <c r="AD45" s="38">
        <f>AD32</f>
        <v>25</v>
      </c>
      <c r="AE45" s="38"/>
      <c r="AF45" s="38"/>
      <c r="AG45" s="38"/>
      <c r="AH45" s="38">
        <f>AH32</f>
        <v>48</v>
      </c>
      <c r="AI45" s="38"/>
      <c r="AJ45" s="38"/>
      <c r="AK45" s="38"/>
      <c r="AL45" s="38">
        <f>AL32</f>
        <v>61</v>
      </c>
      <c r="AM45" s="38"/>
      <c r="AN45" s="38"/>
      <c r="AO45" s="38"/>
      <c r="AP45" s="38">
        <f>AP32</f>
        <v>47</v>
      </c>
      <c r="AQ45" s="38"/>
      <c r="AR45" s="38"/>
      <c r="AS45" s="38"/>
      <c r="AT45" s="38">
        <f>AT32</f>
        <v>45</v>
      </c>
      <c r="AU45" s="38"/>
      <c r="AV45" s="38"/>
      <c r="AW45" s="38"/>
      <c r="AX45" s="38">
        <f>AX32</f>
        <v>41</v>
      </c>
      <c r="AY45" s="38"/>
      <c r="AZ45" s="38"/>
      <c r="BA45" s="38"/>
      <c r="BB45" s="38">
        <f>BB32</f>
        <v>54</v>
      </c>
      <c r="BH45" s="33"/>
      <c r="BI45" s="38"/>
      <c r="BJ45" s="38"/>
      <c r="BK45" s="38"/>
      <c r="BL45" s="38">
        <f>BL32</f>
        <v>48</v>
      </c>
      <c r="BN45" s="41"/>
      <c r="BO45" s="42">
        <f>IF(COUNTBLANK($BD$27)=0,1,0)</f>
        <v>0</v>
      </c>
      <c r="BP45" s="43"/>
      <c r="BQ45" s="44"/>
      <c r="BR45" s="44"/>
      <c r="BS45" s="44"/>
      <c r="BT45" s="44"/>
      <c r="BU45" s="44"/>
      <c r="BV45" s="44"/>
      <c r="BW45" s="44"/>
      <c r="BX45" s="44"/>
      <c r="BY45" s="44"/>
      <c r="BZ45" s="44"/>
      <c r="CA45" s="44"/>
      <c r="CB45" s="34"/>
      <c r="CC45" s="34"/>
      <c r="CD45" s="34"/>
      <c r="CE45" s="34"/>
      <c r="CF45" s="34"/>
      <c r="CG45" s="34"/>
      <c r="CH45" s="34"/>
      <c r="CI45" s="34"/>
      <c r="CJ45" s="34"/>
      <c r="CK45" s="34"/>
      <c r="CL45" s="34"/>
      <c r="CM45" s="34"/>
      <c r="CN45" s="34"/>
      <c r="CO45" s="34"/>
      <c r="CP45" s="34"/>
      <c r="CQ45" s="34"/>
      <c r="CR45" s="34"/>
      <c r="CS45" s="34"/>
      <c r="CT45" s="34"/>
      <c r="DK45" s="34"/>
      <c r="DL45" s="27" t="s">
        <v>28</v>
      </c>
      <c r="DM45" s="37"/>
      <c r="DN45" s="37"/>
    </row>
    <row r="46" spans="1:118" s="32" customFormat="1" ht="15" hidden="1" customHeight="1" x14ac:dyDescent="0.2">
      <c r="A46" s="31"/>
      <c r="B46" s="31"/>
      <c r="C46" s="31"/>
      <c r="D46" s="31"/>
      <c r="E46" s="31"/>
      <c r="F46" s="40" t="s">
        <v>85</v>
      </c>
      <c r="G46" s="38">
        <f>IF(AND($BD5&lt;&gt;"H",$BD5&lt;&gt;"V"),"",IF(G5=$BD5,1,0))</f>
        <v>1</v>
      </c>
      <c r="H46" s="38"/>
      <c r="I46" s="38"/>
      <c r="J46" s="38"/>
      <c r="K46" s="38">
        <f>IF(AND($BD5&lt;&gt;"H",$BD5&lt;&gt;"V"),"",IF(K5=$BD5,1,0))</f>
        <v>0</v>
      </c>
      <c r="L46" s="38"/>
      <c r="M46" s="38"/>
      <c r="N46" s="38"/>
      <c r="O46" s="38">
        <f>IF(AND($BD5&lt;&gt;"H",$BD5&lt;&gt;"V"),"",IF(O5=$BD5,1,0))</f>
        <v>1</v>
      </c>
      <c r="P46" s="38"/>
      <c r="Q46" s="38"/>
      <c r="R46" s="38"/>
      <c r="S46" s="38">
        <f>IF(AND($BD5&lt;&gt;"H",$BD5&lt;&gt;"V"),"",IF(S5=$BD5,1,0))</f>
        <v>1</v>
      </c>
      <c r="T46" s="38"/>
      <c r="U46" s="38"/>
      <c r="V46" s="38"/>
      <c r="W46" s="38">
        <f>IF(AND($BD5&lt;&gt;"H",$BD5&lt;&gt;"V"),"",IF(W5=$BD5,1,0))</f>
        <v>0</v>
      </c>
      <c r="X46" s="38"/>
      <c r="Y46" s="38"/>
      <c r="Z46" s="38"/>
      <c r="AA46" s="38">
        <f>IF(AND($BD5&lt;&gt;"H",$BD5&lt;&gt;"V"),"",IF(AA5=$BD5,1,0))</f>
        <v>1</v>
      </c>
      <c r="AB46" s="38"/>
      <c r="AC46" s="38"/>
      <c r="AD46" s="38"/>
      <c r="AE46" s="38">
        <f>IF(AND($BD5&lt;&gt;"H",$BD5&lt;&gt;"V"),"",IF(AE5=$BD5,1,0))</f>
        <v>1</v>
      </c>
      <c r="AF46" s="38"/>
      <c r="AG46" s="38"/>
      <c r="AH46" s="38"/>
      <c r="AI46" s="38">
        <f>IF(AND($BD5&lt;&gt;"H",$BD5&lt;&gt;"V"),"",IF(AI5=$BD5,1,0))</f>
        <v>0</v>
      </c>
      <c r="AJ46" s="38"/>
      <c r="AK46" s="38"/>
      <c r="AL46" s="38"/>
      <c r="AM46" s="38">
        <f>IF(AND($BD5&lt;&gt;"H",$BD5&lt;&gt;"V"),"",IF(AM5=$BD5,1,0))</f>
        <v>1</v>
      </c>
      <c r="AN46" s="38"/>
      <c r="AO46" s="38"/>
      <c r="AP46" s="38"/>
      <c r="AQ46" s="38">
        <f>IF(AND($BD5&lt;&gt;"H",$BD5&lt;&gt;"V"),"",IF(AQ5=$BD5,1,0))</f>
        <v>1</v>
      </c>
      <c r="AR46" s="38"/>
      <c r="AS46" s="38"/>
      <c r="AT46" s="38"/>
      <c r="AU46" s="38">
        <f>IF(AND($BD5&lt;&gt;"H",$BD5&lt;&gt;"V"),"",IF(AU5=$BD5,1,0))</f>
        <v>1</v>
      </c>
      <c r="AV46" s="38"/>
      <c r="AW46" s="38"/>
      <c r="AX46" s="38"/>
      <c r="AY46" s="38">
        <f>IF(AND($BD5&lt;&gt;"H",$BD5&lt;&gt;"V"),"",IF(AY5=$BD5,1,0))</f>
        <v>0</v>
      </c>
      <c r="AZ46" s="38"/>
      <c r="BA46" s="38"/>
      <c r="BB46" s="38"/>
      <c r="BH46" s="33"/>
      <c r="BI46" s="38">
        <f>IF(AND($BD5&lt;&gt;"H",$BD5&lt;&gt;"V"),"",IF(BI5=$BD5,1,0))</f>
        <v>1</v>
      </c>
      <c r="BJ46" s="38"/>
      <c r="BK46" s="38"/>
      <c r="BL46" s="38"/>
      <c r="BN46" s="41" t="s">
        <v>56</v>
      </c>
      <c r="BO46" s="42">
        <f>SUM(BO42:BO45)</f>
        <v>1</v>
      </c>
      <c r="BP46" s="43" t="s">
        <v>58</v>
      </c>
      <c r="BQ46" s="44"/>
      <c r="BR46" s="44"/>
      <c r="BS46" s="44"/>
      <c r="BT46" s="44"/>
      <c r="BU46" s="44"/>
      <c r="BV46" s="44"/>
      <c r="BW46" s="44"/>
      <c r="BX46" s="44"/>
      <c r="BY46" s="44"/>
      <c r="BZ46" s="44"/>
      <c r="CA46" s="44"/>
      <c r="CB46" s="34"/>
      <c r="CC46" s="34"/>
      <c r="CD46" s="34"/>
      <c r="CE46" s="34"/>
      <c r="CF46" s="34"/>
      <c r="CG46" s="34"/>
      <c r="CH46" s="34"/>
      <c r="CI46" s="34"/>
      <c r="CJ46" s="34"/>
      <c r="CK46" s="34"/>
      <c r="CL46" s="34"/>
      <c r="CM46" s="34"/>
      <c r="CN46" s="34"/>
      <c r="CO46" s="34"/>
      <c r="CP46" s="34"/>
      <c r="CQ46" s="34"/>
      <c r="CR46" s="34"/>
      <c r="CS46" s="34"/>
      <c r="CT46" s="34"/>
      <c r="DK46" s="34"/>
      <c r="DL46" s="46"/>
      <c r="DM46" s="37"/>
      <c r="DN46" s="37"/>
    </row>
    <row r="47" spans="1:118" s="32" customFormat="1" ht="15" hidden="1" customHeight="1" x14ac:dyDescent="0.2">
      <c r="A47" s="31"/>
      <c r="B47" s="31"/>
      <c r="C47" s="31"/>
      <c r="D47" s="31"/>
      <c r="E47" s="31"/>
      <c r="F47" s="40" t="s">
        <v>86</v>
      </c>
      <c r="G47" s="38">
        <f>IF(AND($BD6&lt;&gt;"H",$BD6&lt;&gt;"V"),"",IF(G6=$BD6,1,0))</f>
        <v>0</v>
      </c>
      <c r="H47" s="38"/>
      <c r="I47" s="38"/>
      <c r="J47" s="38"/>
      <c r="K47" s="38">
        <f>IF(AND($BD6&lt;&gt;"H",$BD6&lt;&gt;"V"),"",IF(K6=$BD6,1,0))</f>
        <v>0</v>
      </c>
      <c r="L47" s="38"/>
      <c r="M47" s="38"/>
      <c r="N47" s="38"/>
      <c r="O47" s="38">
        <f>IF(AND($BD6&lt;&gt;"H",$BD6&lt;&gt;"V"),"",IF(O6=$BD6,1,0))</f>
        <v>0</v>
      </c>
      <c r="P47" s="38"/>
      <c r="Q47" s="38"/>
      <c r="R47" s="38"/>
      <c r="S47" s="38">
        <f>IF(AND($BD6&lt;&gt;"H",$BD6&lt;&gt;"V"),"",IF(S6=$BD6,1,0))</f>
        <v>0</v>
      </c>
      <c r="T47" s="38"/>
      <c r="U47" s="38"/>
      <c r="V47" s="38"/>
      <c r="W47" s="38">
        <f>IF(AND($BD6&lt;&gt;"H",$BD6&lt;&gt;"V"),"",IF(W6=$BD6,1,0))</f>
        <v>0</v>
      </c>
      <c r="X47" s="38"/>
      <c r="Y47" s="38"/>
      <c r="Z47" s="38"/>
      <c r="AA47" s="38">
        <f>IF(AND($BD6&lt;&gt;"H",$BD6&lt;&gt;"V"),"",IF(AA6=$BD6,1,0))</f>
        <v>1</v>
      </c>
      <c r="AB47" s="38"/>
      <c r="AC47" s="38"/>
      <c r="AD47" s="38"/>
      <c r="AE47" s="38">
        <f>IF(AND($BD6&lt;&gt;"H",$BD6&lt;&gt;"V"),"",IF(AE6=$BD6,1,0))</f>
        <v>0</v>
      </c>
      <c r="AF47" s="38"/>
      <c r="AG47" s="38"/>
      <c r="AH47" s="38"/>
      <c r="AI47" s="38">
        <f>IF(AND($BD6&lt;&gt;"H",$BD6&lt;&gt;"V"),"",IF(AI6=$BD6,1,0))</f>
        <v>0</v>
      </c>
      <c r="AJ47" s="38"/>
      <c r="AK47" s="38"/>
      <c r="AL47" s="38"/>
      <c r="AM47" s="38">
        <f>IF(AND($BD6&lt;&gt;"H",$BD6&lt;&gt;"V"),"",IF(AM6=$BD6,1,0))</f>
        <v>0</v>
      </c>
      <c r="AN47" s="38"/>
      <c r="AO47" s="38"/>
      <c r="AP47" s="38"/>
      <c r="AQ47" s="38">
        <f>IF(AND($BD6&lt;&gt;"H",$BD6&lt;&gt;"V"),"",IF(AQ6=$BD6,1,0))</f>
        <v>0</v>
      </c>
      <c r="AR47" s="38"/>
      <c r="AS47" s="38"/>
      <c r="AT47" s="38"/>
      <c r="AU47" s="38">
        <f>IF(AND($BD6&lt;&gt;"H",$BD6&lt;&gt;"V"),"",IF(AU6=$BD6,1,0))</f>
        <v>0</v>
      </c>
      <c r="AV47" s="38"/>
      <c r="AW47" s="38"/>
      <c r="AX47" s="38"/>
      <c r="AY47" s="38">
        <f>IF(AND($BD6&lt;&gt;"H",$BD6&lt;&gt;"V"),"",IF(AY6=$BD6,1,0))</f>
        <v>0</v>
      </c>
      <c r="AZ47" s="38"/>
      <c r="BA47" s="38"/>
      <c r="BB47" s="38"/>
      <c r="BH47" s="33"/>
      <c r="BI47" s="38">
        <f>IF(AND($BD6&lt;&gt;"H",$BD6&lt;&gt;"V"),"",IF(BI6=$BD6,1,0))</f>
        <v>0</v>
      </c>
      <c r="BJ47" s="38"/>
      <c r="BK47" s="38"/>
      <c r="BL47" s="38"/>
      <c r="BN47" s="41"/>
      <c r="BO47" s="42"/>
      <c r="BP47" s="43"/>
      <c r="BQ47" s="44"/>
      <c r="BR47" s="44"/>
      <c r="BS47" s="44"/>
      <c r="BT47" s="44"/>
      <c r="BU47" s="44"/>
      <c r="BV47" s="44"/>
      <c r="BW47" s="44"/>
      <c r="BX47" s="44"/>
      <c r="BY47" s="44"/>
      <c r="BZ47" s="44"/>
      <c r="CA47" s="44"/>
      <c r="CB47" s="34"/>
      <c r="CC47" s="34"/>
      <c r="CD47" s="34"/>
      <c r="CE47" s="34"/>
      <c r="CF47" s="34"/>
      <c r="CG47" s="34"/>
      <c r="CH47" s="34"/>
      <c r="CI47" s="34"/>
      <c r="CJ47" s="34"/>
      <c r="CK47" s="34"/>
      <c r="CL47" s="34"/>
      <c r="CM47" s="34"/>
      <c r="CN47" s="34"/>
      <c r="CO47" s="34"/>
      <c r="CP47" s="34"/>
      <c r="CQ47" s="34"/>
      <c r="CR47" s="34"/>
      <c r="CS47" s="34"/>
      <c r="CT47" s="34"/>
      <c r="DK47" s="34"/>
      <c r="DL47" s="27" t="s">
        <v>30</v>
      </c>
      <c r="DM47" s="37"/>
      <c r="DN47" s="37"/>
    </row>
    <row r="48" spans="1:118" s="32" customFormat="1" ht="15" hidden="1" customHeight="1" x14ac:dyDescent="0.2">
      <c r="A48" s="31"/>
      <c r="B48" s="31"/>
      <c r="C48" s="31"/>
      <c r="D48" s="31"/>
      <c r="E48" s="31"/>
      <c r="F48" s="40" t="s">
        <v>87</v>
      </c>
      <c r="G48" s="38">
        <f>IF(AND($BD7&lt;&gt;"H",$BD7&lt;&gt;"V"),"",IF(G7=$BD7,1,0))</f>
        <v>0</v>
      </c>
      <c r="H48" s="38"/>
      <c r="I48" s="38"/>
      <c r="J48" s="38"/>
      <c r="K48" s="38">
        <f>IF(AND($BD7&lt;&gt;"H",$BD7&lt;&gt;"V"),"",IF(K7=$BD7,1,0))</f>
        <v>0</v>
      </c>
      <c r="L48" s="38"/>
      <c r="M48" s="38"/>
      <c r="N48" s="38"/>
      <c r="O48" s="38">
        <f>IF(AND($BD7&lt;&gt;"H",$BD7&lt;&gt;"V"),"",IF(O7=$BD7,1,0))</f>
        <v>0</v>
      </c>
      <c r="P48" s="38"/>
      <c r="Q48" s="38"/>
      <c r="R48" s="38"/>
      <c r="S48" s="38">
        <f>IF(AND($BD7&lt;&gt;"H",$BD7&lt;&gt;"V"),"",IF(S7=$BD7,1,0))</f>
        <v>0</v>
      </c>
      <c r="T48" s="38"/>
      <c r="U48" s="38"/>
      <c r="V48" s="38"/>
      <c r="W48" s="38">
        <f>IF(AND($BD7&lt;&gt;"H",$BD7&lt;&gt;"V"),"",IF(W7=$BD7,1,0))</f>
        <v>0</v>
      </c>
      <c r="X48" s="38"/>
      <c r="Y48" s="38"/>
      <c r="Z48" s="38"/>
      <c r="AA48" s="38">
        <f>IF(AND($BD7&lt;&gt;"H",$BD7&lt;&gt;"V"),"",IF(AA7=$BD7,1,0))</f>
        <v>0</v>
      </c>
      <c r="AB48" s="38"/>
      <c r="AC48" s="38"/>
      <c r="AD48" s="38"/>
      <c r="AE48" s="38">
        <f>IF(AND($BD7&lt;&gt;"H",$BD7&lt;&gt;"V"),"",IF(AE7=$BD7,1,0))</f>
        <v>0</v>
      </c>
      <c r="AF48" s="38"/>
      <c r="AG48" s="38"/>
      <c r="AH48" s="38"/>
      <c r="AI48" s="38">
        <f>IF(AND($BD7&lt;&gt;"H",$BD7&lt;&gt;"V"),"",IF(AI7=$BD7,1,0))</f>
        <v>0</v>
      </c>
      <c r="AJ48" s="38"/>
      <c r="AK48" s="38"/>
      <c r="AL48" s="38"/>
      <c r="AM48" s="38">
        <f>IF(AND($BD7&lt;&gt;"H",$BD7&lt;&gt;"V"),"",IF(AM7=$BD7,1,0))</f>
        <v>0</v>
      </c>
      <c r="AN48" s="38"/>
      <c r="AO48" s="38"/>
      <c r="AP48" s="38"/>
      <c r="AQ48" s="38">
        <f>IF(AND($BD7&lt;&gt;"H",$BD7&lt;&gt;"V"),"",IF(AQ7=$BD7,1,0))</f>
        <v>0</v>
      </c>
      <c r="AR48" s="38"/>
      <c r="AS48" s="38"/>
      <c r="AT48" s="38"/>
      <c r="AU48" s="38">
        <f>IF(AND($BD7&lt;&gt;"H",$BD7&lt;&gt;"V"),"",IF(AU7=$BD7,1,0))</f>
        <v>0</v>
      </c>
      <c r="AV48" s="38"/>
      <c r="AW48" s="38"/>
      <c r="AX48" s="38"/>
      <c r="AY48" s="38">
        <f>IF(AND($BD7&lt;&gt;"H",$BD7&lt;&gt;"V"),"",IF(AY7=$BD7,1,0))</f>
        <v>0</v>
      </c>
      <c r="AZ48" s="38"/>
      <c r="BA48" s="38"/>
      <c r="BB48" s="38"/>
      <c r="BH48" s="33"/>
      <c r="BI48" s="38">
        <f>IF(AND($BD7&lt;&gt;"H",$BD7&lt;&gt;"V"),"",IF(BI7=$BD7,1,0))</f>
        <v>0</v>
      </c>
      <c r="BJ48" s="38"/>
      <c r="BK48" s="38"/>
      <c r="BL48" s="38"/>
      <c r="BN48" s="41"/>
      <c r="BO48" s="42"/>
      <c r="BP48" s="43"/>
      <c r="BQ48" s="44"/>
      <c r="BR48" s="44"/>
      <c r="BS48" s="44"/>
      <c r="BT48" s="44"/>
      <c r="BU48" s="44"/>
      <c r="BV48" s="44"/>
      <c r="BW48" s="44"/>
      <c r="BX48" s="44"/>
      <c r="BY48" s="44"/>
      <c r="BZ48" s="44"/>
      <c r="CA48" s="44"/>
      <c r="CB48" s="34"/>
      <c r="CC48" s="34"/>
      <c r="CD48" s="34"/>
      <c r="CE48" s="34"/>
      <c r="CF48" s="34"/>
      <c r="CG48" s="34"/>
      <c r="CH48" s="34"/>
      <c r="CI48" s="34"/>
      <c r="CJ48" s="34"/>
      <c r="CK48" s="34"/>
      <c r="CL48" s="34"/>
      <c r="CM48" s="34"/>
      <c r="CN48" s="34"/>
      <c r="CO48" s="34"/>
      <c r="CP48" s="34"/>
      <c r="CQ48" s="34"/>
      <c r="CR48" s="34"/>
      <c r="CS48" s="34"/>
      <c r="CT48" s="34"/>
      <c r="DK48" s="34"/>
      <c r="DL48" s="27" t="str">
        <f>CONCATENATE($DM$5,$K$5,$DN$5)</f>
        <v xml:space="preserve">   "V",</v>
      </c>
      <c r="DM48" s="37"/>
      <c r="DN48" s="37"/>
    </row>
    <row r="49" spans="1:118" s="32" customFormat="1" ht="15" hidden="1" customHeight="1" x14ac:dyDescent="0.2">
      <c r="A49" s="31"/>
      <c r="B49" s="31"/>
      <c r="C49" s="31"/>
      <c r="D49" s="31"/>
      <c r="E49" s="31"/>
      <c r="F49" s="40" t="s">
        <v>88</v>
      </c>
      <c r="G49" s="38">
        <f>IF(AND($BD8&lt;&gt;"H",$BD8&lt;&gt;"V"),"",IF(G8=$BD8,1,0))</f>
        <v>1</v>
      </c>
      <c r="H49" s="38"/>
      <c r="I49" s="38"/>
      <c r="J49" s="38"/>
      <c r="K49" s="38">
        <f>IF(AND($BD8&lt;&gt;"H",$BD8&lt;&gt;"V"),"",IF(K8=$BD8,1,0))</f>
        <v>1</v>
      </c>
      <c r="L49" s="38"/>
      <c r="M49" s="38"/>
      <c r="N49" s="38"/>
      <c r="O49" s="38">
        <f>IF(AND($BD8&lt;&gt;"H",$BD8&lt;&gt;"V"),"",IF(O8=$BD8,1,0))</f>
        <v>1</v>
      </c>
      <c r="P49" s="38"/>
      <c r="Q49" s="38"/>
      <c r="R49" s="38"/>
      <c r="S49" s="38">
        <f>IF(AND($BD8&lt;&gt;"H",$BD8&lt;&gt;"V"),"",IF(S8=$BD8,1,0))</f>
        <v>0</v>
      </c>
      <c r="T49" s="38"/>
      <c r="U49" s="38"/>
      <c r="V49" s="38"/>
      <c r="W49" s="38">
        <f>IF(AND($BD8&lt;&gt;"H",$BD8&lt;&gt;"V"),"",IF(W8=$BD8,1,0))</f>
        <v>1</v>
      </c>
      <c r="X49" s="38"/>
      <c r="Y49" s="38"/>
      <c r="Z49" s="38"/>
      <c r="AA49" s="38">
        <f>IF(AND($BD8&lt;&gt;"H",$BD8&lt;&gt;"V"),"",IF(AA8=$BD8,1,0))</f>
        <v>1</v>
      </c>
      <c r="AB49" s="38"/>
      <c r="AC49" s="38"/>
      <c r="AD49" s="38"/>
      <c r="AE49" s="38">
        <f>IF(AND($BD8&lt;&gt;"H",$BD8&lt;&gt;"V"),"",IF(AE8=$BD8,1,0))</f>
        <v>1</v>
      </c>
      <c r="AF49" s="38"/>
      <c r="AG49" s="38"/>
      <c r="AH49" s="38"/>
      <c r="AI49" s="38">
        <f>IF(AND($BD8&lt;&gt;"H",$BD8&lt;&gt;"V"),"",IF(AI8=$BD8,1,0))</f>
        <v>0</v>
      </c>
      <c r="AJ49" s="38"/>
      <c r="AK49" s="38"/>
      <c r="AL49" s="38"/>
      <c r="AM49" s="38">
        <f>IF(AND($BD8&lt;&gt;"H",$BD8&lt;&gt;"V"),"",IF(AM8=$BD8,1,0))</f>
        <v>1</v>
      </c>
      <c r="AN49" s="38"/>
      <c r="AO49" s="38"/>
      <c r="AP49" s="38"/>
      <c r="AQ49" s="38">
        <f>IF(AND($BD8&lt;&gt;"H",$BD8&lt;&gt;"V"),"",IF(AQ8=$BD8,1,0))</f>
        <v>1</v>
      </c>
      <c r="AR49" s="38"/>
      <c r="AS49" s="38"/>
      <c r="AT49" s="38"/>
      <c r="AU49" s="38">
        <f>IF(AND($BD8&lt;&gt;"H",$BD8&lt;&gt;"V"),"",IF(AU8=$BD8,1,0))</f>
        <v>1</v>
      </c>
      <c r="AV49" s="38"/>
      <c r="AW49" s="38"/>
      <c r="AX49" s="38"/>
      <c r="AY49" s="38">
        <f>IF(AND($BD8&lt;&gt;"H",$BD8&lt;&gt;"V"),"",IF(AY8=$BD8,1,0))</f>
        <v>1</v>
      </c>
      <c r="AZ49" s="38"/>
      <c r="BA49" s="38"/>
      <c r="BB49" s="38"/>
      <c r="BH49" s="33"/>
      <c r="BI49" s="38">
        <f>IF(AND($BD8&lt;&gt;"H",$BD8&lt;&gt;"V"),"",IF(BI8=$BD8,1,0))</f>
        <v>1</v>
      </c>
      <c r="BJ49" s="38"/>
      <c r="BK49" s="38"/>
      <c r="BL49" s="38"/>
      <c r="BN49" s="41"/>
      <c r="BO49" s="42"/>
      <c r="BP49" s="43"/>
      <c r="BQ49" s="44"/>
      <c r="BR49" s="44"/>
      <c r="BS49" s="44"/>
      <c r="BT49" s="44"/>
      <c r="BU49" s="44"/>
      <c r="BV49" s="44"/>
      <c r="BW49" s="44"/>
      <c r="BX49" s="44"/>
      <c r="BY49" s="44"/>
      <c r="BZ49" s="44"/>
      <c r="CA49" s="44"/>
      <c r="CB49" s="34"/>
      <c r="CC49" s="34"/>
      <c r="CD49" s="34"/>
      <c r="CE49" s="34"/>
      <c r="CF49" s="34"/>
      <c r="CG49" s="34"/>
      <c r="CH49" s="34"/>
      <c r="CI49" s="34"/>
      <c r="CJ49" s="34"/>
      <c r="CK49" s="34"/>
      <c r="CL49" s="34"/>
      <c r="CM49" s="34"/>
      <c r="CN49" s="34"/>
      <c r="CO49" s="34"/>
      <c r="CP49" s="34"/>
      <c r="CQ49" s="34"/>
      <c r="CR49" s="34"/>
      <c r="CS49" s="34"/>
      <c r="CT49" s="34"/>
      <c r="DK49" s="34"/>
      <c r="DL49" s="27" t="str">
        <f>CONCATENATE($DM$5,$K$6,$DN$5)</f>
        <v xml:space="preserve">   "H",</v>
      </c>
      <c r="DM49" s="37"/>
      <c r="DN49" s="37"/>
    </row>
    <row r="50" spans="1:118" s="32" customFormat="1" ht="15" hidden="1" customHeight="1" x14ac:dyDescent="0.2">
      <c r="A50" s="31"/>
      <c r="B50" s="31"/>
      <c r="C50" s="31"/>
      <c r="D50" s="31"/>
      <c r="E50" s="31"/>
      <c r="F50" s="40" t="s">
        <v>89</v>
      </c>
      <c r="G50" s="38" t="str">
        <f>IF(AND($BD13&lt;&gt;"H",$BD13&lt;&gt;"V"),"",IF(G13=$BD13,1,0))</f>
        <v/>
      </c>
      <c r="H50" s="38"/>
      <c r="I50" s="38"/>
      <c r="J50" s="38"/>
      <c r="K50" s="38" t="str">
        <f>IF(AND($BD13&lt;&gt;"H",$BD13&lt;&gt;"V"),"",IF(K13=$BD13,1,0))</f>
        <v/>
      </c>
      <c r="L50" s="38"/>
      <c r="M50" s="38"/>
      <c r="N50" s="38"/>
      <c r="O50" s="38" t="str">
        <f>IF(AND($BD13&lt;&gt;"H",$BD13&lt;&gt;"V"),"",IF(O13=$BD13,1,0))</f>
        <v/>
      </c>
      <c r="P50" s="38"/>
      <c r="Q50" s="38"/>
      <c r="R50" s="38"/>
      <c r="S50" s="38" t="str">
        <f>IF(AND($BD13&lt;&gt;"H",$BD13&lt;&gt;"V"),"",IF(S13=$BD13,1,0))</f>
        <v/>
      </c>
      <c r="T50" s="38"/>
      <c r="U50" s="38"/>
      <c r="V50" s="38"/>
      <c r="W50" s="38" t="str">
        <f>IF(AND($BD13&lt;&gt;"H",$BD13&lt;&gt;"V"),"",IF(W13=$BD13,1,0))</f>
        <v/>
      </c>
      <c r="X50" s="38"/>
      <c r="Y50" s="38"/>
      <c r="Z50" s="38"/>
      <c r="AA50" s="38" t="str">
        <f>IF(AND($BD13&lt;&gt;"H",$BD13&lt;&gt;"V"),"",IF(AA13=$BD13,1,0))</f>
        <v/>
      </c>
      <c r="AB50" s="38"/>
      <c r="AC50" s="38"/>
      <c r="AD50" s="38"/>
      <c r="AE50" s="38" t="str">
        <f>IF(AND($BD13&lt;&gt;"H",$BD13&lt;&gt;"V"),"",IF(AE13=$BD13,1,0))</f>
        <v/>
      </c>
      <c r="AF50" s="38"/>
      <c r="AG50" s="38"/>
      <c r="AH50" s="38"/>
      <c r="AI50" s="38" t="str">
        <f>IF(AND($BD13&lt;&gt;"H",$BD13&lt;&gt;"V"),"",IF(AI13=$BD13,1,0))</f>
        <v/>
      </c>
      <c r="AJ50" s="38"/>
      <c r="AK50" s="38"/>
      <c r="AL50" s="38"/>
      <c r="AM50" s="38" t="str">
        <f>IF(AND($BD13&lt;&gt;"H",$BD13&lt;&gt;"V"),"",IF(AM13=$BD13,1,0))</f>
        <v/>
      </c>
      <c r="AN50" s="38"/>
      <c r="AO50" s="38"/>
      <c r="AP50" s="38"/>
      <c r="AQ50" s="38" t="str">
        <f>IF(AND($BD13&lt;&gt;"H",$BD13&lt;&gt;"V"),"",IF(AQ13=$BD13,1,0))</f>
        <v/>
      </c>
      <c r="AR50" s="38"/>
      <c r="AS50" s="38"/>
      <c r="AT50" s="38"/>
      <c r="AU50" s="38" t="str">
        <f>IF(AND($BD13&lt;&gt;"H",$BD13&lt;&gt;"V"),"",IF(AU13=$BD13,1,0))</f>
        <v/>
      </c>
      <c r="AV50" s="38"/>
      <c r="AW50" s="38"/>
      <c r="AX50" s="38"/>
      <c r="AY50" s="38" t="str">
        <f>IF(AND($BD13&lt;&gt;"H",$BD13&lt;&gt;"V"),"",IF(AY13=$BD13,1,0))</f>
        <v/>
      </c>
      <c r="AZ50" s="38"/>
      <c r="BA50" s="38"/>
      <c r="BB50" s="38"/>
      <c r="BH50" s="33"/>
      <c r="BI50" s="38" t="str">
        <f>IF(AND($BD13&lt;&gt;"H",$BD13&lt;&gt;"V"),"",IF(BI13=$BD13,1,0))</f>
        <v/>
      </c>
      <c r="BJ50" s="38"/>
      <c r="BK50" s="38"/>
      <c r="BL50" s="38"/>
      <c r="BN50" s="41"/>
      <c r="BO50" s="42"/>
      <c r="BP50" s="43"/>
      <c r="BQ50" s="44"/>
      <c r="BR50" s="44"/>
      <c r="BS50" s="44"/>
      <c r="BT50" s="44"/>
      <c r="BU50" s="44"/>
      <c r="BV50" s="44"/>
      <c r="BW50" s="44"/>
      <c r="BX50" s="44"/>
      <c r="BY50" s="44"/>
      <c r="BZ50" s="44"/>
      <c r="CA50" s="44"/>
      <c r="CB50" s="34"/>
      <c r="CC50" s="34"/>
      <c r="CD50" s="34"/>
      <c r="CE50" s="34"/>
      <c r="CF50" s="34"/>
      <c r="CG50" s="34"/>
      <c r="CH50" s="34"/>
      <c r="CI50" s="34"/>
      <c r="CJ50" s="34"/>
      <c r="CK50" s="34"/>
      <c r="CL50" s="34"/>
      <c r="CM50" s="34"/>
      <c r="CN50" s="34"/>
      <c r="CO50" s="34"/>
      <c r="CP50" s="34"/>
      <c r="CQ50" s="34"/>
      <c r="CR50" s="34"/>
      <c r="CS50" s="34"/>
      <c r="CT50" s="34"/>
      <c r="DK50" s="34"/>
      <c r="DL50" s="27" t="str">
        <f>CONCATENATE($DM$5,$K$7,$DN$5)</f>
        <v xml:space="preserve">   "H",</v>
      </c>
      <c r="DM50" s="37"/>
      <c r="DN50" s="37"/>
    </row>
    <row r="51" spans="1:118" s="32" customFormat="1" ht="15" hidden="1" customHeight="1" x14ac:dyDescent="0.2">
      <c r="A51" s="31"/>
      <c r="B51" s="31"/>
      <c r="C51" s="31"/>
      <c r="D51" s="31"/>
      <c r="E51" s="31"/>
      <c r="F51" s="40" t="s">
        <v>90</v>
      </c>
      <c r="G51" s="38" t="str">
        <f>IF(AND($BD14&lt;&gt;"H",$BD14&lt;&gt;"V"),"",IF(G14=$BD14,1,0))</f>
        <v/>
      </c>
      <c r="H51" s="38"/>
      <c r="I51" s="38"/>
      <c r="J51" s="38"/>
      <c r="K51" s="38" t="str">
        <f>IF(AND($BD14&lt;&gt;"H",$BD14&lt;&gt;"V"),"",IF(K14=$BD14,1,0))</f>
        <v/>
      </c>
      <c r="L51" s="38"/>
      <c r="M51" s="38"/>
      <c r="N51" s="38"/>
      <c r="O51" s="38" t="str">
        <f>IF(AND($BD14&lt;&gt;"H",$BD14&lt;&gt;"V"),"",IF(O14=$BD14,1,0))</f>
        <v/>
      </c>
      <c r="P51" s="38"/>
      <c r="Q51" s="38"/>
      <c r="R51" s="38"/>
      <c r="S51" s="38" t="str">
        <f>IF(AND($BD14&lt;&gt;"H",$BD14&lt;&gt;"V"),"",IF(S14=$BD14,1,0))</f>
        <v/>
      </c>
      <c r="T51" s="38"/>
      <c r="U51" s="38"/>
      <c r="V51" s="38"/>
      <c r="W51" s="38" t="str">
        <f>IF(AND($BD14&lt;&gt;"H",$BD14&lt;&gt;"V"),"",IF(W14=$BD14,1,0))</f>
        <v/>
      </c>
      <c r="X51" s="38"/>
      <c r="Y51" s="38"/>
      <c r="Z51" s="38"/>
      <c r="AA51" s="38" t="str">
        <f>IF(AND($BD14&lt;&gt;"H",$BD14&lt;&gt;"V"),"",IF(AA14=$BD14,1,0))</f>
        <v/>
      </c>
      <c r="AB51" s="38"/>
      <c r="AC51" s="38"/>
      <c r="AD51" s="38"/>
      <c r="AE51" s="38" t="str">
        <f>IF(AND($BD14&lt;&gt;"H",$BD14&lt;&gt;"V"),"",IF(AE14=$BD14,1,0))</f>
        <v/>
      </c>
      <c r="AF51" s="38"/>
      <c r="AG51" s="38"/>
      <c r="AH51" s="38"/>
      <c r="AI51" s="38" t="str">
        <f>IF(AND($BD14&lt;&gt;"H",$BD14&lt;&gt;"V"),"",IF(AI14=$BD14,1,0))</f>
        <v/>
      </c>
      <c r="AJ51" s="38"/>
      <c r="AK51" s="38"/>
      <c r="AL51" s="38"/>
      <c r="AM51" s="38" t="str">
        <f>IF(AND($BD14&lt;&gt;"H",$BD14&lt;&gt;"V"),"",IF(AM14=$BD14,1,0))</f>
        <v/>
      </c>
      <c r="AN51" s="38"/>
      <c r="AO51" s="38"/>
      <c r="AP51" s="38"/>
      <c r="AQ51" s="38" t="str">
        <f>IF(AND($BD14&lt;&gt;"H",$BD14&lt;&gt;"V"),"",IF(AQ14=$BD14,1,0))</f>
        <v/>
      </c>
      <c r="AR51" s="38"/>
      <c r="AS51" s="38"/>
      <c r="AT51" s="38"/>
      <c r="AU51" s="38" t="str">
        <f>IF(AND($BD14&lt;&gt;"H",$BD14&lt;&gt;"V"),"",IF(AU14=$BD14,1,0))</f>
        <v/>
      </c>
      <c r="AV51" s="38"/>
      <c r="AW51" s="38"/>
      <c r="AX51" s="38"/>
      <c r="AY51" s="38" t="str">
        <f>IF(AND($BD14&lt;&gt;"H",$BD14&lt;&gt;"V"),"",IF(AY14=$BD14,1,0))</f>
        <v/>
      </c>
      <c r="AZ51" s="38"/>
      <c r="BA51" s="38"/>
      <c r="BB51" s="38"/>
      <c r="BH51" s="33"/>
      <c r="BI51" s="38" t="str">
        <f>IF(AND($BD14&lt;&gt;"H",$BD14&lt;&gt;"V"),"",IF(BI14=$BD14,1,0))</f>
        <v/>
      </c>
      <c r="BJ51" s="38"/>
      <c r="BK51" s="38"/>
      <c r="BL51" s="38"/>
      <c r="BN51" s="41"/>
      <c r="BO51" s="42"/>
      <c r="BP51" s="43"/>
      <c r="BQ51" s="44"/>
      <c r="BR51" s="44"/>
      <c r="BS51" s="44"/>
      <c r="BT51" s="44"/>
      <c r="BU51" s="44"/>
      <c r="BV51" s="44"/>
      <c r="BW51" s="44"/>
      <c r="BX51" s="44"/>
      <c r="BY51" s="44"/>
      <c r="BZ51" s="44"/>
      <c r="CA51" s="44"/>
      <c r="CB51" s="34"/>
      <c r="CC51" s="34"/>
      <c r="CD51" s="34"/>
      <c r="CE51" s="34"/>
      <c r="CF51" s="34"/>
      <c r="CG51" s="34"/>
      <c r="CH51" s="34"/>
      <c r="CI51" s="34"/>
      <c r="CJ51" s="34"/>
      <c r="CK51" s="34"/>
      <c r="CL51" s="34"/>
      <c r="CM51" s="34"/>
      <c r="CN51" s="34"/>
      <c r="CO51" s="34"/>
      <c r="CP51" s="34"/>
      <c r="CQ51" s="34"/>
      <c r="CR51" s="34"/>
      <c r="CS51" s="34"/>
      <c r="CT51" s="34"/>
      <c r="DK51" s="34"/>
      <c r="DL51" s="27" t="str">
        <f>CONCATENATE($DM$5,$K$8,$DN$5)</f>
        <v xml:space="preserve">   "V",</v>
      </c>
      <c r="DM51" s="37"/>
      <c r="DN51" s="37"/>
    </row>
    <row r="52" spans="1:118" s="32" customFormat="1" ht="15" hidden="1" customHeight="1" x14ac:dyDescent="0.2">
      <c r="A52" s="31"/>
      <c r="B52" s="31"/>
      <c r="C52" s="31"/>
      <c r="D52" s="31"/>
      <c r="E52" s="31"/>
      <c r="F52" s="40" t="s">
        <v>91</v>
      </c>
      <c r="G52" s="38" t="str">
        <f>IF(AND($BD15&lt;&gt;"H",$BD15&lt;&gt;"V"),"",IF(G15=$BD15,1,0))</f>
        <v/>
      </c>
      <c r="H52" s="38"/>
      <c r="I52" s="38"/>
      <c r="J52" s="38"/>
      <c r="K52" s="38" t="str">
        <f>IF(AND($BD15&lt;&gt;"H",$BD15&lt;&gt;"V"),"",IF(K15=$BD15,1,0))</f>
        <v/>
      </c>
      <c r="L52" s="38"/>
      <c r="M52" s="38"/>
      <c r="N52" s="38"/>
      <c r="O52" s="38" t="str">
        <f>IF(AND($BD15&lt;&gt;"H",$BD15&lt;&gt;"V"),"",IF(O15=$BD15,1,0))</f>
        <v/>
      </c>
      <c r="P52" s="38"/>
      <c r="Q52" s="38"/>
      <c r="R52" s="38"/>
      <c r="S52" s="38" t="str">
        <f>IF(AND($BD15&lt;&gt;"H",$BD15&lt;&gt;"V"),"",IF(S15=$BD15,1,0))</f>
        <v/>
      </c>
      <c r="T52" s="38"/>
      <c r="U52" s="38"/>
      <c r="V52" s="38"/>
      <c r="W52" s="38" t="str">
        <f>IF(AND($BD15&lt;&gt;"H",$BD15&lt;&gt;"V"),"",IF(W15=$BD15,1,0))</f>
        <v/>
      </c>
      <c r="X52" s="38"/>
      <c r="Y52" s="38"/>
      <c r="Z52" s="38"/>
      <c r="AA52" s="38" t="str">
        <f>IF(AND($BD15&lt;&gt;"H",$BD15&lt;&gt;"V"),"",IF(AA15=$BD15,1,0))</f>
        <v/>
      </c>
      <c r="AB52" s="38"/>
      <c r="AC52" s="38"/>
      <c r="AD52" s="38"/>
      <c r="AE52" s="38" t="str">
        <f>IF(AND($BD15&lt;&gt;"H",$BD15&lt;&gt;"V"),"",IF(AE15=$BD15,1,0))</f>
        <v/>
      </c>
      <c r="AF52" s="38"/>
      <c r="AG52" s="38"/>
      <c r="AH52" s="38"/>
      <c r="AI52" s="38" t="str">
        <f>IF(AND($BD15&lt;&gt;"H",$BD15&lt;&gt;"V"),"",IF(AI15=$BD15,1,0))</f>
        <v/>
      </c>
      <c r="AJ52" s="38"/>
      <c r="AK52" s="38"/>
      <c r="AL52" s="38"/>
      <c r="AM52" s="38" t="str">
        <f>IF(AND($BD15&lt;&gt;"H",$BD15&lt;&gt;"V"),"",IF(AM15=$BD15,1,0))</f>
        <v/>
      </c>
      <c r="AN52" s="38"/>
      <c r="AO52" s="38"/>
      <c r="AP52" s="38"/>
      <c r="AQ52" s="38" t="str">
        <f>IF(AND($BD15&lt;&gt;"H",$BD15&lt;&gt;"V"),"",IF(AQ15=$BD15,1,0))</f>
        <v/>
      </c>
      <c r="AR52" s="38"/>
      <c r="AS52" s="38"/>
      <c r="AT52" s="38"/>
      <c r="AU52" s="38" t="str">
        <f>IF(AND($BD15&lt;&gt;"H",$BD15&lt;&gt;"V"),"",IF(AU15=$BD15,1,0))</f>
        <v/>
      </c>
      <c r="AV52" s="38"/>
      <c r="AW52" s="38"/>
      <c r="AX52" s="38"/>
      <c r="AY52" s="38" t="str">
        <f>IF(AND($BD15&lt;&gt;"H",$BD15&lt;&gt;"V"),"",IF(AY15=$BD15,1,0))</f>
        <v/>
      </c>
      <c r="AZ52" s="38"/>
      <c r="BA52" s="38"/>
      <c r="BB52" s="38"/>
      <c r="BH52" s="33"/>
      <c r="BI52" s="38" t="str">
        <f>IF(AND($BD15&lt;&gt;"H",$BD15&lt;&gt;"V"),"",IF(BI15=$BD15,1,0))</f>
        <v/>
      </c>
      <c r="BJ52" s="38"/>
      <c r="BK52" s="38"/>
      <c r="BL52" s="38"/>
      <c r="BN52" s="41"/>
      <c r="BO52" s="42"/>
      <c r="BP52" s="43"/>
      <c r="BQ52" s="44"/>
      <c r="BR52" s="44"/>
      <c r="BS52" s="44"/>
      <c r="BT52" s="44"/>
      <c r="BU52" s="44"/>
      <c r="BV52" s="44"/>
      <c r="BW52" s="44"/>
      <c r="BX52" s="44"/>
      <c r="BY52" s="44"/>
      <c r="BZ52" s="44"/>
      <c r="CA52" s="44"/>
      <c r="CB52" s="34"/>
      <c r="CC52" s="34"/>
      <c r="CD52" s="34"/>
      <c r="CE52" s="34"/>
      <c r="CF52" s="34"/>
      <c r="CG52" s="34"/>
      <c r="CH52" s="34"/>
      <c r="CI52" s="34"/>
      <c r="CJ52" s="34"/>
      <c r="CK52" s="34"/>
      <c r="CL52" s="34"/>
      <c r="CM52" s="34"/>
      <c r="CN52" s="34"/>
      <c r="CO52" s="34"/>
      <c r="CP52" s="34"/>
      <c r="CQ52" s="34"/>
      <c r="CR52" s="34"/>
      <c r="CS52" s="34"/>
      <c r="CT52" s="34"/>
      <c r="DK52" s="34"/>
      <c r="DL52" s="27" t="str">
        <f>CONCATENATE($DM$5,$K$13,$DN$5)</f>
        <v xml:space="preserve">   "",</v>
      </c>
      <c r="DM52" s="37"/>
      <c r="DN52" s="37"/>
    </row>
    <row r="53" spans="1:118" s="32" customFormat="1" ht="15" hidden="1" customHeight="1" x14ac:dyDescent="0.2">
      <c r="A53" s="31"/>
      <c r="B53" s="31"/>
      <c r="C53" s="31"/>
      <c r="D53" s="31"/>
      <c r="E53" s="31"/>
      <c r="F53" s="40" t="s">
        <v>92</v>
      </c>
      <c r="G53" s="38" t="str">
        <f>IF(AND($BD16&lt;&gt;"H",$BD16&lt;&gt;"V"),"",IF(G16=$BD16,1,0))</f>
        <v/>
      </c>
      <c r="H53" s="38"/>
      <c r="I53" s="38"/>
      <c r="J53" s="38"/>
      <c r="K53" s="38" t="str">
        <f>IF(AND($BD16&lt;&gt;"H",$BD16&lt;&gt;"V"),"",IF(K16=$BD16,1,0))</f>
        <v/>
      </c>
      <c r="L53" s="38"/>
      <c r="M53" s="38"/>
      <c r="N53" s="38"/>
      <c r="O53" s="38" t="str">
        <f>IF(AND($BD16&lt;&gt;"H",$BD16&lt;&gt;"V"),"",IF(O16=$BD16,1,0))</f>
        <v/>
      </c>
      <c r="P53" s="38"/>
      <c r="Q53" s="38"/>
      <c r="R53" s="38"/>
      <c r="S53" s="38" t="str">
        <f>IF(AND($BD16&lt;&gt;"H",$BD16&lt;&gt;"V"),"",IF(S16=$BD16,1,0))</f>
        <v/>
      </c>
      <c r="T53" s="38"/>
      <c r="U53" s="38"/>
      <c r="V53" s="38"/>
      <c r="W53" s="38" t="str">
        <f>IF(AND($BD16&lt;&gt;"H",$BD16&lt;&gt;"V"),"",IF(W16=$BD16,1,0))</f>
        <v/>
      </c>
      <c r="X53" s="38"/>
      <c r="Y53" s="38"/>
      <c r="Z53" s="38"/>
      <c r="AA53" s="38" t="str">
        <f>IF(AND($BD16&lt;&gt;"H",$BD16&lt;&gt;"V"),"",IF(AA16=$BD16,1,0))</f>
        <v/>
      </c>
      <c r="AB53" s="38"/>
      <c r="AC53" s="38"/>
      <c r="AD53" s="38"/>
      <c r="AE53" s="38" t="str">
        <f>IF(AND($BD16&lt;&gt;"H",$BD16&lt;&gt;"V"),"",IF(AE16=$BD16,1,0))</f>
        <v/>
      </c>
      <c r="AF53" s="38"/>
      <c r="AG53" s="38"/>
      <c r="AH53" s="38"/>
      <c r="AI53" s="38" t="str">
        <f>IF(AND($BD16&lt;&gt;"H",$BD16&lt;&gt;"V"),"",IF(AI16=$BD16,1,0))</f>
        <v/>
      </c>
      <c r="AJ53" s="38"/>
      <c r="AK53" s="38"/>
      <c r="AL53" s="38"/>
      <c r="AM53" s="38" t="str">
        <f>IF(AND($BD16&lt;&gt;"H",$BD16&lt;&gt;"V"),"",IF(AM16=$BD16,1,0))</f>
        <v/>
      </c>
      <c r="AN53" s="38"/>
      <c r="AO53" s="38"/>
      <c r="AP53" s="38"/>
      <c r="AQ53" s="38" t="str">
        <f>IF(AND($BD16&lt;&gt;"H",$BD16&lt;&gt;"V"),"",IF(AQ16=$BD16,1,0))</f>
        <v/>
      </c>
      <c r="AR53" s="38"/>
      <c r="AS53" s="38"/>
      <c r="AT53" s="38"/>
      <c r="AU53" s="38" t="str">
        <f>IF(AND($BD16&lt;&gt;"H",$BD16&lt;&gt;"V"),"",IF(AU16=$BD16,1,0))</f>
        <v/>
      </c>
      <c r="AV53" s="38"/>
      <c r="AW53" s="38"/>
      <c r="AX53" s="38"/>
      <c r="AY53" s="38" t="str">
        <f>IF(AND($BD16&lt;&gt;"H",$BD16&lt;&gt;"V"),"",IF(AY16=$BD16,1,0))</f>
        <v/>
      </c>
      <c r="AZ53" s="38"/>
      <c r="BA53" s="38"/>
      <c r="BB53" s="38"/>
      <c r="BH53" s="33"/>
      <c r="BI53" s="38" t="str">
        <f>IF(AND($BD16&lt;&gt;"H",$BD16&lt;&gt;"V"),"",IF(BI16=$BD16,1,0))</f>
        <v/>
      </c>
      <c r="BJ53" s="38"/>
      <c r="BK53" s="38"/>
      <c r="BL53" s="38"/>
      <c r="BN53" s="41"/>
      <c r="BO53" s="42"/>
      <c r="BP53" s="43"/>
      <c r="BQ53" s="44"/>
      <c r="BR53" s="44"/>
      <c r="BS53" s="44"/>
      <c r="BT53" s="44"/>
      <c r="BU53" s="44"/>
      <c r="BV53" s="44"/>
      <c r="BW53" s="44"/>
      <c r="BX53" s="44"/>
      <c r="BY53" s="44"/>
      <c r="BZ53" s="44"/>
      <c r="CA53" s="44"/>
      <c r="CB53" s="34"/>
      <c r="CC53" s="34"/>
      <c r="CD53" s="34"/>
      <c r="CE53" s="34"/>
      <c r="CF53" s="34"/>
      <c r="CG53" s="34"/>
      <c r="CH53" s="34"/>
      <c r="CI53" s="34"/>
      <c r="CJ53" s="34"/>
      <c r="CK53" s="34"/>
      <c r="CL53" s="34"/>
      <c r="CM53" s="34"/>
      <c r="CN53" s="34"/>
      <c r="CO53" s="34"/>
      <c r="CP53" s="34"/>
      <c r="CQ53" s="34"/>
      <c r="CR53" s="34"/>
      <c r="CS53" s="34"/>
      <c r="CT53" s="34"/>
      <c r="DK53" s="34"/>
      <c r="DL53" s="27" t="str">
        <f>CONCATENATE($DM$5,$K$14,$DN$5)</f>
        <v xml:space="preserve">   "",</v>
      </c>
      <c r="DM53" s="37"/>
      <c r="DN53" s="37"/>
    </row>
    <row r="54" spans="1:118" s="32" customFormat="1" ht="15" hidden="1" customHeight="1" x14ac:dyDescent="0.2">
      <c r="A54" s="31"/>
      <c r="B54" s="31"/>
      <c r="C54" s="31"/>
      <c r="D54" s="31"/>
      <c r="E54" s="31"/>
      <c r="F54" s="40" t="s">
        <v>93</v>
      </c>
      <c r="G54" s="38" t="str">
        <f>IF(AND($BD21&lt;&gt;"H",$BD21&lt;&gt;"V"),"",IF(G21=$BD21,1,0))</f>
        <v/>
      </c>
      <c r="H54" s="38"/>
      <c r="I54" s="38"/>
      <c r="J54" s="38"/>
      <c r="K54" s="38" t="str">
        <f>IF(AND($BD21&lt;&gt;"H",$BD21&lt;&gt;"V"),"",IF(K21=$BD21,1,0))</f>
        <v/>
      </c>
      <c r="L54" s="38"/>
      <c r="M54" s="38"/>
      <c r="N54" s="38"/>
      <c r="O54" s="38" t="str">
        <f>IF(AND($BD21&lt;&gt;"H",$BD21&lt;&gt;"V"),"",IF(O21=$BD21,1,0))</f>
        <v/>
      </c>
      <c r="P54" s="38"/>
      <c r="Q54" s="38"/>
      <c r="R54" s="38"/>
      <c r="S54" s="38" t="str">
        <f>IF(AND($BD21&lt;&gt;"H",$BD21&lt;&gt;"V"),"",IF(S21=$BD21,1,0))</f>
        <v/>
      </c>
      <c r="T54" s="38"/>
      <c r="U54" s="38"/>
      <c r="V54" s="38"/>
      <c r="W54" s="38" t="str">
        <f>IF(AND($BD21&lt;&gt;"H",$BD21&lt;&gt;"V"),"",IF(W21=$BD21,1,0))</f>
        <v/>
      </c>
      <c r="X54" s="38"/>
      <c r="Y54" s="38"/>
      <c r="Z54" s="38"/>
      <c r="AA54" s="38" t="str">
        <f>IF(AND($BD21&lt;&gt;"H",$BD21&lt;&gt;"V"),"",IF(AA21=$BD21,1,0))</f>
        <v/>
      </c>
      <c r="AB54" s="38"/>
      <c r="AC54" s="38"/>
      <c r="AD54" s="38"/>
      <c r="AE54" s="38" t="str">
        <f>IF(AND($BD21&lt;&gt;"H",$BD21&lt;&gt;"V"),"",IF(AE21=$BD21,1,0))</f>
        <v/>
      </c>
      <c r="AF54" s="38"/>
      <c r="AG54" s="38"/>
      <c r="AH54" s="38"/>
      <c r="AI54" s="38" t="str">
        <f>IF(AND($BD21&lt;&gt;"H",$BD21&lt;&gt;"V"),"",IF(AI21=$BD21,1,0))</f>
        <v/>
      </c>
      <c r="AJ54" s="38"/>
      <c r="AK54" s="38"/>
      <c r="AL54" s="38"/>
      <c r="AM54" s="38" t="str">
        <f>IF(AND($BD21&lt;&gt;"H",$BD21&lt;&gt;"V"),"",IF(AM21=$BD21,1,0))</f>
        <v/>
      </c>
      <c r="AN54" s="38"/>
      <c r="AO54" s="38"/>
      <c r="AP54" s="38"/>
      <c r="AQ54" s="38" t="str">
        <f>IF(AND($BD21&lt;&gt;"H",$BD21&lt;&gt;"V"),"",IF(AQ21=$BD21,1,0))</f>
        <v/>
      </c>
      <c r="AR54" s="38"/>
      <c r="AS54" s="38"/>
      <c r="AT54" s="38"/>
      <c r="AU54" s="38" t="str">
        <f>IF(AND($BD21&lt;&gt;"H",$BD21&lt;&gt;"V"),"",IF(AU21=$BD21,1,0))</f>
        <v/>
      </c>
      <c r="AV54" s="38"/>
      <c r="AW54" s="38"/>
      <c r="AX54" s="38"/>
      <c r="AY54" s="38" t="str">
        <f>IF(AND($BD21&lt;&gt;"H",$BD21&lt;&gt;"V"),"",IF(AY21=$BD21,1,0))</f>
        <v/>
      </c>
      <c r="AZ54" s="38"/>
      <c r="BA54" s="38"/>
      <c r="BB54" s="38"/>
      <c r="BH54" s="33"/>
      <c r="BI54" s="38" t="str">
        <f>IF(AND($BD21&lt;&gt;"H",$BD21&lt;&gt;"V"),"",IF(BI21=$BD21,1,0))</f>
        <v/>
      </c>
      <c r="BJ54" s="38"/>
      <c r="BK54" s="38"/>
      <c r="BL54" s="38"/>
      <c r="BN54" s="41"/>
      <c r="BO54" s="42"/>
      <c r="BP54" s="43"/>
      <c r="BQ54" s="44"/>
      <c r="BR54" s="44"/>
      <c r="BS54" s="44"/>
      <c r="BT54" s="44"/>
      <c r="BU54" s="44"/>
      <c r="BV54" s="44"/>
      <c r="BW54" s="44"/>
      <c r="BX54" s="44"/>
      <c r="BY54" s="44"/>
      <c r="BZ54" s="44"/>
      <c r="CA54" s="44"/>
      <c r="CB54" s="34"/>
      <c r="CC54" s="34"/>
      <c r="CD54" s="34"/>
      <c r="CE54" s="34"/>
      <c r="CF54" s="34"/>
      <c r="CG54" s="34"/>
      <c r="CH54" s="34"/>
      <c r="CI54" s="34"/>
      <c r="CJ54" s="34"/>
      <c r="CK54" s="34"/>
      <c r="CL54" s="34"/>
      <c r="CM54" s="34"/>
      <c r="CN54" s="34"/>
      <c r="CO54" s="34"/>
      <c r="CP54" s="34"/>
      <c r="CQ54" s="34"/>
      <c r="CR54" s="34"/>
      <c r="CS54" s="34"/>
      <c r="CT54" s="34"/>
      <c r="DK54" s="34"/>
      <c r="DL54" s="27" t="str">
        <f>CONCATENATE($DM$5,$K$15,$DN$5)</f>
        <v xml:space="preserve">   "",</v>
      </c>
      <c r="DM54" s="37"/>
      <c r="DN54" s="37"/>
    </row>
    <row r="55" spans="1:118" s="38" customFormat="1" ht="15" hidden="1" customHeight="1" x14ac:dyDescent="0.2">
      <c r="B55" s="31"/>
      <c r="C55" s="31"/>
      <c r="D55" s="31"/>
      <c r="E55" s="31"/>
      <c r="F55" s="40" t="s">
        <v>94</v>
      </c>
      <c r="G55" s="38" t="str">
        <f>IF(AND($BD22&lt;&gt;"H",$BD22&lt;&gt;"V"),"",IF(G22=$BD22,1,0))</f>
        <v/>
      </c>
      <c r="K55" s="38" t="str">
        <f>IF(AND($BD22&lt;&gt;"H",$BD22&lt;&gt;"V"),"",IF(K22=$BD22,1,0))</f>
        <v/>
      </c>
      <c r="O55" s="38" t="str">
        <f>IF(AND($BD22&lt;&gt;"H",$BD22&lt;&gt;"V"),"",IF(O22=$BD22,1,0))</f>
        <v/>
      </c>
      <c r="S55" s="38" t="str">
        <f>IF(AND($BD22&lt;&gt;"H",$BD22&lt;&gt;"V"),"",IF(S22=$BD22,1,0))</f>
        <v/>
      </c>
      <c r="W55" s="38" t="str">
        <f>IF(AND($BD22&lt;&gt;"H",$BD22&lt;&gt;"V"),"",IF(W22=$BD22,1,0))</f>
        <v/>
      </c>
      <c r="AA55" s="38" t="str">
        <f>IF(AND($BD22&lt;&gt;"H",$BD22&lt;&gt;"V"),"",IF(AA22=$BD22,1,0))</f>
        <v/>
      </c>
      <c r="AE55" s="38" t="str">
        <f>IF(AND($BD22&lt;&gt;"H",$BD22&lt;&gt;"V"),"",IF(AE22=$BD22,1,0))</f>
        <v/>
      </c>
      <c r="AI55" s="38" t="str">
        <f>IF(AND($BD22&lt;&gt;"H",$BD22&lt;&gt;"V"),"",IF(AI22=$BD22,1,0))</f>
        <v/>
      </c>
      <c r="AM55" s="38" t="str">
        <f>IF(AND($BD22&lt;&gt;"H",$BD22&lt;&gt;"V"),"",IF(AM22=$BD22,1,0))</f>
        <v/>
      </c>
      <c r="AQ55" s="38" t="str">
        <f>IF(AND($BD22&lt;&gt;"H",$BD22&lt;&gt;"V"),"",IF(AQ22=$BD22,1,0))</f>
        <v/>
      </c>
      <c r="AU55" s="38" t="str">
        <f>IF(AND($BD22&lt;&gt;"H",$BD22&lt;&gt;"V"),"",IF(AU22=$BD22,1,0))</f>
        <v/>
      </c>
      <c r="AY55" s="38" t="str">
        <f>IF(AND($BD22&lt;&gt;"H",$BD22&lt;&gt;"V"),"",IF(AY22=$BD22,1,0))</f>
        <v/>
      </c>
      <c r="BC55" s="32"/>
      <c r="BD55" s="32"/>
      <c r="BE55" s="32"/>
      <c r="BF55" s="32"/>
      <c r="BG55" s="32"/>
      <c r="BH55" s="33"/>
      <c r="BI55" s="38" t="str">
        <f>IF(AND($BD22&lt;&gt;"H",$BD22&lt;&gt;"V"),"",IF(BI22=$BD22,1,0))</f>
        <v/>
      </c>
      <c r="BM55" s="32"/>
      <c r="BN55" s="41"/>
      <c r="BO55" s="42"/>
      <c r="BP55" s="43"/>
      <c r="BQ55" s="44"/>
      <c r="BR55" s="44"/>
      <c r="BS55" s="44"/>
      <c r="BT55" s="44"/>
      <c r="BU55" s="44"/>
      <c r="BV55" s="44"/>
      <c r="BW55" s="44"/>
      <c r="BX55" s="44"/>
      <c r="BY55" s="44"/>
      <c r="BZ55" s="44"/>
      <c r="CA55" s="44"/>
      <c r="CB55" s="34"/>
      <c r="CC55" s="34"/>
      <c r="CD55" s="34"/>
      <c r="CE55" s="34"/>
      <c r="CF55" s="34"/>
      <c r="CG55" s="34"/>
      <c r="CH55" s="34"/>
      <c r="CI55" s="34"/>
      <c r="CJ55" s="34"/>
      <c r="CK55" s="34"/>
      <c r="CL55" s="34"/>
      <c r="CM55" s="34"/>
      <c r="CN55" s="34"/>
      <c r="CO55" s="34"/>
      <c r="CP55" s="34"/>
      <c r="CQ55" s="34"/>
      <c r="CR55" s="34"/>
      <c r="CS55" s="34"/>
      <c r="CT55" s="34"/>
      <c r="DK55" s="34"/>
      <c r="DL55" s="27" t="str">
        <f>CONCATENATE($DM$5,$K$16,$DN$5)</f>
        <v xml:space="preserve">   "",</v>
      </c>
      <c r="DM55" s="37"/>
      <c r="DN55" s="37"/>
    </row>
    <row r="56" spans="1:118" s="31" customFormat="1" ht="15" hidden="1" customHeight="1" x14ac:dyDescent="0.2">
      <c r="F56" s="40" t="s">
        <v>95</v>
      </c>
      <c r="G56" s="38" t="str">
        <f>IF(AND($BD27&lt;&gt;"H",$BD27&lt;&gt;"V"),"",IF(G27=$BD27,1,0))</f>
        <v/>
      </c>
      <c r="H56" s="38"/>
      <c r="I56" s="38"/>
      <c r="J56" s="38"/>
      <c r="K56" s="38" t="str">
        <f>IF(AND($BD27&lt;&gt;"H",$BD27&lt;&gt;"V"),"",IF(K27=$BD27,1,0))</f>
        <v/>
      </c>
      <c r="L56" s="38"/>
      <c r="M56" s="38"/>
      <c r="N56" s="38"/>
      <c r="O56" s="38" t="str">
        <f>IF(AND($BD27&lt;&gt;"H",$BD27&lt;&gt;"V"),"",IF(O27=$BD27,1,0))</f>
        <v/>
      </c>
      <c r="P56" s="38"/>
      <c r="Q56" s="38"/>
      <c r="R56" s="38"/>
      <c r="S56" s="38" t="str">
        <f>IF(AND($BD27&lt;&gt;"H",$BD27&lt;&gt;"V"),"",IF(S27=$BD27,1,0))</f>
        <v/>
      </c>
      <c r="T56" s="38"/>
      <c r="U56" s="38"/>
      <c r="V56" s="38"/>
      <c r="W56" s="38" t="str">
        <f>IF(AND($BD27&lt;&gt;"H",$BD27&lt;&gt;"V"),"",IF(W27=$BD27,1,0))</f>
        <v/>
      </c>
      <c r="X56" s="38"/>
      <c r="Y56" s="38"/>
      <c r="Z56" s="38"/>
      <c r="AA56" s="38" t="str">
        <f>IF(AND($BD27&lt;&gt;"H",$BD27&lt;&gt;"V"),"",IF(AA27=$BD27,1,0))</f>
        <v/>
      </c>
      <c r="AB56" s="38"/>
      <c r="AC56" s="38"/>
      <c r="AD56" s="38"/>
      <c r="AE56" s="38" t="str">
        <f>IF(AND($BD27&lt;&gt;"H",$BD27&lt;&gt;"V"),"",IF(AE27=$BD27,1,0))</f>
        <v/>
      </c>
      <c r="AF56" s="38"/>
      <c r="AG56" s="38"/>
      <c r="AH56" s="38"/>
      <c r="AI56" s="38" t="str">
        <f>IF(AND($BD27&lt;&gt;"H",$BD27&lt;&gt;"V"),"",IF(AI27=$BD27,1,0))</f>
        <v/>
      </c>
      <c r="AJ56" s="38"/>
      <c r="AK56" s="38"/>
      <c r="AL56" s="38"/>
      <c r="AM56" s="38" t="str">
        <f>IF(AND($BD27&lt;&gt;"H",$BD27&lt;&gt;"V"),"",IF(AM27=$BD27,1,0))</f>
        <v/>
      </c>
      <c r="AN56" s="38"/>
      <c r="AO56" s="38"/>
      <c r="AP56" s="38"/>
      <c r="AQ56" s="38" t="str">
        <f>IF(AND($BD27&lt;&gt;"H",$BD27&lt;&gt;"V"),"",IF(AQ27=$BD27,1,0))</f>
        <v/>
      </c>
      <c r="AR56" s="38"/>
      <c r="AS56" s="38"/>
      <c r="AT56" s="38"/>
      <c r="AU56" s="38" t="str">
        <f>IF(AND($BD27&lt;&gt;"H",$BD27&lt;&gt;"V"),"",IF(AU27=$BD27,1,0))</f>
        <v/>
      </c>
      <c r="AV56" s="38"/>
      <c r="AW56" s="38"/>
      <c r="AX56" s="38"/>
      <c r="AY56" s="38" t="str">
        <f>IF(AND($BD27&lt;&gt;"H",$BD27&lt;&gt;"V"),"",IF(AY27=$BD27,1,0))</f>
        <v/>
      </c>
      <c r="AZ56" s="38"/>
      <c r="BA56" s="38"/>
      <c r="BB56" s="38"/>
      <c r="BC56" s="32"/>
      <c r="BD56" s="32"/>
      <c r="BE56" s="32"/>
      <c r="BF56" s="32"/>
      <c r="BG56" s="32"/>
      <c r="BH56" s="33"/>
      <c r="BI56" s="38" t="str">
        <f>IF(AND($BD27&lt;&gt;"H",$BD27&lt;&gt;"V"),"",IF(BI27=$BD27,1,0))</f>
        <v/>
      </c>
      <c r="BJ56" s="38"/>
      <c r="BK56" s="38"/>
      <c r="BL56" s="38"/>
      <c r="BM56" s="32"/>
      <c r="BN56" s="41"/>
      <c r="BO56" s="42"/>
      <c r="BP56" s="43"/>
      <c r="BQ56" s="44"/>
      <c r="BR56" s="44"/>
      <c r="BS56" s="44"/>
      <c r="BT56" s="44"/>
      <c r="BU56" s="44"/>
      <c r="BV56" s="44"/>
      <c r="BW56" s="44"/>
      <c r="BX56" s="44"/>
      <c r="BY56" s="44"/>
      <c r="BZ56" s="44"/>
      <c r="CA56" s="44"/>
      <c r="CB56" s="34"/>
      <c r="CC56" s="34"/>
      <c r="CD56" s="34"/>
      <c r="CE56" s="34"/>
      <c r="CF56" s="34"/>
      <c r="CG56" s="34"/>
      <c r="CH56" s="34"/>
      <c r="CI56" s="34"/>
      <c r="CJ56" s="34"/>
      <c r="CK56" s="34"/>
      <c r="CL56" s="34"/>
      <c r="CM56" s="34"/>
      <c r="CN56" s="34"/>
      <c r="CO56" s="34"/>
      <c r="CP56" s="34"/>
      <c r="CQ56" s="34"/>
      <c r="CR56" s="34"/>
      <c r="CS56" s="34"/>
      <c r="CT56" s="34"/>
      <c r="DK56" s="34"/>
      <c r="DL56" s="27" t="str">
        <f>CONCATENATE($DM$5,$K$21,$DN$5)</f>
        <v xml:space="preserve">   "",</v>
      </c>
      <c r="DM56" s="37"/>
      <c r="DN56" s="37"/>
    </row>
    <row r="57" spans="1:118" s="31" customFormat="1" ht="15" hidden="1" customHeight="1" x14ac:dyDescent="0.2">
      <c r="F57" s="40" t="s">
        <v>115</v>
      </c>
      <c r="G57" s="47"/>
      <c r="H57" s="47"/>
      <c r="I57" s="47"/>
      <c r="J57" s="47">
        <f>IF(J9="",999,IF(J9&lt;0,ABS(J9)+0.1,ABS(J9)))</f>
        <v>999</v>
      </c>
      <c r="K57" s="47"/>
      <c r="L57" s="47"/>
      <c r="M57" s="47"/>
      <c r="N57" s="47">
        <f>IF(N9="",999,IF(N9&lt;0,ABS(N9)+0.1,ABS(N9)))</f>
        <v>999</v>
      </c>
      <c r="O57" s="47"/>
      <c r="P57" s="47"/>
      <c r="Q57" s="47"/>
      <c r="R57" s="47">
        <f>IF(R9="",999,IF(R9&lt;0,ABS(R9)+0.1,ABS(R9)))</f>
        <v>999</v>
      </c>
      <c r="S57" s="47"/>
      <c r="T57" s="47"/>
      <c r="U57" s="47"/>
      <c r="V57" s="47">
        <f>IF(V9="",999,IF(V9&lt;0,ABS(V9)+0.1,ABS(V9)))</f>
        <v>999</v>
      </c>
      <c r="W57" s="47"/>
      <c r="X57" s="47"/>
      <c r="Y57" s="47"/>
      <c r="Z57" s="47">
        <f>IF(Z9="",999,IF(Z9&lt;0,ABS(Z9)+0.1,ABS(Z9)))</f>
        <v>999</v>
      </c>
      <c r="AA57" s="47"/>
      <c r="AB57" s="47"/>
      <c r="AC57" s="47"/>
      <c r="AD57" s="47">
        <f>IF(AD9="",999,IF(AD9&lt;0,ABS(AD9)+0.1,ABS(AD9)))</f>
        <v>999</v>
      </c>
      <c r="AE57" s="47"/>
      <c r="AF57" s="47"/>
      <c r="AG57" s="47"/>
      <c r="AH57" s="47">
        <f>IF(AH9="",999,IF(AH9&lt;0,ABS(AH9)+0.1,ABS(AH9)))</f>
        <v>999</v>
      </c>
      <c r="AI57" s="47"/>
      <c r="AJ57" s="47"/>
      <c r="AK57" s="47"/>
      <c r="AL57" s="47">
        <f>IF(AL9="",999,IF(AL9&lt;0,ABS(AL9)+0.1,ABS(AL9)))</f>
        <v>999</v>
      </c>
      <c r="AM57" s="47"/>
      <c r="AN57" s="47"/>
      <c r="AO57" s="47"/>
      <c r="AP57" s="47">
        <f>IF(AP9="",999,IF(AP9&lt;0,ABS(AP9)+0.1,ABS(AP9)))</f>
        <v>999</v>
      </c>
      <c r="AQ57" s="47"/>
      <c r="AR57" s="47"/>
      <c r="AS57" s="47"/>
      <c r="AT57" s="47">
        <f>IF(AT9="",999,IF(AT9&lt;0,ABS(AT9)+0.1,ABS(AT9)))</f>
        <v>999</v>
      </c>
      <c r="AU57" s="47"/>
      <c r="AV57" s="47"/>
      <c r="AW57" s="47"/>
      <c r="AX57" s="47">
        <f>IF(AX9="",999,IF(AX9&lt;0,ABS(AX9)+0.1,ABS(AX9)))</f>
        <v>999</v>
      </c>
      <c r="AY57" s="47"/>
      <c r="AZ57" s="47"/>
      <c r="BA57" s="47"/>
      <c r="BB57" s="47">
        <f>IF(BB9="",999,IF(BB9&lt;0,ABS(BB9)+0.1,ABS(BB9)))</f>
        <v>999</v>
      </c>
      <c r="BC57" s="32"/>
      <c r="BD57" s="32"/>
      <c r="BE57" s="32"/>
      <c r="BF57" s="32"/>
      <c r="BG57" s="32"/>
      <c r="BH57" s="33"/>
      <c r="BI57" s="38"/>
      <c r="BJ57" s="38"/>
      <c r="BK57" s="38"/>
      <c r="BL57" s="38"/>
      <c r="BM57" s="32"/>
      <c r="BN57" s="41"/>
      <c r="BO57" s="42"/>
      <c r="BP57" s="43"/>
      <c r="BQ57" s="44"/>
      <c r="BR57" s="44"/>
      <c r="BS57" s="44"/>
      <c r="BT57" s="44"/>
      <c r="BU57" s="44"/>
      <c r="BV57" s="44"/>
      <c r="BW57" s="44"/>
      <c r="BX57" s="44"/>
      <c r="BY57" s="44"/>
      <c r="BZ57" s="44"/>
      <c r="CA57" s="44"/>
      <c r="CB57" s="34"/>
      <c r="CC57" s="34"/>
      <c r="CD57" s="34"/>
      <c r="CE57" s="34"/>
      <c r="CF57" s="34"/>
      <c r="CG57" s="34"/>
      <c r="CH57" s="34"/>
      <c r="CI57" s="34"/>
      <c r="CJ57" s="34"/>
      <c r="CK57" s="34"/>
      <c r="CL57" s="34"/>
      <c r="CM57" s="34"/>
      <c r="CN57" s="34"/>
      <c r="CO57" s="34"/>
      <c r="CP57" s="34"/>
      <c r="CQ57" s="34"/>
      <c r="CR57" s="34"/>
      <c r="CS57" s="34"/>
      <c r="CT57" s="34"/>
      <c r="DK57" s="34"/>
      <c r="DL57" s="27" t="str">
        <f>CONCATENATE($DM$5,$K$22,$DN$5)</f>
        <v xml:space="preserve">   "",</v>
      </c>
      <c r="DM57" s="37"/>
      <c r="DN57" s="37"/>
    </row>
    <row r="58" spans="1:118" s="31" customFormat="1" ht="15" hidden="1" customHeight="1" x14ac:dyDescent="0.2">
      <c r="F58" s="40" t="s">
        <v>116</v>
      </c>
      <c r="G58" s="47"/>
      <c r="H58" s="47"/>
      <c r="I58" s="47"/>
      <c r="J58" s="47">
        <f>IF(J17="",999,IF(J17&lt;0,ABS(J17)+0.1,ABS(J17)))</f>
        <v>999</v>
      </c>
      <c r="K58" s="47"/>
      <c r="L58" s="47"/>
      <c r="M58" s="47"/>
      <c r="N58" s="47">
        <f>IF(N17="",999,IF(N17&lt;0,ABS(N17)+0.1,ABS(N17)))</f>
        <v>999</v>
      </c>
      <c r="O58" s="47"/>
      <c r="P58" s="47"/>
      <c r="Q58" s="47"/>
      <c r="R58" s="47">
        <f>IF(R17="",999,IF(R17&lt;0,ABS(R17)+0.1,ABS(R17)))</f>
        <v>999</v>
      </c>
      <c r="S58" s="47"/>
      <c r="T58" s="47"/>
      <c r="U58" s="47"/>
      <c r="V58" s="47">
        <f>IF(V17="",999,IF(V17&lt;0,ABS(V17)+0.1,ABS(V17)))</f>
        <v>999</v>
      </c>
      <c r="W58" s="47"/>
      <c r="X58" s="47"/>
      <c r="Y58" s="47"/>
      <c r="Z58" s="47">
        <f>IF(Z17="",999,IF(Z17&lt;0,ABS(Z17)+0.1,ABS(Z17)))</f>
        <v>999</v>
      </c>
      <c r="AA58" s="47"/>
      <c r="AB58" s="47"/>
      <c r="AC58" s="47"/>
      <c r="AD58" s="47">
        <f>IF(AD17="",999,IF(AD17&lt;0,ABS(AD17)+0.1,ABS(AD17)))</f>
        <v>999</v>
      </c>
      <c r="AE58" s="47"/>
      <c r="AF58" s="47"/>
      <c r="AG58" s="47"/>
      <c r="AH58" s="47">
        <f>IF(AH17="",999,IF(AH17&lt;0,ABS(AH17)+0.1,ABS(AH17)))</f>
        <v>999</v>
      </c>
      <c r="AI58" s="47"/>
      <c r="AJ58" s="47"/>
      <c r="AK58" s="47"/>
      <c r="AL58" s="47">
        <f>IF(AL17="",999,IF(AL17&lt;0,ABS(AL17)+0.1,ABS(AL17)))</f>
        <v>999</v>
      </c>
      <c r="AM58" s="47"/>
      <c r="AN58" s="47"/>
      <c r="AO58" s="47"/>
      <c r="AP58" s="47">
        <f>IF(AP17="",999,IF(AP17&lt;0,ABS(AP17)+0.1,ABS(AP17)))</f>
        <v>999</v>
      </c>
      <c r="AQ58" s="47"/>
      <c r="AR58" s="47"/>
      <c r="AS58" s="47"/>
      <c r="AT58" s="47">
        <f>IF(AT17="",999,IF(AT17&lt;0,ABS(AT17)+0.1,ABS(AT17)))</f>
        <v>999</v>
      </c>
      <c r="AU58" s="47"/>
      <c r="AV58" s="47"/>
      <c r="AW58" s="47"/>
      <c r="AX58" s="47">
        <f>IF(AX17="",999,IF(AX17&lt;0,ABS(AX17)+0.1,ABS(AX17)))</f>
        <v>999</v>
      </c>
      <c r="AY58" s="47"/>
      <c r="AZ58" s="47"/>
      <c r="BA58" s="47"/>
      <c r="BB58" s="47">
        <f>IF(BB17="",999,IF(BB17&lt;0,ABS(BB17)+0.1,ABS(BB17)))</f>
        <v>999</v>
      </c>
      <c r="BC58" s="32"/>
      <c r="BD58" s="32"/>
      <c r="BE58" s="32"/>
      <c r="BF58" s="32"/>
      <c r="BG58" s="32"/>
      <c r="BH58" s="33"/>
      <c r="BI58" s="38"/>
      <c r="BJ58" s="38"/>
      <c r="BK58" s="38"/>
      <c r="BL58" s="38"/>
      <c r="BM58" s="32"/>
      <c r="BN58" s="41"/>
      <c r="BO58" s="42"/>
      <c r="BP58" s="43"/>
      <c r="BQ58" s="44"/>
      <c r="BR58" s="44"/>
      <c r="BS58" s="44"/>
      <c r="BT58" s="44"/>
      <c r="BU58" s="44"/>
      <c r="BV58" s="44"/>
      <c r="BW58" s="44"/>
      <c r="BX58" s="44"/>
      <c r="BY58" s="44"/>
      <c r="BZ58" s="44"/>
      <c r="CA58" s="44"/>
      <c r="CB58" s="34"/>
      <c r="CC58" s="34"/>
      <c r="CD58" s="34"/>
      <c r="CE58" s="34"/>
      <c r="CF58" s="34"/>
      <c r="CG58" s="34"/>
      <c r="CH58" s="34"/>
      <c r="CI58" s="34"/>
      <c r="CJ58" s="34"/>
      <c r="CK58" s="34"/>
      <c r="CL58" s="34"/>
      <c r="CM58" s="34"/>
      <c r="CN58" s="34"/>
      <c r="CO58" s="34"/>
      <c r="CP58" s="34"/>
      <c r="CQ58" s="34"/>
      <c r="CR58" s="34"/>
      <c r="CS58" s="34"/>
      <c r="CT58" s="34"/>
      <c r="DK58" s="34"/>
      <c r="DL58" s="27" t="str">
        <f>CONCATENATE($DM$5,$K$27,$DN$6)</f>
        <v xml:space="preserve">   ""</v>
      </c>
      <c r="DM58" s="37"/>
      <c r="DN58" s="37"/>
    </row>
    <row r="59" spans="1:118" s="31" customFormat="1" ht="15" hidden="1" customHeight="1" x14ac:dyDescent="0.2">
      <c r="F59" s="40" t="s">
        <v>117</v>
      </c>
      <c r="G59" s="38"/>
      <c r="H59" s="38"/>
      <c r="I59" s="38"/>
      <c r="J59" s="47">
        <f>IF(J23="",999,IF(J23&lt;0,ABS(J23)+0.1,ABS(J23)))</f>
        <v>999</v>
      </c>
      <c r="K59" s="38"/>
      <c r="L59" s="38"/>
      <c r="M59" s="38"/>
      <c r="N59" s="47">
        <f>IF(N23="",999,IF(N23&lt;0,ABS(N23)+0.1,ABS(N23)))</f>
        <v>999</v>
      </c>
      <c r="O59" s="38"/>
      <c r="P59" s="38"/>
      <c r="Q59" s="38"/>
      <c r="R59" s="47">
        <f>IF(R23="",999,IF(R23&lt;0,ABS(R23)+0.1,ABS(R23)))</f>
        <v>999</v>
      </c>
      <c r="S59" s="38"/>
      <c r="T59" s="38"/>
      <c r="U59" s="38"/>
      <c r="V59" s="47">
        <f>IF(V23="",999,IF(V23&lt;0,ABS(V23)+0.1,ABS(V23)))</f>
        <v>999</v>
      </c>
      <c r="W59" s="38"/>
      <c r="X59" s="38"/>
      <c r="Y59" s="38"/>
      <c r="Z59" s="47">
        <f>IF(Z23="",999,IF(Z23&lt;0,ABS(Z23)+0.1,ABS(Z23)))</f>
        <v>999</v>
      </c>
      <c r="AA59" s="38"/>
      <c r="AB59" s="38"/>
      <c r="AC59" s="38"/>
      <c r="AD59" s="47">
        <f>IF(AD23="",999,IF(AD23&lt;0,ABS(AD23)+0.1,ABS(AD23)))</f>
        <v>999</v>
      </c>
      <c r="AE59" s="38"/>
      <c r="AF59" s="38"/>
      <c r="AG59" s="38"/>
      <c r="AH59" s="47">
        <f>IF(AH23="",999,IF(AH23&lt;0,ABS(AH23)+0.1,ABS(AH23)))</f>
        <v>999</v>
      </c>
      <c r="AI59" s="38"/>
      <c r="AJ59" s="38"/>
      <c r="AK59" s="38"/>
      <c r="AL59" s="47">
        <f>IF(AL23="",999,IF(AL23&lt;0,ABS(AL23)+0.1,ABS(AL23)))</f>
        <v>999</v>
      </c>
      <c r="AM59" s="38"/>
      <c r="AN59" s="38"/>
      <c r="AO59" s="38"/>
      <c r="AP59" s="47">
        <f>IF(AP23="",999,IF(AP23&lt;0,ABS(AP23)+0.1,ABS(AP23)))</f>
        <v>999</v>
      </c>
      <c r="AQ59" s="38"/>
      <c r="AR59" s="38"/>
      <c r="AS59" s="38"/>
      <c r="AT59" s="47">
        <f>IF(AT23="",999,IF(AT23&lt;0,ABS(AT23)+0.1,ABS(AT23)))</f>
        <v>999</v>
      </c>
      <c r="AU59" s="38"/>
      <c r="AV59" s="38"/>
      <c r="AW59" s="38"/>
      <c r="AX59" s="47">
        <f>IF(AX23="",999,IF(AX23&lt;0,ABS(AX23)+0.1,ABS(AX23)))</f>
        <v>999</v>
      </c>
      <c r="AY59" s="38"/>
      <c r="AZ59" s="38"/>
      <c r="BA59" s="38"/>
      <c r="BB59" s="47">
        <f>IF(BB23="",999,IF(BB23&lt;0,ABS(BB23)+0.1,ABS(BB23)))</f>
        <v>999</v>
      </c>
      <c r="BC59" s="32"/>
      <c r="BD59" s="32"/>
      <c r="BE59" s="32"/>
      <c r="BF59" s="32"/>
      <c r="BG59" s="32"/>
      <c r="BH59" s="33"/>
      <c r="BI59" s="38"/>
      <c r="BJ59" s="38"/>
      <c r="BK59" s="38"/>
      <c r="BL59" s="38"/>
      <c r="BM59" s="32"/>
      <c r="BN59" s="41"/>
      <c r="BO59" s="42"/>
      <c r="BP59" s="43"/>
      <c r="BQ59" s="44"/>
      <c r="BR59" s="44"/>
      <c r="BS59" s="44"/>
      <c r="BT59" s="44"/>
      <c r="BU59" s="44"/>
      <c r="BV59" s="44"/>
      <c r="BW59" s="44"/>
      <c r="BX59" s="44"/>
      <c r="BY59" s="44"/>
      <c r="BZ59" s="44"/>
      <c r="CA59" s="44"/>
      <c r="CB59" s="34"/>
      <c r="CC59" s="34"/>
      <c r="CD59" s="34"/>
      <c r="CE59" s="34"/>
      <c r="CF59" s="34"/>
      <c r="CG59" s="34"/>
      <c r="CH59" s="34"/>
      <c r="CI59" s="34"/>
      <c r="CJ59" s="34"/>
      <c r="CK59" s="34"/>
      <c r="CL59" s="34"/>
      <c r="CM59" s="34"/>
      <c r="CN59" s="34"/>
      <c r="CO59" s="34"/>
      <c r="CP59" s="34"/>
      <c r="CQ59" s="34"/>
      <c r="CR59" s="34"/>
      <c r="CS59" s="34"/>
      <c r="CT59" s="34"/>
      <c r="DK59" s="34"/>
      <c r="DL59" s="27" t="s">
        <v>28</v>
      </c>
      <c r="DM59" s="37"/>
      <c r="DN59" s="37"/>
    </row>
    <row r="60" spans="1:118" s="31" customFormat="1" ht="15" hidden="1" customHeight="1" x14ac:dyDescent="0.2">
      <c r="F60" s="40" t="s">
        <v>118</v>
      </c>
      <c r="G60" s="38"/>
      <c r="H60" s="38"/>
      <c r="I60" s="38"/>
      <c r="J60" s="47">
        <f>IF(J28="",999,IF(J28&lt;0,ABS(J28)+0.1,ABS(J28)))</f>
        <v>999</v>
      </c>
      <c r="K60" s="38"/>
      <c r="L60" s="38"/>
      <c r="M60" s="38"/>
      <c r="N60" s="47">
        <f>IF(N28="",999,IF(N28&lt;0,ABS(N28)+0.1,ABS(N28)))</f>
        <v>999</v>
      </c>
      <c r="O60" s="38"/>
      <c r="P60" s="38"/>
      <c r="Q60" s="38"/>
      <c r="R60" s="47">
        <f>IF(R28="",999,IF(R28&lt;0,ABS(R28)+0.1,ABS(R28)))</f>
        <v>999</v>
      </c>
      <c r="S60" s="38"/>
      <c r="T60" s="38"/>
      <c r="U60" s="38"/>
      <c r="V60" s="47">
        <f>IF(V28="",999,IF(V28&lt;0,ABS(V28)+0.1,ABS(V28)))</f>
        <v>999</v>
      </c>
      <c r="W60" s="38"/>
      <c r="X60" s="38"/>
      <c r="Y60" s="38"/>
      <c r="Z60" s="47">
        <f>IF(Z28="",999,IF(Z28&lt;0,ABS(Z28)+0.1,ABS(Z28)))</f>
        <v>999</v>
      </c>
      <c r="AA60" s="38"/>
      <c r="AB60" s="38"/>
      <c r="AC60" s="38"/>
      <c r="AD60" s="47">
        <f>IF(AD28="",999,IF(AD28&lt;0,ABS(AD28)+0.1,ABS(AD28)))</f>
        <v>999</v>
      </c>
      <c r="AE60" s="38"/>
      <c r="AF60" s="38"/>
      <c r="AG60" s="38"/>
      <c r="AH60" s="47">
        <f>IF(AH28="",999,IF(AH28&lt;0,ABS(AH28)+0.1,ABS(AH28)))</f>
        <v>999</v>
      </c>
      <c r="AI60" s="38"/>
      <c r="AJ60" s="38"/>
      <c r="AK60" s="38"/>
      <c r="AL60" s="47">
        <f>IF(AL28="",999,IF(AL28&lt;0,ABS(AL28)+0.1,ABS(AL28)))</f>
        <v>999</v>
      </c>
      <c r="AM60" s="38"/>
      <c r="AN60" s="38"/>
      <c r="AO60" s="38"/>
      <c r="AP60" s="47">
        <f>IF(AP28="",999,IF(AP28&lt;0,ABS(AP28)+0.1,ABS(AP28)))</f>
        <v>999</v>
      </c>
      <c r="AQ60" s="38"/>
      <c r="AR60" s="38"/>
      <c r="AS60" s="38"/>
      <c r="AT60" s="47">
        <f>IF(AT28="",999,IF(AT28&lt;0,ABS(AT28)+0.1,ABS(AT28)))</f>
        <v>999</v>
      </c>
      <c r="AU60" s="38"/>
      <c r="AV60" s="38"/>
      <c r="AW60" s="38"/>
      <c r="AX60" s="47">
        <f>IF(AX28="",999,IF(AX28&lt;0,ABS(AX28)+0.1,ABS(AX28)))</f>
        <v>999</v>
      </c>
      <c r="AY60" s="38"/>
      <c r="AZ60" s="38"/>
      <c r="BA60" s="38"/>
      <c r="BB60" s="47">
        <f>IF(BB28="",999,IF(BB28&lt;0,ABS(BB28)+0.1,ABS(BB28)))</f>
        <v>999</v>
      </c>
      <c r="BC60" s="32"/>
      <c r="BD60" s="32"/>
      <c r="BE60" s="32"/>
      <c r="BF60" s="32"/>
      <c r="BG60" s="32"/>
      <c r="BH60" s="33"/>
      <c r="BI60" s="38"/>
      <c r="BJ60" s="38"/>
      <c r="BK60" s="38"/>
      <c r="BL60" s="38"/>
      <c r="BM60" s="32"/>
      <c r="BN60" s="41"/>
      <c r="BO60" s="42"/>
      <c r="BP60" s="43"/>
      <c r="BQ60" s="44"/>
      <c r="BR60" s="44"/>
      <c r="BS60" s="44"/>
      <c r="BT60" s="44"/>
      <c r="BU60" s="44"/>
      <c r="BV60" s="44"/>
      <c r="BW60" s="44"/>
      <c r="BX60" s="44"/>
      <c r="BY60" s="44"/>
      <c r="BZ60" s="44"/>
      <c r="CA60" s="44"/>
      <c r="CB60" s="34"/>
      <c r="CC60" s="34"/>
      <c r="CD60" s="34"/>
      <c r="CE60" s="34"/>
      <c r="CF60" s="34"/>
      <c r="CG60" s="34"/>
      <c r="CH60" s="34"/>
      <c r="CI60" s="34"/>
      <c r="CJ60" s="34"/>
      <c r="CK60" s="34"/>
      <c r="CL60" s="34"/>
      <c r="CM60" s="34"/>
      <c r="CN60" s="34"/>
      <c r="CO60" s="34"/>
      <c r="CP60" s="34"/>
      <c r="CQ60" s="34"/>
      <c r="CR60" s="34"/>
      <c r="CS60" s="34"/>
      <c r="CT60" s="34"/>
      <c r="DK60" s="34"/>
      <c r="DL60" s="27"/>
      <c r="DM60" s="37"/>
      <c r="DN60" s="37"/>
    </row>
    <row r="61" spans="1:118" s="31" customFormat="1" ht="15" hidden="1" customHeight="1" x14ac:dyDescent="0.2">
      <c r="F61" s="40" t="s">
        <v>96</v>
      </c>
      <c r="G61" s="48" t="str">
        <f>G2</f>
        <v>BM</v>
      </c>
      <c r="H61" s="48" t="str">
        <f>K2</f>
        <v>CK</v>
      </c>
      <c r="I61" s="48" t="str">
        <f>O2</f>
        <v>CP</v>
      </c>
      <c r="J61" s="48" t="str">
        <f>S2</f>
        <v>DC</v>
      </c>
      <c r="K61" s="48" t="str">
        <f>W2</f>
        <v>DH</v>
      </c>
      <c r="L61" s="48" t="str">
        <f>AA2</f>
        <v>JG</v>
      </c>
      <c r="M61" s="48" t="str">
        <f>AE2</f>
        <v>JH</v>
      </c>
      <c r="N61" s="48" t="str">
        <f>AI2</f>
        <v>JL</v>
      </c>
      <c r="O61" s="48" t="str">
        <f>AM2</f>
        <v>KC</v>
      </c>
      <c r="P61" s="48" t="str">
        <f>AQ2</f>
        <v>KK</v>
      </c>
      <c r="Q61" s="48" t="str">
        <f>AU2</f>
        <v>MB</v>
      </c>
      <c r="R61" s="48" t="str">
        <f>AY2</f>
        <v>RR</v>
      </c>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2"/>
      <c r="BD61" s="32"/>
      <c r="BE61" s="32"/>
      <c r="BF61" s="32"/>
      <c r="BG61" s="32"/>
      <c r="BH61" s="33"/>
      <c r="BI61" s="38"/>
      <c r="BJ61" s="38"/>
      <c r="BK61" s="38"/>
      <c r="BL61" s="38"/>
      <c r="BM61" s="32"/>
      <c r="BN61" s="41"/>
      <c r="BO61" s="42"/>
      <c r="BP61" s="43"/>
      <c r="BQ61" s="44"/>
      <c r="BR61" s="44"/>
      <c r="BS61" s="44"/>
      <c r="BT61" s="44"/>
      <c r="BU61" s="44"/>
      <c r="BV61" s="44"/>
      <c r="BW61" s="44"/>
      <c r="BX61" s="44"/>
      <c r="BY61" s="44"/>
      <c r="BZ61" s="44"/>
      <c r="CA61" s="44"/>
      <c r="CB61" s="34"/>
      <c r="CC61" s="34"/>
      <c r="CD61" s="34"/>
      <c r="CE61" s="34"/>
      <c r="CF61" s="34"/>
      <c r="CG61" s="34"/>
      <c r="CH61" s="34"/>
      <c r="CI61" s="34"/>
      <c r="CJ61" s="34"/>
      <c r="CK61" s="34"/>
      <c r="CL61" s="34"/>
      <c r="CM61" s="34"/>
      <c r="CN61" s="34"/>
      <c r="CO61" s="34"/>
      <c r="CP61" s="34"/>
      <c r="CQ61" s="34"/>
      <c r="CR61" s="34"/>
      <c r="CS61" s="34"/>
      <c r="CT61" s="34"/>
      <c r="DK61" s="34"/>
      <c r="DL61" s="27" t="s">
        <v>31</v>
      </c>
      <c r="DM61" s="37"/>
      <c r="DN61" s="37"/>
    </row>
    <row r="62" spans="1:118" s="31" customFormat="1" ht="15" hidden="1" customHeight="1" x14ac:dyDescent="0.2">
      <c r="F62" s="40" t="s">
        <v>97</v>
      </c>
      <c r="G62" s="49">
        <f>IF($BD$27="",IF($BD$21="",IF($BD$13="",IF($BD$5="",0,-22),-14),-8),-3)</f>
        <v>-22</v>
      </c>
      <c r="H62" s="38"/>
      <c r="I62" s="38"/>
      <c r="K62" s="50"/>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2"/>
      <c r="BD62" s="32"/>
      <c r="BE62" s="32"/>
      <c r="BF62" s="32"/>
      <c r="BG62" s="32"/>
      <c r="BH62" s="33"/>
      <c r="BI62" s="38"/>
      <c r="BJ62" s="38"/>
      <c r="BK62" s="38"/>
      <c r="BL62" s="38"/>
      <c r="BM62" s="32"/>
      <c r="BN62" s="41"/>
      <c r="BO62" s="42"/>
      <c r="BP62" s="43"/>
      <c r="BQ62" s="44"/>
      <c r="BR62" s="44"/>
      <c r="BS62" s="44"/>
      <c r="BT62" s="44"/>
      <c r="BU62" s="44"/>
      <c r="BV62" s="44"/>
      <c r="BW62" s="44"/>
      <c r="BX62" s="44"/>
      <c r="BY62" s="44"/>
      <c r="BZ62" s="44"/>
      <c r="CA62" s="44"/>
      <c r="CB62" s="34"/>
      <c r="CC62" s="34"/>
      <c r="CD62" s="34"/>
      <c r="CE62" s="34"/>
      <c r="CF62" s="34"/>
      <c r="CG62" s="34"/>
      <c r="CH62" s="34"/>
      <c r="CI62" s="34"/>
      <c r="CJ62" s="34"/>
      <c r="CK62" s="34"/>
      <c r="CL62" s="34"/>
      <c r="CM62" s="34"/>
      <c r="CN62" s="34"/>
      <c r="CO62" s="34"/>
      <c r="CP62" s="34"/>
      <c r="CQ62" s="34"/>
      <c r="CR62" s="34"/>
      <c r="CS62" s="34"/>
      <c r="CT62" s="34"/>
      <c r="DK62" s="34"/>
      <c r="DL62" s="27" t="str">
        <f>CONCATENATE($DM$5,$M$5,$DN$5)</f>
        <v xml:space="preserve">   "6",</v>
      </c>
      <c r="DM62" s="37"/>
      <c r="DN62" s="37"/>
    </row>
    <row r="63" spans="1:118" s="31" customFormat="1" ht="15" hidden="1" customHeight="1" x14ac:dyDescent="0.2">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2"/>
      <c r="BD63" s="32"/>
      <c r="BE63" s="32"/>
      <c r="BF63" s="32"/>
      <c r="BG63" s="32"/>
      <c r="BH63" s="33"/>
      <c r="BI63" s="38"/>
      <c r="BJ63" s="38"/>
      <c r="BK63" s="38"/>
      <c r="BL63" s="38"/>
      <c r="BM63" s="32"/>
      <c r="BN63" s="41"/>
      <c r="BO63" s="42"/>
      <c r="BP63" s="43"/>
      <c r="BQ63" s="44"/>
      <c r="BR63" s="44"/>
      <c r="BS63" s="44"/>
      <c r="BT63" s="44"/>
      <c r="BU63" s="44"/>
      <c r="BV63" s="44"/>
      <c r="BW63" s="44"/>
      <c r="BX63" s="44"/>
      <c r="BY63" s="44"/>
      <c r="BZ63" s="44"/>
      <c r="CA63" s="44"/>
      <c r="CB63" s="34"/>
      <c r="CC63" s="34"/>
      <c r="CD63" s="34"/>
      <c r="CE63" s="34"/>
      <c r="CF63" s="34"/>
      <c r="CG63" s="34"/>
      <c r="CH63" s="34"/>
      <c r="CI63" s="34"/>
      <c r="CJ63" s="34"/>
      <c r="CK63" s="34"/>
      <c r="CL63" s="34"/>
      <c r="CM63" s="34"/>
      <c r="CN63" s="34"/>
      <c r="CO63" s="34"/>
      <c r="CP63" s="34"/>
      <c r="CQ63" s="34"/>
      <c r="CR63" s="34"/>
      <c r="CS63" s="34"/>
      <c r="CT63" s="34"/>
      <c r="DK63" s="34"/>
      <c r="DL63" s="27" t="str">
        <f>CONCATENATE($DM$5,$M$6,$DN$5)</f>
        <v xml:space="preserve">   "4",</v>
      </c>
      <c r="DM63" s="37"/>
      <c r="DN63" s="37"/>
    </row>
    <row r="64" spans="1:118" s="31" customFormat="1" ht="15" hidden="1" customHeight="1" x14ac:dyDescent="0.2">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2"/>
      <c r="BD64" s="32"/>
      <c r="BE64" s="32"/>
      <c r="BF64" s="32"/>
      <c r="BG64" s="32"/>
      <c r="BH64" s="33"/>
      <c r="BI64" s="38"/>
      <c r="BJ64" s="38"/>
      <c r="BK64" s="38"/>
      <c r="BL64" s="38"/>
      <c r="BM64" s="32"/>
      <c r="BN64" s="41"/>
      <c r="BO64" s="42"/>
      <c r="BP64" s="43"/>
      <c r="BQ64" s="44"/>
      <c r="BR64" s="44"/>
      <c r="BS64" s="44"/>
      <c r="BT64" s="44"/>
      <c r="BU64" s="44"/>
      <c r="BV64" s="44"/>
      <c r="BW64" s="44"/>
      <c r="BX64" s="44"/>
      <c r="BY64" s="44"/>
      <c r="BZ64" s="44"/>
      <c r="CA64" s="44"/>
      <c r="CB64" s="34"/>
      <c r="CC64" s="34"/>
      <c r="CD64" s="34"/>
      <c r="CE64" s="34"/>
      <c r="CF64" s="34"/>
      <c r="CG64" s="34"/>
      <c r="CH64" s="34"/>
      <c r="CI64" s="34"/>
      <c r="CJ64" s="34"/>
      <c r="CK64" s="34"/>
      <c r="CL64" s="34"/>
      <c r="CM64" s="34"/>
      <c r="CN64" s="34"/>
      <c r="CO64" s="34"/>
      <c r="CP64" s="34"/>
      <c r="CQ64" s="34"/>
      <c r="CR64" s="34"/>
      <c r="CS64" s="34"/>
      <c r="CT64" s="34"/>
      <c r="DK64" s="34"/>
      <c r="DL64" s="27" t="str">
        <f>CONCATENATE($DM$5,$M$7,$DN$5)</f>
        <v xml:space="preserve">   "17",</v>
      </c>
      <c r="DM64" s="37"/>
      <c r="DN64" s="37"/>
    </row>
    <row r="65" spans="2:118" s="31" customFormat="1" ht="15" customHeight="1" x14ac:dyDescent="0.2">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2"/>
      <c r="BD65" s="32"/>
      <c r="BE65" s="32"/>
      <c r="BF65" s="32"/>
      <c r="BG65" s="32"/>
      <c r="BH65" s="33"/>
      <c r="BI65" s="38"/>
      <c r="BJ65" s="38"/>
      <c r="BK65" s="38"/>
      <c r="BL65" s="38"/>
      <c r="BM65" s="32"/>
      <c r="BN65" s="41"/>
      <c r="BO65" s="42"/>
      <c r="BP65" s="43"/>
      <c r="BQ65" s="44"/>
      <c r="BR65" s="44"/>
      <c r="BS65" s="44"/>
      <c r="BT65" s="44"/>
      <c r="BU65" s="44"/>
      <c r="BV65" s="44"/>
      <c r="BW65" s="44"/>
      <c r="BX65" s="44"/>
      <c r="BY65" s="44"/>
      <c r="BZ65" s="44"/>
      <c r="CA65" s="44"/>
      <c r="CB65" s="34"/>
      <c r="CC65" s="34"/>
      <c r="CD65" s="34"/>
      <c r="CE65" s="34"/>
      <c r="CF65" s="34"/>
      <c r="CG65" s="34"/>
      <c r="CH65" s="34"/>
      <c r="CI65" s="34"/>
      <c r="CJ65" s="34"/>
      <c r="CK65" s="34"/>
      <c r="CL65" s="34"/>
      <c r="CM65" s="34"/>
      <c r="CN65" s="34"/>
      <c r="CO65" s="34"/>
      <c r="CP65" s="34"/>
      <c r="CQ65" s="34"/>
      <c r="CR65" s="34"/>
      <c r="CS65" s="34"/>
      <c r="CT65" s="34"/>
      <c r="DK65" s="34"/>
      <c r="DL65" s="27" t="str">
        <f>CONCATENATE($DM$5,$M$8,$DN$5)</f>
        <v xml:space="preserve">   "3",</v>
      </c>
      <c r="DM65" s="37"/>
      <c r="DN65" s="37"/>
    </row>
    <row r="66" spans="2:118" s="31" customFormat="1" ht="15" customHeight="1" thickBot="1" x14ac:dyDescent="0.25">
      <c r="B66" s="51"/>
      <c r="C66" s="51"/>
      <c r="D66" s="51"/>
      <c r="E66" s="51"/>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6"/>
      <c r="BD66" s="6"/>
      <c r="BE66" s="6"/>
      <c r="BF66" s="6"/>
      <c r="BG66" s="6"/>
      <c r="BH66" s="53"/>
      <c r="BI66" s="52"/>
      <c r="BJ66" s="52"/>
      <c r="BK66" s="52"/>
      <c r="BL66" s="52"/>
      <c r="BM66" s="32"/>
      <c r="BN66" s="32"/>
      <c r="BO66" s="42"/>
      <c r="BP66" s="43"/>
      <c r="BQ66" s="44"/>
      <c r="BR66" s="44"/>
      <c r="BS66" s="44"/>
      <c r="BT66" s="44"/>
      <c r="BU66" s="44"/>
      <c r="BV66" s="44"/>
      <c r="BW66" s="44"/>
      <c r="BX66" s="44"/>
      <c r="BY66" s="44"/>
      <c r="BZ66" s="44"/>
      <c r="CA66" s="44"/>
      <c r="CB66" s="34"/>
      <c r="CC66" s="34"/>
      <c r="CD66" s="34"/>
      <c r="CE66" s="34"/>
      <c r="CF66" s="34"/>
      <c r="CG66" s="34"/>
      <c r="CH66" s="34"/>
      <c r="CI66" s="34"/>
      <c r="CJ66" s="34"/>
      <c r="CK66" s="34"/>
      <c r="CL66" s="34"/>
      <c r="CM66" s="34"/>
      <c r="CN66" s="34"/>
      <c r="CO66" s="34"/>
      <c r="CP66" s="34"/>
      <c r="CQ66" s="34"/>
      <c r="CR66" s="34"/>
      <c r="CS66" s="34"/>
      <c r="CT66" s="34"/>
      <c r="DK66" s="34"/>
      <c r="DL66" s="27" t="str">
        <f>CONCATENATE($DM$5,$M$13,$DN$5)</f>
        <v xml:space="preserve">   "",</v>
      </c>
      <c r="DM66" s="37"/>
      <c r="DN66" s="37"/>
    </row>
    <row r="67" spans="2:118" ht="18" customHeight="1" thickTop="1" thickBot="1" x14ac:dyDescent="0.25">
      <c r="BO67" s="54"/>
      <c r="BP67" s="55"/>
      <c r="BQ67" s="54"/>
      <c r="BR67" s="54"/>
      <c r="BS67" s="54"/>
      <c r="BT67" s="54"/>
      <c r="BU67" s="54"/>
      <c r="BV67" s="54"/>
      <c r="BW67" s="54"/>
      <c r="BX67" s="54"/>
      <c r="BY67" s="54"/>
      <c r="BZ67" s="54"/>
      <c r="CA67" s="54"/>
      <c r="CB67" s="268" t="str">
        <f>CONCATENATE("Week ",IF($BD$27="",IF($BD$21="",IF($BD$13="",IF($BD$5="",0,1),2),3),4)," Scores")</f>
        <v>Week 1 Scores</v>
      </c>
      <c r="CC67" s="269"/>
      <c r="CD67" s="270"/>
      <c r="CE67" s="197"/>
      <c r="CF67" s="268" t="s">
        <v>105</v>
      </c>
      <c r="CG67" s="269"/>
      <c r="CH67" s="270"/>
      <c r="CI67" s="62"/>
      <c r="CJ67" s="268" t="s">
        <v>114</v>
      </c>
      <c r="CK67" s="269"/>
      <c r="CL67" s="270"/>
      <c r="CM67" s="268" t="s">
        <v>110</v>
      </c>
      <c r="CN67" s="269"/>
      <c r="CO67" s="269"/>
      <c r="CP67" s="269"/>
      <c r="CQ67" s="269"/>
      <c r="CR67" s="269"/>
      <c r="CS67" s="270"/>
      <c r="CT67" s="1"/>
      <c r="DK67" s="1"/>
      <c r="DL67" s="27" t="str">
        <f>CONCATENATE($DM$5,$M$14,$DN$5)</f>
        <v xml:space="preserve">   "",</v>
      </c>
      <c r="DM67" s="37"/>
      <c r="DN67" s="37"/>
    </row>
    <row r="68" spans="2:118" ht="18" customHeight="1" thickTop="1" x14ac:dyDescent="0.2">
      <c r="CB68" s="2" t="s">
        <v>4</v>
      </c>
      <c r="CC68" s="63" t="s">
        <v>5</v>
      </c>
      <c r="CD68" s="64" t="s">
        <v>7</v>
      </c>
      <c r="CE68" s="197"/>
      <c r="CF68" s="3" t="s">
        <v>4</v>
      </c>
      <c r="CG68" s="63" t="s">
        <v>5</v>
      </c>
      <c r="CH68" s="64" t="s">
        <v>7</v>
      </c>
      <c r="CI68" s="195"/>
      <c r="CJ68" s="2" t="s">
        <v>4</v>
      </c>
      <c r="CK68" s="63" t="s">
        <v>5</v>
      </c>
      <c r="CL68" s="64" t="s">
        <v>6</v>
      </c>
      <c r="CM68" s="86" t="s">
        <v>106</v>
      </c>
      <c r="CN68" s="273" t="s">
        <v>107</v>
      </c>
      <c r="CO68" s="302"/>
      <c r="CP68" s="273" t="s">
        <v>108</v>
      </c>
      <c r="CQ68" s="302"/>
      <c r="CR68" s="273" t="s">
        <v>109</v>
      </c>
      <c r="CS68" s="274"/>
      <c r="CT68" s="1"/>
      <c r="DK68" s="1"/>
      <c r="DL68" s="27" t="str">
        <f>CONCATENATE($DM$5,$M$15,$DN$5)</f>
        <v xml:space="preserve">   "",</v>
      </c>
      <c r="DM68" s="37"/>
      <c r="DN68" s="37"/>
    </row>
    <row r="69" spans="2:118" ht="15" customHeight="1" x14ac:dyDescent="0.2">
      <c r="CB69" s="71">
        <f ca="1">IF(CC69="","",OFFSET($AC$32,$G$62,0))</f>
        <v>1</v>
      </c>
      <c r="CC69" s="65" t="str">
        <f ca="1">IF(OR($AA$2="",$AA$2=0,CD69=""),"",$AA$2)</f>
        <v>JG</v>
      </c>
      <c r="CD69" s="66">
        <f ca="1">OFFSET($AD$32,$G$62,0)</f>
        <v>25</v>
      </c>
      <c r="CE69" s="197"/>
      <c r="CF69" s="74">
        <f>IF(CH69="","",RANK(CH69,CH$69:CH$80,1))</f>
        <v>1</v>
      </c>
      <c r="CG69" s="65" t="str">
        <f>IF(OR($AA$2="",$AA$2=0,CH69=""),"",$AA$2)</f>
        <v>JG</v>
      </c>
      <c r="CH69" s="66">
        <f>$AD$32</f>
        <v>25</v>
      </c>
      <c r="CI69" s="196"/>
      <c r="CJ69" s="77">
        <f>IF(CK69="","",RANK(CL69,CL$69:CL$80,0))</f>
        <v>1</v>
      </c>
      <c r="CK69" s="65" t="str">
        <f>IF(OR($AA$2="",$AA$2=0),"",$AA$2)</f>
        <v>JG</v>
      </c>
      <c r="CL69" s="78">
        <f>IF(OR(CK69="",CK69=0),"",SUM(CM69,CO69,CQ69,CS69))</f>
        <v>60</v>
      </c>
      <c r="CM69" s="87">
        <f>IF(CK69="","",-$BO$4)</f>
        <v>-10</v>
      </c>
      <c r="CN69" s="229">
        <f>IF(IF($BO$46&gt;0,COUNTIF($AC$10,1),0)+IF($BO$46&gt;1,COUNTIF($AC$18,1),0)+IF($BO$46&gt;2,COUNTIF($AC$24,1),0)+IF($BO$46&gt;3,COUNTIF($AC$29,1),0)&gt;0,IF($BO$46&gt;0,COUNTIF($AC$10,1),0)+IF($BO$46&gt;1,COUNTIF($AC$18,1),0)+IF($BO$46&gt;2,COUNTIF($AC$24,1),0)+IF($BO$46&gt;3,COUNTIF($AC$29,1),0),"")</f>
        <v>1</v>
      </c>
      <c r="CO69" s="90">
        <f>IF(CN69="","",IF(AND($BO$46&gt;0,$AC$10=1),$BO$6/$BO$12,0)+IF(AND($BO$46&gt;1,$AC$18=1),$BO$6/$BO$20,0)+IF(AND($BO$46&gt;2,$AC$24=1),$BO$6/$BO$26,0)+IF(AND($BO$46&gt;3,$AC$29=1),$BO$6/$BO$31,0))</f>
        <v>10</v>
      </c>
      <c r="CP69" s="230" t="str">
        <f>IF($AC$32=1,"✓","")</f>
        <v>✓</v>
      </c>
      <c r="CQ69" s="90">
        <f>IF(CP69="✓",IF($BO$33&gt;1,($BO$7+$BO$8)/$BO$33,$BO$7/$BO$33),"")</f>
        <v>60</v>
      </c>
      <c r="CR69" s="230" t="str">
        <f>IF($AC$32=2,"✓","")</f>
        <v/>
      </c>
      <c r="CS69" s="79" t="str">
        <f>IF(CR69="✓",$BO$8/$BP$33,"")</f>
        <v/>
      </c>
      <c r="CT69" s="1"/>
      <c r="DK69" s="1"/>
      <c r="DL69" s="27" t="str">
        <f>CONCATENATE($DM$5,$M$16,$DN$5)</f>
        <v xml:space="preserve">   "",</v>
      </c>
      <c r="DM69" s="37"/>
      <c r="DN69" s="37"/>
    </row>
    <row r="70" spans="2:118" ht="15" customHeight="1" x14ac:dyDescent="0.2">
      <c r="CB70" s="72">
        <f ca="1">IF(CC70="","",OFFSET($AW$32,$G$62,0))</f>
        <v>2</v>
      </c>
      <c r="CC70" s="67" t="str">
        <f ca="1">IF(OR($AU$2="",$AU$2=0,CD70=""),"",$AU$2)</f>
        <v>MB</v>
      </c>
      <c r="CD70" s="68">
        <f ca="1">OFFSET($AX$32,$G$62,0)</f>
        <v>41</v>
      </c>
      <c r="CE70" s="198"/>
      <c r="CF70" s="75">
        <f>IF(CH70="","",RANK(CH70,CH$69:CH$80,1))</f>
        <v>2</v>
      </c>
      <c r="CG70" s="67" t="str">
        <f>IF(OR($AU$2="",$AU$2=0,CH70=""),"",$AU$2)</f>
        <v>MB</v>
      </c>
      <c r="CH70" s="68">
        <f>$AX$32</f>
        <v>41</v>
      </c>
      <c r="CI70" s="196"/>
      <c r="CJ70" s="80">
        <f>IF(CK70="","",RANK(CL70,CL$69:CL$80,0))</f>
        <v>2</v>
      </c>
      <c r="CK70" s="67" t="str">
        <f>IF(OR($AU$2="",$AU$2=0),"",$AU$2)</f>
        <v>MB</v>
      </c>
      <c r="CL70" s="81">
        <f>IF(OR(CK70="",CK70=0),"",SUM(CM70,CO70,CQ70,CS70))</f>
        <v>10</v>
      </c>
      <c r="CM70" s="88">
        <f>IF(CK70="","",-$BO$4)</f>
        <v>-10</v>
      </c>
      <c r="CN70" s="231" t="str">
        <f>IF(IF($BO$46&gt;0,COUNTIF($AW$10,1),0)+IF($BO$46&gt;1,COUNTIF($AW$18,1),0)+IF($BO$46&gt;2,COUNTIF($AW$24,1),0)+IF($BO$46&gt;3,COUNTIF($AW$29,1),0)&gt;0,IF($BO$46&gt;0,COUNTIF($AW$10,1),0)+IF($BO$46&gt;1,COUNTIF($AW$18,1),0)+IF($BO$46&gt;2,COUNTIF($AW$24,1),0)+IF($BO$46&gt;3,COUNTIF($AW$29,1),0),"")</f>
        <v/>
      </c>
      <c r="CO70" s="91" t="str">
        <f>IF(CN70="","",IF(AND($BO$46&gt;0,$AW$10=1),$BO$6/$BO$12,0)+IF(AND($BO$46&gt;1,$AW$18=1),$BO$6/$BO$20,0)+IF(AND($BO$46&gt;2,$AW$24=1),$BO$6/$BO$26,0)+IF(AND($BO$46&gt;3,$AW$29=1),$BO$6/$BO$31,0))</f>
        <v/>
      </c>
      <c r="CP70" s="232" t="str">
        <f>IF($AW$32=1,"✓","")</f>
        <v/>
      </c>
      <c r="CQ70" s="91" t="str">
        <f>IF(CP70="✓",IF($BO$33&gt;1,($BO$7+$BO$8)/$BO$33,$BO$7/$BO$33),"")</f>
        <v/>
      </c>
      <c r="CR70" s="232" t="str">
        <f>IF($AW$32=2,"✓","")</f>
        <v>✓</v>
      </c>
      <c r="CS70" s="82">
        <f>IF(CR70="✓",$BO$8/$BP$33,"")</f>
        <v>20</v>
      </c>
      <c r="CT70" s="1"/>
      <c r="DK70" s="1"/>
      <c r="DL70" s="27" t="str">
        <f>CONCATENATE($DM$5,$M$21,$DN$5)</f>
        <v xml:space="preserve">   "",</v>
      </c>
      <c r="DM70" s="24"/>
      <c r="DN70" s="24"/>
    </row>
    <row r="71" spans="2:118" ht="15" customHeight="1" x14ac:dyDescent="0.2">
      <c r="CB71" s="72">
        <f ca="1">IF(CC71="","",OFFSET($I$32,$G$62,0))</f>
        <v>3</v>
      </c>
      <c r="CC71" s="67" t="str">
        <f ca="1">IF(OR($G$2="",$G$2=0,CD71=""),"",$G$2)</f>
        <v>BM</v>
      </c>
      <c r="CD71" s="68">
        <f ca="1">OFFSET($J$32,$G$62,0)</f>
        <v>42</v>
      </c>
      <c r="CE71" s="198"/>
      <c r="CF71" s="75">
        <f>IF(CH71="","",RANK(CH71,CH$69:CH$80,1))</f>
        <v>3</v>
      </c>
      <c r="CG71" s="67" t="str">
        <f>IF(OR($G$2="",$G$2=0,CH71=""),"",$G$2)</f>
        <v>BM</v>
      </c>
      <c r="CH71" s="68">
        <f>$J$32</f>
        <v>42</v>
      </c>
      <c r="CI71" s="196"/>
      <c r="CJ71" s="80">
        <f>IF(CK71="","",RANK(CL71,CL$69:CL$80,0))</f>
        <v>3</v>
      </c>
      <c r="CK71" s="67" t="str">
        <f>IF(OR($G$2="",$G$2=0),"",$G$2)</f>
        <v>BM</v>
      </c>
      <c r="CL71" s="81">
        <f>IF(OR(CK71="",CK71=0),"",SUM(CM71,CO71,CQ71,CS71))</f>
        <v>-10</v>
      </c>
      <c r="CM71" s="88">
        <f>IF(CK71="","",-$BO$4)</f>
        <v>-10</v>
      </c>
      <c r="CN71" s="231" t="str">
        <f>IF(IF($BO$46&gt;0,COUNTIF($I$10,1),0)+IF($BO$46&gt;1,COUNTIF($I$18,1),0)+IF($BO$46&gt;2,COUNTIF($I$24,1),0)+IF($BO$46&gt;3,COUNTIF($I$29,1),0)&gt;0,IF($BO$46&gt;0,COUNTIF($I$10,1),0)+IF($BO$46&gt;1,COUNTIF($I$18,1),0)+IF($BO$46&gt;2,COUNTIF($I$24,1),0)+IF($BO$46&gt;3,COUNTIF($I$29,1),0),"")</f>
        <v/>
      </c>
      <c r="CO71" s="91" t="str">
        <f>IF(CN71="","",IF(AND($BO$46&gt;0,$I$10=1),$BO$6/$BO$12,0)+IF(AND($BO$46&gt;1,$I$18=1),$BO$6/$BO$20,0)+IF(AND($BO$46&gt;2,$I$24=1),$BO$6/$BO$26,0)+IF(AND($BO$46&gt;3,$I$29=1),$BO$6/$BO$31,0))</f>
        <v/>
      </c>
      <c r="CP71" s="232" t="str">
        <f>IF($I$32=1,"✓","")</f>
        <v/>
      </c>
      <c r="CQ71" s="91" t="str">
        <f>IF(CP71="✓",IF($BO$33&gt;1,($BO$7+$BO$8)/$BO$33,$BO$7/$BO$33),"")</f>
        <v/>
      </c>
      <c r="CR71" s="232" t="str">
        <f>IF($I$32=2,"✓","")</f>
        <v/>
      </c>
      <c r="CS71" s="82" t="str">
        <f>IF(CR71="✓",$BO$8/$BP$33,"")</f>
        <v/>
      </c>
      <c r="CT71" s="1"/>
      <c r="DK71" s="1"/>
      <c r="DL71" s="27" t="str">
        <f>CONCATENATE($DM$5,$M$22,$DN$5)</f>
        <v xml:space="preserve">   "",</v>
      </c>
      <c r="DM71" s="24"/>
      <c r="DN71" s="24"/>
    </row>
    <row r="72" spans="2:118" ht="15" customHeight="1" x14ac:dyDescent="0.2">
      <c r="CB72" s="72">
        <f ca="1">IF(CC72="","",OFFSET($Q$32,$G$62,0))</f>
        <v>4</v>
      </c>
      <c r="CC72" s="67" t="str">
        <f ca="1">IF(OR($O$2="",$O$2=0,CD72=""),"",$O$2)</f>
        <v>CP</v>
      </c>
      <c r="CD72" s="68">
        <f ca="1">OFFSET($R$32,$G$62,0)</f>
        <v>44</v>
      </c>
      <c r="CE72" s="198"/>
      <c r="CF72" s="75">
        <f>IF(CH72="","",RANK(CH72,CH$69:CH$80,1))</f>
        <v>4</v>
      </c>
      <c r="CG72" s="67" t="str">
        <f>IF(OR($O$2="",$O$2=0,CH72=""),"",$O$2)</f>
        <v>CP</v>
      </c>
      <c r="CH72" s="68">
        <f>$R$32</f>
        <v>44</v>
      </c>
      <c r="CI72" s="196"/>
      <c r="CJ72" s="80">
        <f>IF(CK72="","",RANK(CL72,CL$69:CL$80,0))</f>
        <v>3</v>
      </c>
      <c r="CK72" s="67" t="str">
        <f>IF(OR($K$2="",$K$2=0),"",$K$2)</f>
        <v>CK</v>
      </c>
      <c r="CL72" s="81">
        <f>IF(OR(CK72="",CK72=0),"",SUM(CM72,CO72,CQ72,CS72))</f>
        <v>-10</v>
      </c>
      <c r="CM72" s="88">
        <f>IF(CK72="","",-$BO$4)</f>
        <v>-10</v>
      </c>
      <c r="CN72" s="231" t="str">
        <f>IF(IF($BO$46&gt;0,COUNTIF($M$10,1),0)+IF($BO$46&gt;1,COUNTIF($M$18,1),0)+IF($BO$46&gt;2,COUNTIF($M$24,1),0)+IF($BO$46&gt;3,COUNTIF($M$29,1),0)&gt;0,IF($BO$46&gt;0,COUNTIF($M$10,1),0)+IF($BO$46&gt;1,COUNTIF($M$18,1),0)+IF($BO$46&gt;2,COUNTIF($M$24,1),0)+IF($BO$46&gt;3,COUNTIF($M$29,1),0),"")</f>
        <v/>
      </c>
      <c r="CO72" s="91" t="str">
        <f>IF(CN72="","",IF(AND($BO$46&gt;0,$M$10=1),$BO$6/$BO$12,0)+IF(AND($BO$46&gt;1,$M$18=1),$BO$6/$BO$20,0)+IF(AND($BO$46&gt;2,$M$24=1),$BO$6/$BO$26,0)+IF(AND($BO$46&gt;3,$M$29=1),$BO$6/$BO$31,0))</f>
        <v/>
      </c>
      <c r="CP72" s="232" t="str">
        <f>IF($M$32=1,"✓","")</f>
        <v/>
      </c>
      <c r="CQ72" s="91" t="str">
        <f>IF(CP72="✓",IF($BO$33&gt;1,($BO$7+$BO$8)/$BO$33,$BO$7/$BO$33),"")</f>
        <v/>
      </c>
      <c r="CR72" s="232" t="str">
        <f>IF($M$32=2,"✓","")</f>
        <v/>
      </c>
      <c r="CS72" s="82" t="str">
        <f>IF(CR72="✓",$BO$8/$BP$33,"")</f>
        <v/>
      </c>
      <c r="CT72" s="1"/>
      <c r="DK72" s="1"/>
      <c r="DL72" s="27" t="str">
        <f>CONCATENATE($DM$5,$M$27,$DN$6)</f>
        <v xml:space="preserve">   ""</v>
      </c>
      <c r="DM72" s="24"/>
      <c r="DN72" s="24"/>
    </row>
    <row r="73" spans="2:118" ht="15" customHeight="1" x14ac:dyDescent="0.2">
      <c r="CB73" s="72">
        <f ca="1">IF(CC73="","",OFFSET($AS$32,$G$62,0))</f>
        <v>5</v>
      </c>
      <c r="CC73" s="67" t="str">
        <f ca="1">IF(OR($AQ$2="",$AQ$2=0,CD73=""),"",$AQ$2)</f>
        <v>KK</v>
      </c>
      <c r="CD73" s="68">
        <f ca="1">OFFSET($AT$32,$G$62,0)</f>
        <v>45</v>
      </c>
      <c r="CE73" s="198"/>
      <c r="CF73" s="75">
        <f>IF(CH73="","",RANK(CH73,CH$69:CH$80,1))</f>
        <v>5</v>
      </c>
      <c r="CG73" s="67" t="str">
        <f>IF(OR($AQ$2="",$AQ$2=0,CH73=""),"",$AQ$2)</f>
        <v>KK</v>
      </c>
      <c r="CH73" s="68">
        <f>$AT$32</f>
        <v>45</v>
      </c>
      <c r="CI73" s="196"/>
      <c r="CJ73" s="80">
        <f>IF(CK73="","",RANK(CL73,CL$69:CL$80,0))</f>
        <v>3</v>
      </c>
      <c r="CK73" s="67" t="str">
        <f>IF(OR($O$2="",$O$2=0),"",$O$2)</f>
        <v>CP</v>
      </c>
      <c r="CL73" s="81">
        <f>IF(OR(CK73="",CK73=0),"",SUM(CM73,CO73,CQ73,CS73))</f>
        <v>-10</v>
      </c>
      <c r="CM73" s="88">
        <f>IF(CK73="","",-$BO$4)</f>
        <v>-10</v>
      </c>
      <c r="CN73" s="231" t="str">
        <f>IF(IF($BO$46&gt;0,COUNTIF($Q$10,1),0)+IF($BO$46&gt;1,COUNTIF($Q$18,1),0)+IF($BO$46&gt;2,COUNTIF($Q$24,1),0)+IF($BO$46&gt;3,COUNTIF($Q$29,1),0)&gt;0,IF($BO$46&gt;0,COUNTIF($Q$10,1),0)+IF($BO$46&gt;1,COUNTIF($Q$18,1),0)+IF($BO$46&gt;2,COUNTIF($Q$24,1),0)+IF($BO$46&gt;3,COUNTIF($Q$29,1),0),"")</f>
        <v/>
      </c>
      <c r="CO73" s="91" t="str">
        <f>IF(CN73="","",IF(AND($BO$46&gt;0,$Q$10=1),$BO$6/$BO$12,0)+IF(AND($BO$46&gt;1,$Q$18=1),$BO$6/$BO$20,0)+IF(AND($BO$46&gt;2,$Q$24=1),$BO$6/$BO$26,0)+IF(AND($BO$46&gt;3,$Q$29=1),$BO$6/$BO$31,0))</f>
        <v/>
      </c>
      <c r="CP73" s="232" t="str">
        <f>IF($Q$32=1,"✓","")</f>
        <v/>
      </c>
      <c r="CQ73" s="91" t="str">
        <f>IF(CP73="✓",IF($BO$33&gt;1,($BO$7+$BO$8)/$BO$33,$BO$7/$BO$33),"")</f>
        <v/>
      </c>
      <c r="CR73" s="232" t="str">
        <f>IF($Q$32=2,"✓","")</f>
        <v/>
      </c>
      <c r="CS73" s="82" t="str">
        <f>IF(CR73="✓",$BO$8/$BP$33,"")</f>
        <v/>
      </c>
      <c r="CT73" s="1"/>
      <c r="DK73" s="1"/>
      <c r="DL73" s="27" t="s">
        <v>28</v>
      </c>
      <c r="DM73" s="24"/>
      <c r="DN73" s="24"/>
    </row>
    <row r="74" spans="2:118" ht="15" customHeight="1" x14ac:dyDescent="0.2">
      <c r="CB74" s="72">
        <f ca="1">IF(CC74="","",OFFSET($AO$32,$G$62,0))</f>
        <v>6</v>
      </c>
      <c r="CC74" s="67" t="str">
        <f ca="1">IF(OR($AM$2="",$AM$2=0,CD74=""),"",$AM$2)</f>
        <v>KC</v>
      </c>
      <c r="CD74" s="68">
        <f ca="1">OFFSET($AP$32,$G$62,0)</f>
        <v>47</v>
      </c>
      <c r="CE74" s="198"/>
      <c r="CF74" s="75">
        <f>IF(CH74="","",RANK(CH74,CH$69:CH$80,1))</f>
        <v>6</v>
      </c>
      <c r="CG74" s="67" t="str">
        <f>IF(OR($AM$2="",$AM$2=0,CH74=""),"",$AM$2)</f>
        <v>KC</v>
      </c>
      <c r="CH74" s="68">
        <f>$AP$32</f>
        <v>47</v>
      </c>
      <c r="CI74" s="196"/>
      <c r="CJ74" s="80">
        <f>IF(CK74="","",RANK(CL74,CL$69:CL$80,0))</f>
        <v>3</v>
      </c>
      <c r="CK74" s="67" t="str">
        <f>IF(OR($S$2="",$S$2=0),"",$S$2)</f>
        <v>DC</v>
      </c>
      <c r="CL74" s="81">
        <f>IF(OR(CK74="",CK74=0),"",SUM(CM74,CO74,CQ74,CS74))</f>
        <v>-10</v>
      </c>
      <c r="CM74" s="88">
        <f>IF(CK74="","",-$BO$4)</f>
        <v>-10</v>
      </c>
      <c r="CN74" s="231" t="str">
        <f>IF(IF($BO$46&gt;0,COUNTIF($U$10,1),0)+IF($BO$46&gt;1,COUNTIF($U$18,1),0)+IF($BO$46&gt;2,COUNTIF($U$24,1),0)+IF($BO$46&gt;3,COUNTIF($U$29,1),0)&gt;0,IF($BO$46&gt;0,COUNTIF($U$10,1),0)+IF($BO$46&gt;1,COUNTIF($U$18,1),0)+IF($BO$46&gt;2,COUNTIF($U$24,1),0)+IF($BO$46&gt;3,COUNTIF($U$29,1),0),"")</f>
        <v/>
      </c>
      <c r="CO74" s="91" t="str">
        <f>IF(CN74="","",IF(AND($BO$46&gt;0,$U$10=1),$BO$6/$BO$12,0)+IF(AND($BO$46&gt;1,$U$18=1),$BO$6/$BO$20,0)+IF(AND($BO$46&gt;2,$U$24=1),$BO$6/$BO$26,0)+IF(AND($BO$46&gt;3,$U$29=1),$BO$6/$BO$31,0))</f>
        <v/>
      </c>
      <c r="CP74" s="232" t="str">
        <f>IF($U$32=1,"✓","")</f>
        <v/>
      </c>
      <c r="CQ74" s="91" t="str">
        <f>IF(CP74="✓",IF($BO$33&gt;1,($BO$7+$BO$8)/$BO$33,$BO$7/$BO$33),"")</f>
        <v/>
      </c>
      <c r="CR74" s="232" t="str">
        <f>IF($U$32=2,"✓","")</f>
        <v/>
      </c>
      <c r="CS74" s="82" t="str">
        <f>IF(CR74="✓",$BO$8/$BP$33,"")</f>
        <v/>
      </c>
      <c r="CT74" s="1"/>
      <c r="DK74" s="1"/>
      <c r="DL74" s="27"/>
      <c r="DM74" s="24"/>
      <c r="DN74" s="24"/>
    </row>
    <row r="75" spans="2:118" ht="15" customHeight="1" x14ac:dyDescent="0.2">
      <c r="CB75" s="72">
        <f ca="1">IF(CC75="","",OFFSET($AG$32,$G$62,0))</f>
        <v>7</v>
      </c>
      <c r="CC75" s="67" t="str">
        <f ca="1">IF(OR($AE$2="",$AE$2=0,CD75=""),"",$AE$2)</f>
        <v>JH</v>
      </c>
      <c r="CD75" s="68">
        <f ca="1">OFFSET($AH$32,$G$62,0)</f>
        <v>48</v>
      </c>
      <c r="CE75" s="198"/>
      <c r="CF75" s="75">
        <f>IF(CH75="","",RANK(CH75,CH$69:CH$80,1))</f>
        <v>7</v>
      </c>
      <c r="CG75" s="67" t="str">
        <f>IF(OR($AE$2="",$AE$2=0,CH75=""),"",$AE$2)</f>
        <v>JH</v>
      </c>
      <c r="CH75" s="68">
        <f>$AH$32</f>
        <v>48</v>
      </c>
      <c r="CI75" s="196"/>
      <c r="CJ75" s="80">
        <f>IF(CK75="","",RANK(CL75,CL$69:CL$80,0))</f>
        <v>3</v>
      </c>
      <c r="CK75" s="67" t="str">
        <f>IF(OR($W$2="",$W$2=0),"",$W$2)</f>
        <v>DH</v>
      </c>
      <c r="CL75" s="81">
        <f>IF(OR(CK75="",CK75=0),"",SUM(CM75,CO75,CQ75,CS75))</f>
        <v>-10</v>
      </c>
      <c r="CM75" s="88">
        <f>IF(CK75="","",-$BO$4)</f>
        <v>-10</v>
      </c>
      <c r="CN75" s="231" t="str">
        <f>IF(IF($BO$46&gt;0,COUNTIF($Y$10,1),0)+IF($BO$46&gt;1,COUNTIF($Y$18,1),0)+IF($BO$46&gt;2,COUNTIF($Y$24,1),0)+IF($BO$46&gt;3,COUNTIF($Y$29,1),0)&gt;0,IF($BO$46&gt;0,COUNTIF($Y$10,1),0)+IF($BO$46&gt;1,COUNTIF($Y$18,1),0)+IF($BO$46&gt;2,COUNTIF($Y$24,1),0)+IF($BO$46&gt;3,COUNTIF($Y$29,1),0),"")</f>
        <v/>
      </c>
      <c r="CO75" s="91" t="str">
        <f>IF(CN75="","",IF(AND($BO$46&gt;0,$Y$10=1),$BO$6/$BO$12,0)+IF(AND($BO$46&gt;1,$Y$18=1),$BO$6/$BO$20,0)+IF(AND($BO$46&gt;2,$Y$24=1),$BO$6/$BO$26,0)+IF(AND($BO$46&gt;3,$Y$29=1),$BO$6/$BO$31,0))</f>
        <v/>
      </c>
      <c r="CP75" s="232" t="str">
        <f>IF($Y$32=1,"✓","")</f>
        <v/>
      </c>
      <c r="CQ75" s="91" t="str">
        <f>IF(CP75="✓",IF($BO$33&gt;1,($BO$7+$BO$8)/$BO$33,$BO$7/$BO$33),"")</f>
        <v/>
      </c>
      <c r="CR75" s="232" t="str">
        <f>IF($Y$32=2,"✓","")</f>
        <v/>
      </c>
      <c r="CS75" s="82" t="str">
        <f>IF(CR75="✓",$BO$8/$BP$33,"")</f>
        <v/>
      </c>
      <c r="CT75" s="1"/>
      <c r="DK75" s="1"/>
      <c r="DL75" s="27" t="s">
        <v>64</v>
      </c>
      <c r="DM75" s="24"/>
      <c r="DN75" s="24"/>
    </row>
    <row r="76" spans="2:118" ht="15" customHeight="1" x14ac:dyDescent="0.2">
      <c r="CB76" s="72">
        <f ca="1">IF(CC76="","",OFFSET($BA$32,$G$62,0))</f>
        <v>8</v>
      </c>
      <c r="CC76" s="67" t="str">
        <f ca="1">IF(OR($AY$2="",$AY$2=0,CD76=""),"",$AY$2)</f>
        <v>RR</v>
      </c>
      <c r="CD76" s="68">
        <f ca="1">OFFSET($BB$32,$G$62,0)</f>
        <v>54</v>
      </c>
      <c r="CE76" s="198"/>
      <c r="CF76" s="75">
        <f>IF(CH76="","",RANK(CH76,CH$69:CH$80,1))</f>
        <v>8</v>
      </c>
      <c r="CG76" s="67" t="str">
        <f>IF(OR($AY$2="",$AY$2=0,CH76=""),"",$AY$2)</f>
        <v>RR</v>
      </c>
      <c r="CH76" s="68">
        <f>$BB$32</f>
        <v>54</v>
      </c>
      <c r="CI76" s="196"/>
      <c r="CJ76" s="80">
        <f>IF(CK76="","",RANK(CL76,CL$69:CL$80,0))</f>
        <v>3</v>
      </c>
      <c r="CK76" s="67" t="str">
        <f>IF(OR($AE$2="",$AE$2=0),"",$AE$2)</f>
        <v>JH</v>
      </c>
      <c r="CL76" s="81">
        <f>IF(OR(CK76="",CK76=0),"",SUM(CM76,CO76,CQ76,CS76))</f>
        <v>-10</v>
      </c>
      <c r="CM76" s="88">
        <f>IF(CK76="","",-$BO$4)</f>
        <v>-10</v>
      </c>
      <c r="CN76" s="231" t="str">
        <f>IF(IF($BO$46&gt;0,COUNTIF($AG$10,1),0)+IF($BO$46&gt;1,COUNTIF($AG$18,1),0)+IF($BO$46&gt;2,COUNTIF($AG$24,1),0)+IF($BO$46&gt;3,COUNTIF($AG$29,1),0)&gt;0,IF($BO$46&gt;0,COUNTIF($AG$10,1),0)+IF($BO$46&gt;1,COUNTIF($AG$18,1),0)+IF($BO$46&gt;2,COUNTIF($AG$24,1),0)+IF($BO$46&gt;3,COUNTIF($AG$29,1),0),"")</f>
        <v/>
      </c>
      <c r="CO76" s="91" t="str">
        <f>IF(CN76="","",IF(AND($BO$46&gt;0,$AG$10=1),$BO$6/$BO$12,0)+IF(AND($BO$46&gt;1,$AG$18=1),$BO$6/$BO$20,0)+IF(AND($BO$46&gt;2,$AG$24=1),$BO$6/$BO$26,0)+IF(AND($BO$46&gt;3,$AG$29=1),$BO$6/$BO$31,0))</f>
        <v/>
      </c>
      <c r="CP76" s="232" t="str">
        <f>IF($AG$32=1,"✓","")</f>
        <v/>
      </c>
      <c r="CQ76" s="91" t="str">
        <f>IF(CP76="✓",IF($BO$33&gt;1,($BO$7+$BO$8)/$BO$33,$BO$7/$BO$33),"")</f>
        <v/>
      </c>
      <c r="CR76" s="232" t="str">
        <f>IF($AG$32=2,"✓","")</f>
        <v/>
      </c>
      <c r="CS76" s="82" t="str">
        <f>IF(CR76="✓",$BO$8/$BP$33,"")</f>
        <v/>
      </c>
      <c r="CT76" s="1"/>
      <c r="DK76" s="1"/>
      <c r="DL76" s="36" t="str">
        <f>CONCATENATE($DM$5,$DN$5)</f>
        <v xml:space="preserve">   "",</v>
      </c>
      <c r="DM76" s="24"/>
      <c r="DN76" s="24"/>
    </row>
    <row r="77" spans="2:118" ht="15" customHeight="1" x14ac:dyDescent="0.2">
      <c r="CB77" s="72">
        <f ca="1">IF(CC77="","",OFFSET($AK$32,$G$62,0))</f>
        <v>9</v>
      </c>
      <c r="CC77" s="67" t="str">
        <f ca="1">IF(OR($AI$2="",$AI$2=0,CD77=""),"",$AI$2)</f>
        <v>JL</v>
      </c>
      <c r="CD77" s="68">
        <f ca="1">OFFSET($AL$32,$G$62,0)</f>
        <v>61</v>
      </c>
      <c r="CE77" s="198"/>
      <c r="CF77" s="75">
        <f>IF(CH77="","",RANK(CH77,CH$69:CH$80,1))</f>
        <v>9</v>
      </c>
      <c r="CG77" s="67" t="str">
        <f>IF(OR($AI$2="",$AI$2=0,CH77=""),"",$AI$2)</f>
        <v>JL</v>
      </c>
      <c r="CH77" s="68">
        <f>$AL$32</f>
        <v>61</v>
      </c>
      <c r="CI77" s="196"/>
      <c r="CJ77" s="80">
        <f>IF(CK77="","",RANK(CL77,CL$69:CL$80,0))</f>
        <v>3</v>
      </c>
      <c r="CK77" s="67" t="str">
        <f>IF(OR($AI$2="",$AI$2=0),"",$AI$2)</f>
        <v>JL</v>
      </c>
      <c r="CL77" s="81">
        <f>IF(OR(CK77="",CK77=0),"",SUM(CM77,CO77,CQ77,CS77))</f>
        <v>-10</v>
      </c>
      <c r="CM77" s="88">
        <f>IF(CK77="","",-$BO$4)</f>
        <v>-10</v>
      </c>
      <c r="CN77" s="231" t="str">
        <f>IF(IF($BO$46&gt;0,COUNTIF($AK$10,1),0)+IF($BO$46&gt;1,COUNTIF($AK$18,1),0)+IF($BO$46&gt;2,COUNTIF($AK$24,1),0)+IF($BO$46&gt;3,COUNTIF($AK$29,1),0)&gt;0,IF($BO$46&gt;0,COUNTIF($AK$10,1),0)+IF($BO$46&gt;1,COUNTIF($AK$18,1),0)+IF($BO$46&gt;2,COUNTIF($AK$24,1),0)+IF($BO$46&gt;3,COUNTIF($AK$29,1),0),"")</f>
        <v/>
      </c>
      <c r="CO77" s="91" t="str">
        <f>IF(CN77="","",IF(AND($BO$46&gt;0,$AK$10=1),$BO$6/$BO$12,0)+IF(AND($BO$46&gt;1,$AK$18=1),$BO$6/$BO$20,0)+IF(AND($BO$46&gt;2,$AK$24=1),$BO$6/$BO$26,0)+IF(AND($BO$46&gt;3,$AK$29=1),$BO$6/$BO$31,0))</f>
        <v/>
      </c>
      <c r="CP77" s="232" t="str">
        <f>IF($AK$32=1,"✓","")</f>
        <v/>
      </c>
      <c r="CQ77" s="91" t="str">
        <f>IF(CP77="✓",IF($BO$33&gt;1,($BO$7+$BO$8)/$BO$33,$BO$7/$BO$33),"")</f>
        <v/>
      </c>
      <c r="CR77" s="232" t="str">
        <f>IF($AK$32=2,"✓","")</f>
        <v/>
      </c>
      <c r="CS77" s="82" t="str">
        <f>IF(CR77="✓",$BO$8/$BP$33,"")</f>
        <v/>
      </c>
      <c r="CT77" s="1"/>
      <c r="DK77" s="1"/>
      <c r="DL77" s="36" t="str">
        <f>CONCATENATE($DM$5,$DN$5)</f>
        <v xml:space="preserve">   "",</v>
      </c>
      <c r="DM77" s="24"/>
      <c r="DN77" s="24"/>
    </row>
    <row r="78" spans="2:118" ht="15" customHeight="1" x14ac:dyDescent="0.2">
      <c r="CB78" s="72">
        <f ca="1">IF(CC78="","",OFFSET($Y$32,$G$62,0))</f>
        <v>10</v>
      </c>
      <c r="CC78" s="67" t="str">
        <f ca="1">IF(OR($W$2="",$W$2=0,CD78=""),"",$W$2)</f>
        <v>DH</v>
      </c>
      <c r="CD78" s="68">
        <f ca="1">OFFSET($Z$32,$G$62,0)</f>
        <v>62</v>
      </c>
      <c r="CE78" s="198"/>
      <c r="CF78" s="75">
        <f>IF(CH78="","",RANK(CH78,CH$69:CH$80,1))</f>
        <v>10</v>
      </c>
      <c r="CG78" s="67" t="str">
        <f>IF(OR($W$2="",$W$2=0,CH78=""),"",$W$2)</f>
        <v>DH</v>
      </c>
      <c r="CH78" s="68">
        <f>$Z$32</f>
        <v>62</v>
      </c>
      <c r="CI78" s="196"/>
      <c r="CJ78" s="80">
        <f>IF(CK78="","",RANK(CL78,CL$69:CL$80,0))</f>
        <v>3</v>
      </c>
      <c r="CK78" s="67" t="str">
        <f>IF(OR($AM$2="",$AM$2=0),"",$AM$2)</f>
        <v>KC</v>
      </c>
      <c r="CL78" s="81">
        <f>IF(OR(CK78="",CK78=0),"",SUM(CM78,CO78,CQ78,CS78))</f>
        <v>-10</v>
      </c>
      <c r="CM78" s="88">
        <f>IF(CK78="","",-$BO$4)</f>
        <v>-10</v>
      </c>
      <c r="CN78" s="231" t="str">
        <f>IF(IF($BO$46&gt;0,COUNTIF($AO$10,1),0)+IF($BO$46&gt;1,COUNTIF($AO$18,1),0)+IF($BO$46&gt;2,COUNTIF($AO$24,1),0)+IF($BO$46&gt;3,COUNTIF($AO$29,1),0)&gt;0,IF($BO$46&gt;0,COUNTIF($AO$10,1),0)+IF($BO$46&gt;1,COUNTIF($AO$18,1),0)+IF($BO$46&gt;2,COUNTIF($AO$24,1),0)+IF($BO$46&gt;3,COUNTIF($AO$29,1),0),"")</f>
        <v/>
      </c>
      <c r="CO78" s="91" t="str">
        <f>IF(CN78="","",IF(AND($BO$46&gt;0,$AO$10=1),$BO$6/$BO$12,0)+IF(AND($BO$46&gt;1,$AO$18=1),$BO$6/$BO$20,0)+IF(AND($BO$46&gt;2,$AO$24=1),$BO$6/$BO$26,0)+IF(AND($BO$46&gt;3,$AO$29=1),$BO$6/$BO$31,0))</f>
        <v/>
      </c>
      <c r="CP78" s="232" t="str">
        <f>IF($AO$32=1,"✓","")</f>
        <v/>
      </c>
      <c r="CQ78" s="91" t="str">
        <f>IF(CP78="✓",IF($BO$33&gt;1,($BO$7+$BO$8)/$BO$33,$BO$7/$BO$33),"")</f>
        <v/>
      </c>
      <c r="CR78" s="232" t="str">
        <f>IF($AO$32=2,"✓","")</f>
        <v/>
      </c>
      <c r="CS78" s="82" t="str">
        <f>IF(CR78="✓",$BO$8/$BP$33,"")</f>
        <v/>
      </c>
      <c r="CT78" s="1"/>
      <c r="DK78" s="1"/>
      <c r="DL78" s="36" t="str">
        <f>CONCATENATE($DM$5,$DN$5)</f>
        <v xml:space="preserve">   "",</v>
      </c>
      <c r="DM78" s="24"/>
      <c r="DN78" s="24"/>
    </row>
    <row r="79" spans="2:118" ht="15" customHeight="1" x14ac:dyDescent="0.2">
      <c r="CB79" s="72">
        <f ca="1">IF(CC79="","",OFFSET($M$32,$G$62,0))</f>
        <v>11</v>
      </c>
      <c r="CC79" s="67" t="str">
        <f ca="1">IF(OR($K$2="",$K$2=0,CD79=""),"",$K$2)</f>
        <v>CK</v>
      </c>
      <c r="CD79" s="68">
        <f ca="1">OFFSET($N$32,$G$62,0)</f>
        <v>69</v>
      </c>
      <c r="CE79" s="198"/>
      <c r="CF79" s="75">
        <f>IF(CH79="","",RANK(CH79,CH$69:CH$80,1))</f>
        <v>11</v>
      </c>
      <c r="CG79" s="67" t="str">
        <f>IF(OR($K$2="",$K$2=0,CH79=""),"",$K$2)</f>
        <v>CK</v>
      </c>
      <c r="CH79" s="68">
        <f>$N$32</f>
        <v>69</v>
      </c>
      <c r="CI79" s="196"/>
      <c r="CJ79" s="80">
        <f>IF(CK79="","",RANK(CL79,CL$69:CL$80,0))</f>
        <v>3</v>
      </c>
      <c r="CK79" s="67" t="str">
        <f>IF(OR($AQ$2="",$AQ$2=0),"",$AQ$2)</f>
        <v>KK</v>
      </c>
      <c r="CL79" s="81">
        <f>IF(OR(CK79="",CK79=0),"",SUM(CM79,CO79,CQ79,CS79))</f>
        <v>-10</v>
      </c>
      <c r="CM79" s="88">
        <f>IF(CK79="","",-$BO$4)</f>
        <v>-10</v>
      </c>
      <c r="CN79" s="231" t="str">
        <f>IF(IF($BO$46&gt;0,COUNTIF($AS$10,1),0)+IF($BO$46&gt;1,COUNTIF($AS$18,1),0)+IF($BO$46&gt;2,COUNTIF($AS$24,1),0)+IF($BO$46&gt;3,COUNTIF($AS$29,1),0)&gt;0,IF($BO$46&gt;0,COUNTIF($AS$10,1),0)+IF($BO$46&gt;1,COUNTIF($AS$18,1),0)+IF($BO$46&gt;2,COUNTIF($AS$24,1),0)+IF($BO$46&gt;3,COUNTIF($AS$29,1),0),"")</f>
        <v/>
      </c>
      <c r="CO79" s="91" t="str">
        <f>IF(CN79="","",IF(AND($BO$46&gt;0,$AS$10=1),$BO$6/$BO$12,0)+IF(AND($BO$46&gt;1,$AS$18=1),$BO$6/$BO$20,0)+IF(AND($BO$46&gt;2,$AS$24=1),$BO$6/$BO$26,0)+IF(AND($BO$46&gt;3,$AS$29=1),$BO$6/$BO$31,0))</f>
        <v/>
      </c>
      <c r="CP79" s="232" t="str">
        <f>IF($AS$32=1,"✓","")</f>
        <v/>
      </c>
      <c r="CQ79" s="91" t="str">
        <f>IF(CP79="✓",IF($BO$33&gt;1,($BO$7+$BO$8)/$BO$33,$BO$7/$BO$33),"")</f>
        <v/>
      </c>
      <c r="CR79" s="232" t="str">
        <f>IF($AS$32=2,"✓","")</f>
        <v/>
      </c>
      <c r="CS79" s="82" t="str">
        <f>IF(CR79="✓",$BO$8/$BP$33,"")</f>
        <v/>
      </c>
      <c r="CT79" s="1"/>
      <c r="DK79" s="1"/>
      <c r="DL79" s="27" t="str">
        <f>CONCATENATE($DM$5,$M$9,$DN$5)</f>
        <v xml:space="preserve">   "52",</v>
      </c>
      <c r="DM79" s="24"/>
      <c r="DN79" s="24"/>
    </row>
    <row r="80" spans="2:118" ht="15" customHeight="1" thickBot="1" x14ac:dyDescent="0.25">
      <c r="CB80" s="73">
        <f ca="1">IF(CC80="","",OFFSET($U$32,$G$62,0))</f>
        <v>12</v>
      </c>
      <c r="CC80" s="69" t="str">
        <f ca="1">IF(OR($S$2="",$S$2=0,CD80=""),"",$S$2)</f>
        <v>DC</v>
      </c>
      <c r="CD80" s="70">
        <f ca="1">OFFSET($V$32,$G$62,0)</f>
        <v>77</v>
      </c>
      <c r="CE80" s="198"/>
      <c r="CF80" s="76">
        <f>IF(CH80="","",RANK(CH80,CH$69:CH$80,1))</f>
        <v>12</v>
      </c>
      <c r="CG80" s="69" t="str">
        <f>IF(OR($S$2="",$S$2=0,CH80=""),"",$S$2)</f>
        <v>DC</v>
      </c>
      <c r="CH80" s="70">
        <f>$V$32</f>
        <v>77</v>
      </c>
      <c r="CI80" s="196"/>
      <c r="CJ80" s="83">
        <f>IF(CK80="","",RANK(CL80,CL$69:CL$80,0))</f>
        <v>3</v>
      </c>
      <c r="CK80" s="69" t="str">
        <f>IF(OR($AY$2="",$AY$2=0),"",$AY$2)</f>
        <v>RR</v>
      </c>
      <c r="CL80" s="84">
        <f>IF(OR(CK80="",CK80=0),"",SUM(CM80,CO80,CQ80,CS80))</f>
        <v>-10</v>
      </c>
      <c r="CM80" s="89">
        <f>IF(CK80="","",-$BO$4)</f>
        <v>-10</v>
      </c>
      <c r="CN80" s="233" t="str">
        <f>IF(IF($BO$46&gt;0,COUNTIF($BA$10,1),0)+IF($BO$46&gt;1,COUNTIF($BA$18,1),0)+IF($BO$46&gt;2,COUNTIF($BA$24,1),0)+IF($BO$46&gt;3,COUNTIF($BA$29,1),0)&gt;0,IF($BO$46&gt;0,COUNTIF($BA$10,1),0)+IF($BO$46&gt;1,COUNTIF($BA$18,1),0)+IF($BO$46&gt;2,COUNTIF($BA$24,1),0)+IF($BO$46&gt;3,COUNTIF($BA$29,1),0),"")</f>
        <v/>
      </c>
      <c r="CO80" s="92" t="str">
        <f>IF(CN80="","",IF(AND($BO$46&gt;0,$BA$10=1),$BO$6/$BO$12,0)+IF(AND($BO$46&gt;1,$BA$18=1),$BO$6/$BO$20,0)+IF(AND($BO$46&gt;2,$BA$24=1),$BO$6/$BO$26,0)+IF(AND($BO$46&gt;3,$BA$29=1),$BO$6/$BO$31,0))</f>
        <v/>
      </c>
      <c r="CP80" s="234" t="str">
        <f>IF($BA$32=1,"✓","")</f>
        <v/>
      </c>
      <c r="CQ80" s="92" t="str">
        <f>IF(CP80="✓",IF($BO$33&gt;1,($BO$7+$BO$8)/$BO$33,$BO$7/$BO$33),"")</f>
        <v/>
      </c>
      <c r="CR80" s="234" t="str">
        <f>IF($BA$32=2,"✓","")</f>
        <v/>
      </c>
      <c r="CS80" s="85" t="str">
        <f>IF(CR80="✓",$BO$8/$BP$33,"")</f>
        <v/>
      </c>
      <c r="CT80" s="1"/>
      <c r="DK80" s="1"/>
      <c r="DL80" s="36" t="str">
        <f>CONCATENATE($DM$5,$DN$5)</f>
        <v xml:space="preserve">   "",</v>
      </c>
      <c r="DM80" s="24"/>
      <c r="DN80" s="24"/>
    </row>
    <row r="81" spans="99:118" ht="12.75" customHeight="1" thickTop="1" thickBot="1" x14ac:dyDescent="0.25">
      <c r="DL81" s="36" t="str">
        <f>CONCATENATE($DM$5,$DN$5)</f>
        <v xml:space="preserve">   "",</v>
      </c>
      <c r="DM81" s="24"/>
      <c r="DN81" s="24"/>
    </row>
    <row r="82" spans="99:118" ht="18" customHeight="1" thickTop="1" thickBot="1" x14ac:dyDescent="0.25">
      <c r="CU82" s="268" t="str">
        <f>CONCATENATE($Z$1," Results")</f>
        <v>2019 Football Pool Results</v>
      </c>
      <c r="CV82" s="269"/>
      <c r="CW82" s="269"/>
      <c r="CX82" s="269"/>
      <c r="CY82" s="269"/>
      <c r="CZ82" s="269"/>
      <c r="DA82" s="269"/>
      <c r="DB82" s="269"/>
      <c r="DC82" s="269"/>
      <c r="DD82" s="269"/>
      <c r="DE82" s="269"/>
      <c r="DF82" s="269"/>
      <c r="DG82" s="269"/>
      <c r="DH82" s="269"/>
      <c r="DI82" s="269"/>
      <c r="DJ82" s="270"/>
      <c r="DL82" s="36" t="str">
        <f>CONCATENATE($DM$5,$DN$5)</f>
        <v xml:space="preserve">   "",</v>
      </c>
      <c r="DM82" s="24"/>
      <c r="DN82" s="24"/>
    </row>
    <row r="83" spans="99:118" ht="18" customHeight="1" thickTop="1" thickBot="1" x14ac:dyDescent="0.25">
      <c r="CU83" s="294" t="s">
        <v>5</v>
      </c>
      <c r="CV83" s="275" t="s">
        <v>111</v>
      </c>
      <c r="CW83" s="297" t="s">
        <v>112</v>
      </c>
      <c r="CX83" s="298"/>
      <c r="CY83" s="298"/>
      <c r="CZ83" s="298"/>
      <c r="DA83" s="298"/>
      <c r="DB83" s="298"/>
      <c r="DC83" s="299"/>
      <c r="DD83" s="298" t="s">
        <v>113</v>
      </c>
      <c r="DE83" s="298"/>
      <c r="DF83" s="298"/>
      <c r="DG83" s="298"/>
      <c r="DH83" s="298"/>
      <c r="DI83" s="298"/>
      <c r="DJ83" s="299"/>
      <c r="DL83" s="27" t="str">
        <f>CONCATENATE($DM$5,$M$17,$DN$5)</f>
        <v xml:space="preserve">   "",</v>
      </c>
      <c r="DM83" s="24"/>
      <c r="DN83" s="24"/>
    </row>
    <row r="84" spans="99:118" ht="12.95" customHeight="1" x14ac:dyDescent="0.2">
      <c r="CU84" s="295"/>
      <c r="CV84" s="276"/>
      <c r="CW84" s="292" t="s">
        <v>100</v>
      </c>
      <c r="CX84" s="288" t="s">
        <v>99</v>
      </c>
      <c r="CY84" s="288" t="s">
        <v>100</v>
      </c>
      <c r="CZ84" s="288" t="s">
        <v>101</v>
      </c>
      <c r="DA84" s="288"/>
      <c r="DB84" s="288" t="s">
        <v>102</v>
      </c>
      <c r="DC84" s="300"/>
      <c r="DD84" s="290" t="str">
        <f>CONCATENATE("Cost to Play ($",$BO$4,")")</f>
        <v>Cost to Play ($10)</v>
      </c>
      <c r="DE84" s="288" t="s">
        <v>99</v>
      </c>
      <c r="DF84" s="288"/>
      <c r="DG84" s="288" t="s">
        <v>103</v>
      </c>
      <c r="DH84" s="288"/>
      <c r="DI84" s="288" t="s">
        <v>104</v>
      </c>
      <c r="DJ84" s="300"/>
      <c r="DL84" s="36" t="str">
        <f>CONCATENATE($DM$5,$DN$5)</f>
        <v xml:space="preserve">   "",</v>
      </c>
      <c r="DM84" s="24"/>
      <c r="DN84" s="24"/>
    </row>
    <row r="85" spans="99:118" ht="12.95" customHeight="1" thickBot="1" x14ac:dyDescent="0.25">
      <c r="CU85" s="296"/>
      <c r="CV85" s="277"/>
      <c r="CW85" s="293"/>
      <c r="CX85" s="289"/>
      <c r="CY85" s="289"/>
      <c r="CZ85" s="289"/>
      <c r="DA85" s="289"/>
      <c r="DB85" s="289"/>
      <c r="DC85" s="301"/>
      <c r="DD85" s="291"/>
      <c r="DE85" s="289"/>
      <c r="DF85" s="289"/>
      <c r="DG85" s="289"/>
      <c r="DH85" s="289"/>
      <c r="DI85" s="289"/>
      <c r="DJ85" s="301"/>
      <c r="DL85" s="27" t="str">
        <f>CONCATENATE($DM$5,$M$23,$DN$5)</f>
        <v xml:space="preserve">   "",</v>
      </c>
      <c r="DM85" s="24"/>
      <c r="DN85" s="24"/>
    </row>
    <row r="86" spans="99:118" ht="15" customHeight="1" x14ac:dyDescent="0.2">
      <c r="CU86" s="200" t="str">
        <f>IF(OR($AQ$2="",$AQ$2=0),"",$AQ$2)</f>
        <v>KK</v>
      </c>
      <c r="CV86" s="205">
        <f>IF(CU86="","",SUM(CW86,CY86,DA86,DC86,DD86,DF86,DH86,DJ86))</f>
        <v>83</v>
      </c>
      <c r="CW86" s="206">
        <v>-51</v>
      </c>
      <c r="CX86" s="207">
        <v>3</v>
      </c>
      <c r="CY86" s="208">
        <v>93</v>
      </c>
      <c r="CZ86" s="209" t="s">
        <v>142</v>
      </c>
      <c r="DA86" s="208">
        <v>51</v>
      </c>
      <c r="DB86" s="210" t="s">
        <v>141</v>
      </c>
      <c r="DC86" s="211" t="s">
        <v>141</v>
      </c>
      <c r="DD86" s="212">
        <f>IF(CU86="","",-$BO$4)</f>
        <v>-10</v>
      </c>
      <c r="DE86" s="207" t="str">
        <f>IF(IF($BO$46&gt;0,COUNTIF($AS$10,1),0)+IF($BO$46&gt;1,COUNTIF($AS$18,1),0)+IF($BO$46&gt;2,COUNTIF($AS$24,1),0)+IF($BO$46&gt;3,COUNTIF($AS$29,1),0)&gt;0,IF($BO$46&gt;0,COUNTIF($AS$10,1),0)+IF($BO$46&gt;1,COUNTIF($AS$18,1),0)+IF($BO$46&gt;2,COUNTIF($AS$24,1),0)+IF($BO$46&gt;3,COUNTIF($AS$29,1),0),"")</f>
        <v/>
      </c>
      <c r="DF86" s="208" t="str">
        <f>IF(DE86="","",IF(AND($BO$46&gt;0,$AS$10=1),$BO$6/$BO$12,0)+IF(AND($BO$46&gt;1,$AS$18=1),$BO$6/$BO$20,0)+IF(AND($BO$46&gt;2,$AS$24=1),$BO$6/$BO$26,0)+IF(AND($BO$46&gt;3,$AS$29=1),$BO$6/$BO$31,0))</f>
        <v/>
      </c>
      <c r="DG86" s="209" t="str">
        <f>IF($AS$32=1,"✓","")</f>
        <v/>
      </c>
      <c r="DH86" s="208" t="str">
        <f>IF(DG86="✓",IF($BO$33&gt;1,($BO$7+$BO$8)/$BO$33,$BO$7/$BO$33),"")</f>
        <v/>
      </c>
      <c r="DI86" s="210" t="str">
        <f>IF($AS$32=2,"✓","")</f>
        <v/>
      </c>
      <c r="DJ86" s="211" t="str">
        <f>IF(DI86="✓",$BO$8/$BP$33,"")</f>
        <v/>
      </c>
      <c r="DL86" s="27" t="str">
        <f>CONCATENATE($DM$5,$M$28,$DN$6)</f>
        <v xml:space="preserve">   ""</v>
      </c>
      <c r="DM86" s="24"/>
      <c r="DN86" s="24"/>
    </row>
    <row r="87" spans="99:118" ht="15" customHeight="1" x14ac:dyDescent="0.2">
      <c r="CU87" s="199" t="str">
        <f>IF(OR($AU$2="",$AU$2=0),"",$AU$2)</f>
        <v>MB</v>
      </c>
      <c r="CV87" s="213">
        <f>IF(CU87="","",SUM(CW87,CY87,DA87,DC87,DD87,DF87,DH87,DJ87))</f>
        <v>52</v>
      </c>
      <c r="CW87" s="214">
        <v>-51</v>
      </c>
      <c r="CX87" s="215">
        <v>3</v>
      </c>
      <c r="CY87" s="216">
        <v>93</v>
      </c>
      <c r="CZ87" s="217" t="s">
        <v>141</v>
      </c>
      <c r="DA87" s="216" t="s">
        <v>141</v>
      </c>
      <c r="DB87" s="218" t="s">
        <v>141</v>
      </c>
      <c r="DC87" s="219" t="s">
        <v>141</v>
      </c>
      <c r="DD87" s="220">
        <f>IF(CU87="","",-$BO$4)</f>
        <v>-10</v>
      </c>
      <c r="DE87" s="215" t="str">
        <f>IF(IF($BO$46&gt;0,COUNTIF($AW$10,1),0)+IF($BO$46&gt;1,COUNTIF($AW$18,1),0)+IF($BO$46&gt;2,COUNTIF($AW$24,1),0)+IF($BO$46&gt;3,COUNTIF($AW$29,1),0)&gt;0,IF($BO$46&gt;0,COUNTIF($AW$10,1),0)+IF($BO$46&gt;1,COUNTIF($AW$18,1),0)+IF($BO$46&gt;2,COUNTIF($AW$24,1),0)+IF($BO$46&gt;3,COUNTIF($AW$29,1),0),"")</f>
        <v/>
      </c>
      <c r="DF87" s="216" t="str">
        <f>IF(DE87="","",IF(AND($BO$46&gt;0,$AW$10=1),$BO$6/$BO$12,0)+IF(AND($BO$46&gt;1,$AW$18=1),$BO$6/$BO$20,0)+IF(AND($BO$46&gt;2,$AW$24=1),$BO$6/$BO$26,0)+IF(AND($BO$46&gt;3,$AW$29=1),$BO$6/$BO$31,0))</f>
        <v/>
      </c>
      <c r="DG87" s="217" t="str">
        <f>IF($AW$32=1,"✓","")</f>
        <v/>
      </c>
      <c r="DH87" s="216" t="str">
        <f>IF(DG87="✓",IF($BO$33&gt;1,($BO$7+$BO$8)/$BO$33,$BO$7/$BO$33),"")</f>
        <v/>
      </c>
      <c r="DI87" s="218" t="str">
        <f>IF($AW$32=2,"✓","")</f>
        <v>✓</v>
      </c>
      <c r="DJ87" s="219">
        <f>IF(DI87="✓",$BO$8/$BP$33,"")</f>
        <v>20</v>
      </c>
      <c r="DL87" s="27" t="s">
        <v>28</v>
      </c>
      <c r="DM87" s="24"/>
      <c r="DN87" s="24"/>
    </row>
    <row r="88" spans="99:118" ht="15" customHeight="1" x14ac:dyDescent="0.2">
      <c r="CU88" s="199" t="str">
        <f>IF(OR($S$2="",$S$2=0),"",$S$2)</f>
        <v>DC</v>
      </c>
      <c r="CV88" s="213">
        <f>IF(CU88="","",SUM(CW88,CY88,DA88,DC88,DD88,DF88,DH88,DJ88))</f>
        <v>35</v>
      </c>
      <c r="CW88" s="214">
        <v>-51</v>
      </c>
      <c r="CX88" s="215">
        <v>2</v>
      </c>
      <c r="CY88" s="216">
        <v>62</v>
      </c>
      <c r="CZ88" s="217" t="s">
        <v>141</v>
      </c>
      <c r="DA88" s="216" t="s">
        <v>141</v>
      </c>
      <c r="DB88" s="218" t="s">
        <v>142</v>
      </c>
      <c r="DC88" s="219">
        <v>34</v>
      </c>
      <c r="DD88" s="220">
        <f>IF(CU88="","",-$BO$4)</f>
        <v>-10</v>
      </c>
      <c r="DE88" s="215" t="str">
        <f>IF(IF($BO$46&gt;0,COUNTIF($U$10,1),0)+IF($BO$46&gt;1,COUNTIF($U$18,1),0)+IF($BO$46&gt;2,COUNTIF($U$24,1),0)+IF($BO$46&gt;3,COUNTIF($U$29,1),0)&gt;0,IF($BO$46&gt;0,COUNTIF($U$10,1),0)+IF($BO$46&gt;1,COUNTIF($U$18,1),0)+IF($BO$46&gt;2,COUNTIF($U$24,1),0)+IF($BO$46&gt;3,COUNTIF($U$29,1),0),"")</f>
        <v/>
      </c>
      <c r="DF88" s="216" t="str">
        <f>IF(DE88="","",IF(AND($BO$46&gt;0,$U$10=1),$BO$6/$BO$12,0)+IF(AND($BO$46&gt;1,$U$18=1),$BO$6/$BO$20,0)+IF(AND($BO$46&gt;2,$U$24=1),$BO$6/$BO$26,0)+IF(AND($BO$46&gt;3,$U$29=1),$BO$6/$BO$31,0))</f>
        <v/>
      </c>
      <c r="DG88" s="217" t="str">
        <f>IF($U$32=1,"✓","")</f>
        <v/>
      </c>
      <c r="DH88" s="216" t="str">
        <f>IF(DG88="✓",IF($BO$33&gt;1,($BO$7+$BO$8)/$BO$33,$BO$7/$BO$33),"")</f>
        <v/>
      </c>
      <c r="DI88" s="218" t="str">
        <f>IF($U$32=2,"✓","")</f>
        <v/>
      </c>
      <c r="DJ88" s="219" t="str">
        <f>IF(DI88="✓",$BO$8/$BP$33,"")</f>
        <v/>
      </c>
      <c r="DL88" s="46"/>
      <c r="DM88" s="24"/>
      <c r="DN88" s="24"/>
    </row>
    <row r="89" spans="99:118" ht="15" customHeight="1" x14ac:dyDescent="0.2">
      <c r="CU89" s="257" t="str">
        <f>IF(OR($AY$2="",$AY$2=0),"",$AY$2)</f>
        <v>RR</v>
      </c>
      <c r="CV89" s="213">
        <f>IF(CU89="","",SUM(CW89,CY89,DA89,DC89,DD89,DF89,DH89,DJ89))</f>
        <v>32</v>
      </c>
      <c r="CW89" s="214">
        <v>-51</v>
      </c>
      <c r="CX89" s="215">
        <v>3</v>
      </c>
      <c r="CY89" s="216">
        <v>93</v>
      </c>
      <c r="CZ89" s="217" t="s">
        <v>141</v>
      </c>
      <c r="DA89" s="216" t="s">
        <v>141</v>
      </c>
      <c r="DB89" s="218" t="s">
        <v>141</v>
      </c>
      <c r="DC89" s="219" t="s">
        <v>141</v>
      </c>
      <c r="DD89" s="220">
        <f>IF(CU89="","",-$BO$4)</f>
        <v>-10</v>
      </c>
      <c r="DE89" s="215" t="str">
        <f>IF(IF($BO$46&gt;0,COUNTIF($BA$10,1),0)+IF($BO$46&gt;1,COUNTIF($BA$18,1),0)+IF($BO$46&gt;2,COUNTIF($BA$24,1),0)+IF($BO$46&gt;3,COUNTIF($BA$29,1),0)&gt;0,IF($BO$46&gt;0,COUNTIF($BA$10,1),0)+IF($BO$46&gt;1,COUNTIF($BA$18,1),0)+IF($BO$46&gt;2,COUNTIF($BA$24,1),0)+IF($BO$46&gt;3,COUNTIF($BA$29,1),0),"")</f>
        <v/>
      </c>
      <c r="DF89" s="216" t="str">
        <f>IF(DE89="","",IF(AND($BO$46&gt;0,$BA$10=1),$BO$6/$BO$12,0)+IF(AND($BO$46&gt;1,$BA$18=1),$BO$6/$BO$20,0)+IF(AND($BO$46&gt;2,$BA$24=1),$BO$6/$BO$26,0)+IF(AND($BO$46&gt;3,$BA$29=1),$BO$6/$BO$31,0))</f>
        <v/>
      </c>
      <c r="DG89" s="217" t="str">
        <f>IF($BA$32=1,"✓","")</f>
        <v/>
      </c>
      <c r="DH89" s="216" t="str">
        <f>IF(DG89="✓",IF($BO$33&gt;1,($BO$7+$BO$8)/$BO$33,$BO$7/$BO$33),"")</f>
        <v/>
      </c>
      <c r="DI89" s="218" t="str">
        <f>IF($BA$32=2,"✓","")</f>
        <v/>
      </c>
      <c r="DJ89" s="219" t="str">
        <f>IF(DI89="✓",$BO$8/$BP$33,"")</f>
        <v/>
      </c>
      <c r="DL89" s="27" t="s">
        <v>32</v>
      </c>
      <c r="DM89" s="24"/>
      <c r="DN89" s="24"/>
    </row>
    <row r="90" spans="99:118" ht="15" customHeight="1" x14ac:dyDescent="0.2">
      <c r="CU90" s="199" t="str">
        <f>IF(OR($AA$2="",$AA$2=0),"",$AA$2)</f>
        <v>JG</v>
      </c>
      <c r="CV90" s="213">
        <f>IF(CU90="","",SUM(CW90,CY90,DA90,DC90,DD90,DF90,DH90,DJ90))</f>
        <v>9</v>
      </c>
      <c r="CW90" s="214">
        <v>-51</v>
      </c>
      <c r="CX90" s="215" t="s">
        <v>141</v>
      </c>
      <c r="CY90" s="216" t="s">
        <v>141</v>
      </c>
      <c r="CZ90" s="217" t="s">
        <v>141</v>
      </c>
      <c r="DA90" s="216" t="s">
        <v>141</v>
      </c>
      <c r="DB90" s="218" t="s">
        <v>141</v>
      </c>
      <c r="DC90" s="219" t="s">
        <v>141</v>
      </c>
      <c r="DD90" s="220">
        <f>IF(CU90="","",-$BO$4)</f>
        <v>-10</v>
      </c>
      <c r="DE90" s="215">
        <f>IF(IF($BO$46&gt;0,COUNTIF($AC$10,1),0)+IF($BO$46&gt;1,COUNTIF($AC$18,1),0)+IF($BO$46&gt;2,COUNTIF($AC$24,1),0)+IF($BO$46&gt;3,COUNTIF($AC$29,1),0)&gt;0,IF($BO$46&gt;0,COUNTIF($AC$10,1),0)+IF($BO$46&gt;1,COUNTIF($AC$18,1),0)+IF($BO$46&gt;2,COUNTIF($AC$24,1),0)+IF($BO$46&gt;3,COUNTIF($AC$29,1),0),"")</f>
        <v>1</v>
      </c>
      <c r="DF90" s="216">
        <f>IF(DE90="","",IF(AND($BO$46&gt;0,$AC$10=1),$BO$6/$BO$12,0)+IF(AND($BO$46&gt;1,$AC$18=1),$BO$6/$BO$20,0)+IF(AND($BO$46&gt;2,$AC$24=1),$BO$6/$BO$26,0)+IF(AND($BO$46&gt;3,$AC$29=1),$BO$6/$BO$31,0))</f>
        <v>10</v>
      </c>
      <c r="DG90" s="217" t="str">
        <f>IF($AC$32=1,"✓","")</f>
        <v>✓</v>
      </c>
      <c r="DH90" s="216">
        <f>IF(DG90="✓",IF($BO$33&gt;1,($BO$7+$BO$8)/$BO$33,$BO$7/$BO$33),"")</f>
        <v>60</v>
      </c>
      <c r="DI90" s="218" t="str">
        <f>IF($AC$32=2,"✓","")</f>
        <v/>
      </c>
      <c r="DJ90" s="219" t="str">
        <f>IF(DI90="✓",$BO$8/$BP$33,"")</f>
        <v/>
      </c>
      <c r="DL90" s="27" t="str">
        <f>CONCATENATE($DM$5,$O$5,$DN$5)</f>
        <v xml:space="preserve">   "H",</v>
      </c>
      <c r="DM90" s="24"/>
      <c r="DN90" s="24"/>
    </row>
    <row r="91" spans="99:118" ht="15" customHeight="1" x14ac:dyDescent="0.2">
      <c r="CU91" s="199" t="str">
        <f>IF(OR($K$2="",$K$2=0),"",$K$2)</f>
        <v>CK</v>
      </c>
      <c r="CV91" s="213">
        <f>IF(CU91="","",SUM(CW91,CY91,DA91,DC91,DD91,DF91,DH91,DJ91))</f>
        <v>1</v>
      </c>
      <c r="CW91" s="214">
        <v>-51</v>
      </c>
      <c r="CX91" s="215">
        <v>2</v>
      </c>
      <c r="CY91" s="216">
        <v>62</v>
      </c>
      <c r="CZ91" s="217" t="s">
        <v>141</v>
      </c>
      <c r="DA91" s="216" t="s">
        <v>141</v>
      </c>
      <c r="DB91" s="218" t="s">
        <v>141</v>
      </c>
      <c r="DC91" s="219" t="s">
        <v>141</v>
      </c>
      <c r="DD91" s="220">
        <f>IF(CU91="","",-$BO$4)</f>
        <v>-10</v>
      </c>
      <c r="DE91" s="215" t="str">
        <f>IF(IF($BO$46&gt;0,COUNTIF($M$10,1),0)+IF($BO$46&gt;1,COUNTIF($M$18,1),0)+IF($BO$46&gt;2,COUNTIF($M$24,1),0)+IF($BO$46&gt;3,COUNTIF($M$29,1),0)&gt;0,IF($BO$46&gt;0,COUNTIF($M$10,1),0)+IF($BO$46&gt;1,COUNTIF($M$18,1),0)+IF($BO$46&gt;2,COUNTIF($M$24,1),0)+IF($BO$46&gt;3,COUNTIF($M$29,1),0),"")</f>
        <v/>
      </c>
      <c r="DF91" s="216" t="str">
        <f>IF(DE91="","",IF(AND($BO$46&gt;0,$M$10=1),$BO$6/$BO$12,0)+IF(AND($BO$46&gt;1,$M$18=1),$BO$6/$BO$20,0)+IF(AND($BO$46&gt;2,$M$24=1),$BO$6/$BO$26,0)+IF(AND($BO$46&gt;3,$M$29=1),$BO$6/$BO$31,0))</f>
        <v/>
      </c>
      <c r="DG91" s="217" t="str">
        <f>IF($M$32=1,"✓","")</f>
        <v/>
      </c>
      <c r="DH91" s="216" t="str">
        <f>IF(DG91="✓",IF($BO$33&gt;1,($BO$7+$BO$8)/$BO$33,$BO$7/$BO$33),"")</f>
        <v/>
      </c>
      <c r="DI91" s="218" t="str">
        <f>IF($M$32=2,"✓","")</f>
        <v/>
      </c>
      <c r="DJ91" s="219" t="str">
        <f>IF(DI91="✓",$BO$8/$BP$33,"")</f>
        <v/>
      </c>
      <c r="DL91" s="27" t="str">
        <f>CONCATENATE($DM$5,$O$6,$DN$5)</f>
        <v xml:space="preserve">   "H",</v>
      </c>
      <c r="DM91" s="24"/>
      <c r="DN91" s="24"/>
    </row>
    <row r="92" spans="99:118" ht="15" customHeight="1" x14ac:dyDescent="0.2">
      <c r="CU92" s="199" t="str">
        <f>IF(OR($AI$2="",$AI$2=0),"",$AI$2)</f>
        <v>JL</v>
      </c>
      <c r="CV92" s="213">
        <f>IF(CU92="","",SUM(CW92,CY92,DA92,DC92,DD92,DF92,DH92,DJ92))</f>
        <v>1</v>
      </c>
      <c r="CW92" s="214">
        <v>-51</v>
      </c>
      <c r="CX92" s="215">
        <v>2</v>
      </c>
      <c r="CY92" s="216">
        <v>62</v>
      </c>
      <c r="CZ92" s="217" t="s">
        <v>141</v>
      </c>
      <c r="DA92" s="216" t="s">
        <v>141</v>
      </c>
      <c r="DB92" s="218" t="s">
        <v>141</v>
      </c>
      <c r="DC92" s="219" t="s">
        <v>141</v>
      </c>
      <c r="DD92" s="220">
        <f>IF(CU92="","",-$BO$4)</f>
        <v>-10</v>
      </c>
      <c r="DE92" s="215" t="str">
        <f>IF(IF($BO$46&gt;0,COUNTIF($AK$10,1),0)+IF($BO$46&gt;1,COUNTIF($AK$18,1),0)+IF($BO$46&gt;2,COUNTIF($AK$24,1),0)+IF($BO$46&gt;3,COUNTIF($AK$29,1),0)&gt;0,IF($BO$46&gt;0,COUNTIF($AK$10,1),0)+IF($BO$46&gt;1,COUNTIF($AK$18,1),0)+IF($BO$46&gt;2,COUNTIF($AK$24,1),0)+IF($BO$46&gt;3,COUNTIF($AK$29,1),0),"")</f>
        <v/>
      </c>
      <c r="DF92" s="216" t="str">
        <f>IF(DE92="","",IF(AND($BO$46&gt;0,$AK$10=1),$BO$6/$BO$12,0)+IF(AND($BO$46&gt;1,$AK$18=1),$BO$6/$BO$20,0)+IF(AND($BO$46&gt;2,$AK$24=1),$BO$6/$BO$26,0)+IF(AND($BO$46&gt;3,$AK$29=1),$BO$6/$BO$31,0))</f>
        <v/>
      </c>
      <c r="DG92" s="217" t="str">
        <f>IF($AK$32=1,"✓","")</f>
        <v/>
      </c>
      <c r="DH92" s="216" t="str">
        <f>IF(DG92="✓",IF($BO$33&gt;1,($BO$7+$BO$8)/$BO$33,$BO$7/$BO$33),"")</f>
        <v/>
      </c>
      <c r="DI92" s="218" t="str">
        <f>IF($AK$32=2,"✓","")</f>
        <v/>
      </c>
      <c r="DJ92" s="219" t="str">
        <f>IF(DI92="✓",$BO$8/$BP$33,"")</f>
        <v/>
      </c>
      <c r="DL92" s="27" t="str">
        <f>CONCATENATE($DM$5,$O$7,$DN$5)</f>
        <v xml:space="preserve">   "H",</v>
      </c>
      <c r="DM92" s="24"/>
      <c r="DN92" s="24"/>
    </row>
    <row r="93" spans="99:118" ht="15" customHeight="1" x14ac:dyDescent="0.2">
      <c r="CU93" s="199" t="str">
        <f>IF(OR($AE$2="",$AE$2=0),"",$AE$2)</f>
        <v>JH</v>
      </c>
      <c r="CV93" s="213">
        <f>IF(CU93="","",SUM(CW93,CY93,DA93,DC93,DD93,DF93,DH93,DJ93))</f>
        <v>-30</v>
      </c>
      <c r="CW93" s="214">
        <v>-51</v>
      </c>
      <c r="CX93" s="215">
        <v>1</v>
      </c>
      <c r="CY93" s="216">
        <v>31</v>
      </c>
      <c r="CZ93" s="217" t="s">
        <v>141</v>
      </c>
      <c r="DA93" s="216" t="s">
        <v>141</v>
      </c>
      <c r="DB93" s="218" t="s">
        <v>141</v>
      </c>
      <c r="DC93" s="219" t="s">
        <v>141</v>
      </c>
      <c r="DD93" s="220">
        <f>IF(CU93="","",-$BO$4)</f>
        <v>-10</v>
      </c>
      <c r="DE93" s="215" t="str">
        <f>IF(IF($BO$46&gt;0,COUNTIF($AG$10,1),0)+IF($BO$46&gt;1,COUNTIF($AG$18,1),0)+IF($BO$46&gt;2,COUNTIF($AG$24,1),0)+IF($BO$46&gt;3,COUNTIF($AG$29,1),0)&gt;0,IF($BO$46&gt;0,COUNTIF($AG$10,1),0)+IF($BO$46&gt;1,COUNTIF($AG$18,1),0)+IF($BO$46&gt;2,COUNTIF($AG$24,1),0)+IF($BO$46&gt;3,COUNTIF($AG$29,1),0),"")</f>
        <v/>
      </c>
      <c r="DF93" s="216" t="str">
        <f>IF(DE93="","",IF(AND($BO$46&gt;0,$AG$10=1),$BO$6/$BO$12,0)+IF(AND($BO$46&gt;1,$AG$18=1),$BO$6/$BO$20,0)+IF(AND($BO$46&gt;2,$AG$24=1),$BO$6/$BO$26,0)+IF(AND($BO$46&gt;3,$AG$29=1),$BO$6/$BO$31,0))</f>
        <v/>
      </c>
      <c r="DG93" s="217" t="str">
        <f>IF($AG$32=1,"✓","")</f>
        <v/>
      </c>
      <c r="DH93" s="216" t="str">
        <f>IF(DG93="✓",IF($BO$33&gt;1,($BO$7+$BO$8)/$BO$33,$BO$7/$BO$33),"")</f>
        <v/>
      </c>
      <c r="DI93" s="218" t="str">
        <f>IF($AG$32=2,"✓","")</f>
        <v/>
      </c>
      <c r="DJ93" s="219" t="str">
        <f>IF(DI93="✓",$BO$8/$BP$33,"")</f>
        <v/>
      </c>
      <c r="DL93" s="27" t="str">
        <f>CONCATENATE($DM$5,$O$8,$DN$5)</f>
        <v xml:space="preserve">   "V",</v>
      </c>
      <c r="DM93" s="24"/>
      <c r="DN93" s="24"/>
    </row>
    <row r="94" spans="99:118" ht="15" customHeight="1" x14ac:dyDescent="0.2">
      <c r="CU94" s="199" t="str">
        <f>IF(OR($AM$2="",$AM$2=0),"",$AM$2)</f>
        <v>KC</v>
      </c>
      <c r="CV94" s="213">
        <f>IF(CU94="","",SUM(CW94,CY94,DA94,DC94,DD94,DF94,DH94,DJ94))</f>
        <v>-30</v>
      </c>
      <c r="CW94" s="214">
        <v>-51</v>
      </c>
      <c r="CX94" s="215">
        <v>1</v>
      </c>
      <c r="CY94" s="216">
        <v>31</v>
      </c>
      <c r="CZ94" s="217" t="s">
        <v>141</v>
      </c>
      <c r="DA94" s="216" t="s">
        <v>141</v>
      </c>
      <c r="DB94" s="218" t="s">
        <v>141</v>
      </c>
      <c r="DC94" s="219" t="s">
        <v>141</v>
      </c>
      <c r="DD94" s="220">
        <f>IF(CU94="","",-$BO$4)</f>
        <v>-10</v>
      </c>
      <c r="DE94" s="215" t="str">
        <f>IF(IF($BO$46&gt;0,COUNTIF($AO$10,1),0)+IF($BO$46&gt;1,COUNTIF($AO$18,1),0)+IF($BO$46&gt;2,COUNTIF($AO$24,1),0)+IF($BO$46&gt;3,COUNTIF($AO$29,1),0)&gt;0,IF($BO$46&gt;0,COUNTIF($AO$10,1),0)+IF($BO$46&gt;1,COUNTIF($AO$18,1),0)+IF($BO$46&gt;2,COUNTIF($AO$24,1),0)+IF($BO$46&gt;3,COUNTIF($AO$29,1),0),"")</f>
        <v/>
      </c>
      <c r="DF94" s="216" t="str">
        <f>IF(DE94="","",IF(AND($BO$46&gt;0,$AO$10=1),$BO$6/$BO$12,0)+IF(AND($BO$46&gt;1,$AO$18=1),$BO$6/$BO$20,0)+IF(AND($BO$46&gt;2,$AO$24=1),$BO$6/$BO$26,0)+IF(AND($BO$46&gt;3,$AO$29=1),$BO$6/$BO$31,0))</f>
        <v/>
      </c>
      <c r="DG94" s="217" t="str">
        <f>IF($AO$32=1,"✓","")</f>
        <v/>
      </c>
      <c r="DH94" s="216" t="str">
        <f>IF(DG94="✓",IF($BO$33&gt;1,($BO$7+$BO$8)/$BO$33,$BO$7/$BO$33),"")</f>
        <v/>
      </c>
      <c r="DI94" s="218" t="str">
        <f>IF($AO$32=2,"✓","")</f>
        <v/>
      </c>
      <c r="DJ94" s="219" t="str">
        <f>IF(DI94="✓",$BO$8/$BP$33,"")</f>
        <v/>
      </c>
      <c r="DL94" s="27" t="str">
        <f>CONCATENATE($DM$5,$O$13,$DN$5)</f>
        <v xml:space="preserve">   "",</v>
      </c>
      <c r="DM94" s="24"/>
      <c r="DN94" s="24"/>
    </row>
    <row r="95" spans="99:118" ht="15" customHeight="1" x14ac:dyDescent="0.2">
      <c r="CU95" s="199" t="str">
        <f>IF(OR($G$2="",$G$2=0),"",$G$2)</f>
        <v>BM</v>
      </c>
      <c r="CV95" s="213">
        <f>IF(CU95="","",SUM(CW95,CY95,DA95,DC95,DD95,DF95,DH95,DJ95))</f>
        <v>-61</v>
      </c>
      <c r="CW95" s="214">
        <v>-51</v>
      </c>
      <c r="CX95" s="215" t="s">
        <v>141</v>
      </c>
      <c r="CY95" s="216" t="s">
        <v>141</v>
      </c>
      <c r="CZ95" s="217" t="s">
        <v>141</v>
      </c>
      <c r="DA95" s="216" t="s">
        <v>141</v>
      </c>
      <c r="DB95" s="218" t="s">
        <v>141</v>
      </c>
      <c r="DC95" s="219" t="s">
        <v>141</v>
      </c>
      <c r="DD95" s="220">
        <f>IF(CU95="","",-$BO$4)</f>
        <v>-10</v>
      </c>
      <c r="DE95" s="215" t="str">
        <f>IF(IF($BO$46&gt;0,COUNTIF($I$10,1),0)+IF($BO$46&gt;1,COUNTIF($I$18,1),0)+IF($BO$46&gt;2,COUNTIF($I$24,1),0)+IF($BO$46&gt;3,COUNTIF($I$29,1),0)&gt;0,IF($BO$46&gt;0,COUNTIF($I$10,1),0)+IF($BO$46&gt;1,COUNTIF($I$18,1),0)+IF($BO$46&gt;2,COUNTIF($I$24,1),0)+IF($BO$46&gt;3,COUNTIF($I$29,1),0),"")</f>
        <v/>
      </c>
      <c r="DF95" s="216" t="str">
        <f>IF(DE95="","",IF(AND($BO$46&gt;0,$I$10=1),$BO$6/$BO$12,0)+IF(AND($BO$46&gt;1,$I$18=1),$BO$6/$BO$20,0)+IF(AND($BO$46&gt;2,$I$24=1),$BO$6/$BO$26,0)+IF(AND($BO$46&gt;3,$I$29=1),$BO$6/$BO$31,0))</f>
        <v/>
      </c>
      <c r="DG95" s="217" t="str">
        <f>IF($I$32=1,"✓","")</f>
        <v/>
      </c>
      <c r="DH95" s="216" t="str">
        <f>IF(DG95="✓",IF($BO$33&gt;1,($BO$7+$BO$8)/$BO$33,$BO$7/$BO$33),"")</f>
        <v/>
      </c>
      <c r="DI95" s="218" t="str">
        <f>IF($I$32=2,"✓","")</f>
        <v/>
      </c>
      <c r="DJ95" s="219" t="str">
        <f>IF(DI95="✓",$BO$8/$BP$33,"")</f>
        <v/>
      </c>
      <c r="DL95" s="27" t="str">
        <f>CONCATENATE($DM$5,$O$14,$DN$5)</f>
        <v xml:space="preserve">   "",</v>
      </c>
      <c r="DM95" s="24"/>
      <c r="DN95" s="24"/>
    </row>
    <row r="96" spans="99:118" ht="15" customHeight="1" x14ac:dyDescent="0.2">
      <c r="CU96" s="199" t="str">
        <f>IF(OR($O$2="",$O$2=0),"",$O$2)</f>
        <v>CP</v>
      </c>
      <c r="CV96" s="213">
        <f>IF(CU96="","",SUM(CW96,CY96,DA96,DC96,DD96,DF96,DH96,DJ96))</f>
        <v>-61</v>
      </c>
      <c r="CW96" s="214">
        <v>-51</v>
      </c>
      <c r="CX96" s="215" t="s">
        <v>141</v>
      </c>
      <c r="CY96" s="216" t="s">
        <v>141</v>
      </c>
      <c r="CZ96" s="217" t="s">
        <v>141</v>
      </c>
      <c r="DA96" s="216" t="s">
        <v>141</v>
      </c>
      <c r="DB96" s="218" t="s">
        <v>141</v>
      </c>
      <c r="DC96" s="219" t="s">
        <v>141</v>
      </c>
      <c r="DD96" s="220">
        <f>IF(CU96="","",-$BO$4)</f>
        <v>-10</v>
      </c>
      <c r="DE96" s="215" t="str">
        <f>IF(IF($BO$46&gt;0,COUNTIF($Q$10,1),0)+IF($BO$46&gt;1,COUNTIF($Q$18,1),0)+IF($BO$46&gt;2,COUNTIF($Q$24,1),0)+IF($BO$46&gt;3,COUNTIF($Q$29,1),0)&gt;0,IF($BO$46&gt;0,COUNTIF($Q$10,1),0)+IF($BO$46&gt;1,COUNTIF($Q$18,1),0)+IF($BO$46&gt;2,COUNTIF($Q$24,1),0)+IF($BO$46&gt;3,COUNTIF($Q$29,1),0),"")</f>
        <v/>
      </c>
      <c r="DF96" s="216" t="str">
        <f>IF(DE96="","",IF(AND($BO$46&gt;0,$Q$10=1),$BO$6/$BO$12,0)+IF(AND($BO$46&gt;1,$Q$18=1),$BO$6/$BO$20,0)+IF(AND($BO$46&gt;2,$Q$24=1),$BO$6/$BO$26,0)+IF(AND($BO$46&gt;3,$Q$29=1),$BO$6/$BO$31,0))</f>
        <v/>
      </c>
      <c r="DG96" s="217" t="str">
        <f>IF($Q$32=1,"✓","")</f>
        <v/>
      </c>
      <c r="DH96" s="216" t="str">
        <f>IF(DG96="✓",IF($BO$33&gt;1,($BO$7+$BO$8)/$BO$33,$BO$7/$BO$33),"")</f>
        <v/>
      </c>
      <c r="DI96" s="218" t="str">
        <f>IF($Q$32=2,"✓","")</f>
        <v/>
      </c>
      <c r="DJ96" s="219" t="str">
        <f>IF(DI96="✓",$BO$8/$BP$33,"")</f>
        <v/>
      </c>
      <c r="DL96" s="27" t="str">
        <f>CONCATENATE($DM$5,$O$15,$DN$5)</f>
        <v xml:space="preserve">   "",</v>
      </c>
      <c r="DM96" s="24"/>
      <c r="DN96" s="24"/>
    </row>
    <row r="97" spans="99:118" ht="15" customHeight="1" thickBot="1" x14ac:dyDescent="0.25">
      <c r="CU97" s="258" t="str">
        <f>IF(OR($W$2="",$W$2=0),"",$W$2)</f>
        <v>DH</v>
      </c>
      <c r="CV97" s="221">
        <f>IF(CU97="","",SUM(CW97,CY97,DA97,DC97,DD97,DF97,DH97,DJ97))</f>
        <v>-61</v>
      </c>
      <c r="CW97" s="222">
        <v>-51</v>
      </c>
      <c r="CX97" s="223" t="s">
        <v>141</v>
      </c>
      <c r="CY97" s="224" t="s">
        <v>141</v>
      </c>
      <c r="CZ97" s="225" t="s">
        <v>141</v>
      </c>
      <c r="DA97" s="224" t="s">
        <v>141</v>
      </c>
      <c r="DB97" s="226" t="s">
        <v>141</v>
      </c>
      <c r="DC97" s="227" t="s">
        <v>141</v>
      </c>
      <c r="DD97" s="228">
        <f>IF(CU97="","",-$BO$4)</f>
        <v>-10</v>
      </c>
      <c r="DE97" s="223" t="str">
        <f>IF(IF($BO$46&gt;0,COUNTIF($Y$10,1),0)+IF($BO$46&gt;1,COUNTIF($Y$18,1),0)+IF($BO$46&gt;2,COUNTIF($Y$24,1),0)+IF($BO$46&gt;3,COUNTIF($Y$29,1),0)&gt;0,IF($BO$46&gt;0,COUNTIF($Y$10,1),0)+IF($BO$46&gt;1,COUNTIF($Y$18,1),0)+IF($BO$46&gt;2,COUNTIF($Y$24,1),0)+IF($BO$46&gt;3,COUNTIF($Y$29,1),0),"")</f>
        <v/>
      </c>
      <c r="DF97" s="224" t="str">
        <f>IF(DE97="","",IF(AND($BO$46&gt;0,$Y$10=1),$BO$6/$BO$12,0)+IF(AND($BO$46&gt;1,$Y$18=1),$BO$6/$BO$20,0)+IF(AND($BO$46&gt;2,$Y$24=1),$BO$6/$BO$26,0)+IF(AND($BO$46&gt;3,$Y$29=1),$BO$6/$BO$31,0))</f>
        <v/>
      </c>
      <c r="DG97" s="225" t="str">
        <f>IF($Y$32=1,"✓","")</f>
        <v/>
      </c>
      <c r="DH97" s="224" t="str">
        <f>IF(DG97="✓",IF($BO$33&gt;1,($BO$7+$BO$8)/$BO$33,$BO$7/$BO$33),"")</f>
        <v/>
      </c>
      <c r="DI97" s="226" t="str">
        <f>IF($Y$32=2,"✓","")</f>
        <v/>
      </c>
      <c r="DJ97" s="227" t="str">
        <f>IF(DI97="✓",$BO$8/$BP$33,"")</f>
        <v/>
      </c>
      <c r="DL97" s="27" t="str">
        <f>CONCATENATE($DM$5,$O$16,$DN$5)</f>
        <v xml:space="preserve">   "",</v>
      </c>
      <c r="DM97" s="24"/>
      <c r="DN97" s="24"/>
    </row>
    <row r="98" spans="99:118" ht="12.75" customHeight="1" thickTop="1" x14ac:dyDescent="0.2">
      <c r="DL98" s="27" t="str">
        <f>CONCATENATE($DM$5,$O$21,$DN$5)</f>
        <v xml:space="preserve">   "",</v>
      </c>
      <c r="DM98" s="24"/>
      <c r="DN98" s="24"/>
    </row>
    <row r="99" spans="99:118" ht="12.75" customHeight="1" x14ac:dyDescent="0.2">
      <c r="DL99" s="27" t="str">
        <f>CONCATENATE($DM$5,$O$22,$DN$5)</f>
        <v xml:space="preserve">   "",</v>
      </c>
      <c r="DM99" s="24"/>
      <c r="DN99" s="24"/>
    </row>
    <row r="100" spans="99:118" ht="12.75" customHeight="1" x14ac:dyDescent="0.2">
      <c r="DL100" s="27" t="str">
        <f>CONCATENATE($DM$5,$O$27,$DN$6)</f>
        <v xml:space="preserve">   ""</v>
      </c>
      <c r="DM100" s="24"/>
      <c r="DN100" s="24"/>
    </row>
    <row r="101" spans="99:118" ht="12.75" customHeight="1" x14ac:dyDescent="0.2">
      <c r="DL101" s="27" t="s">
        <v>28</v>
      </c>
      <c r="DM101" s="24"/>
      <c r="DN101" s="24"/>
    </row>
    <row r="102" spans="99:118" ht="12.75" customHeight="1" x14ac:dyDescent="0.2">
      <c r="DL102" s="27"/>
      <c r="DM102" s="24"/>
      <c r="DN102" s="24"/>
    </row>
    <row r="103" spans="99:118" ht="12.75" customHeight="1" x14ac:dyDescent="0.2">
      <c r="DL103" s="27" t="s">
        <v>33</v>
      </c>
      <c r="DM103" s="24"/>
      <c r="DN103" s="24"/>
    </row>
    <row r="104" spans="99:118" ht="12.75" customHeight="1" x14ac:dyDescent="0.2">
      <c r="DL104" s="27" t="str">
        <f>CONCATENATE($DM$5,$Q$5,$DN$5)</f>
        <v xml:space="preserve">   "3",</v>
      </c>
      <c r="DM104" s="24"/>
      <c r="DN104" s="24"/>
    </row>
    <row r="105" spans="99:118" ht="12.75" customHeight="1" x14ac:dyDescent="0.2">
      <c r="DL105" s="27" t="str">
        <f>CONCATENATE($DM$5,$Q$6,$DN$5)</f>
        <v xml:space="preserve">   "5",</v>
      </c>
      <c r="DM105" s="24"/>
      <c r="DN105" s="24"/>
    </row>
    <row r="106" spans="99:118" ht="12.75" customHeight="1" x14ac:dyDescent="0.2">
      <c r="DL106" s="27" t="str">
        <f>CONCATENATE($DM$5,$Q$7,$DN$5)</f>
        <v xml:space="preserve">   "7",</v>
      </c>
      <c r="DM106" s="24"/>
      <c r="DN106" s="24"/>
    </row>
    <row r="107" spans="99:118" ht="12.75" customHeight="1" x14ac:dyDescent="0.2">
      <c r="DL107" s="27" t="str">
        <f>CONCATENATE($DM$5,$Q$8,$DN$5)</f>
        <v xml:space="preserve">   "3",</v>
      </c>
      <c r="DM107" s="24"/>
      <c r="DN107" s="24"/>
    </row>
    <row r="108" spans="99:118" ht="12.75" customHeight="1" x14ac:dyDescent="0.2">
      <c r="DL108" s="27" t="str">
        <f>CONCATENATE($DM$5,$Q$13,$DN$5)</f>
        <v xml:space="preserve">   "",</v>
      </c>
      <c r="DM108" s="24"/>
      <c r="DN108" s="24"/>
    </row>
    <row r="109" spans="99:118" ht="12.75" customHeight="1" x14ac:dyDescent="0.2">
      <c r="DL109" s="27" t="str">
        <f>CONCATENATE($DM$5,$Q$14,$DN$5)</f>
        <v xml:space="preserve">   "",</v>
      </c>
      <c r="DM109" s="24"/>
      <c r="DN109" s="24"/>
    </row>
    <row r="110" spans="99:118" ht="12.75" customHeight="1" x14ac:dyDescent="0.2">
      <c r="DL110" s="27" t="str">
        <f>CONCATENATE($DM$5,$Q$15,$DN$5)</f>
        <v xml:space="preserve">   "",</v>
      </c>
      <c r="DM110" s="24"/>
      <c r="DN110" s="24"/>
    </row>
    <row r="111" spans="99:118" ht="12.75" customHeight="1" x14ac:dyDescent="0.2">
      <c r="DL111" s="27" t="str">
        <f>CONCATENATE($DM$5,$Q$16,$DN$5)</f>
        <v xml:space="preserve">   "",</v>
      </c>
      <c r="DM111" s="24"/>
      <c r="DN111" s="24"/>
    </row>
    <row r="112" spans="99:118" ht="12.75" customHeight="1" x14ac:dyDescent="0.2">
      <c r="DL112" s="27" t="str">
        <f>CONCATENATE($DM$5,$Q$21,$DN$5)</f>
        <v xml:space="preserve">   "",</v>
      </c>
      <c r="DM112" s="24"/>
      <c r="DN112" s="24"/>
    </row>
    <row r="113" spans="116:118" ht="12.75" customHeight="1" x14ac:dyDescent="0.2">
      <c r="DL113" s="27" t="str">
        <f>CONCATENATE($DM$5,$Q$22,$DN$5)</f>
        <v xml:space="preserve">   "",</v>
      </c>
      <c r="DM113" s="24"/>
      <c r="DN113" s="24"/>
    </row>
    <row r="114" spans="116:118" ht="12.75" customHeight="1" x14ac:dyDescent="0.2">
      <c r="DL114" s="27" t="str">
        <f>CONCATENATE($DM$5,$Q$27,$DN$6)</f>
        <v xml:space="preserve">   ""</v>
      </c>
      <c r="DM114" s="24"/>
      <c r="DN114" s="24"/>
    </row>
    <row r="115" spans="116:118" ht="12.75" customHeight="1" x14ac:dyDescent="0.2">
      <c r="DL115" s="27" t="s">
        <v>28</v>
      </c>
      <c r="DM115" s="24"/>
      <c r="DN115" s="24"/>
    </row>
    <row r="116" spans="116:118" ht="12.75" customHeight="1" x14ac:dyDescent="0.2">
      <c r="DL116" s="27"/>
      <c r="DM116" s="24"/>
      <c r="DN116" s="24"/>
    </row>
    <row r="117" spans="116:118" ht="12.75" customHeight="1" x14ac:dyDescent="0.2">
      <c r="DL117" s="27" t="s">
        <v>65</v>
      </c>
      <c r="DM117" s="24"/>
      <c r="DN117" s="24"/>
    </row>
    <row r="118" spans="116:118" ht="12.75" customHeight="1" x14ac:dyDescent="0.2">
      <c r="DL118" s="36" t="str">
        <f>CONCATENATE($DM$5,$DN$5)</f>
        <v xml:space="preserve">   "",</v>
      </c>
      <c r="DM118" s="24"/>
      <c r="DN118" s="24"/>
    </row>
    <row r="119" spans="116:118" ht="12.75" customHeight="1" x14ac:dyDescent="0.2">
      <c r="DL119" s="36" t="str">
        <f>CONCATENATE($DM$5,$DN$5)</f>
        <v xml:space="preserve">   "",</v>
      </c>
      <c r="DM119" s="24"/>
      <c r="DN119" s="24"/>
    </row>
    <row r="120" spans="116:118" ht="12.75" customHeight="1" x14ac:dyDescent="0.2">
      <c r="DL120" s="36" t="str">
        <f>CONCATENATE($DM$5,$DN$5)</f>
        <v xml:space="preserve">   "",</v>
      </c>
      <c r="DM120" s="24"/>
      <c r="DN120" s="24"/>
    </row>
    <row r="121" spans="116:118" ht="12.75" customHeight="1" x14ac:dyDescent="0.2">
      <c r="DL121" s="27" t="str">
        <f>CONCATENATE($DM$5,$Q$9,$DN$5)</f>
        <v xml:space="preserve">   "45",</v>
      </c>
      <c r="DM121" s="24"/>
      <c r="DN121" s="24"/>
    </row>
    <row r="122" spans="116:118" ht="12.75" customHeight="1" x14ac:dyDescent="0.2">
      <c r="DL122" s="36" t="str">
        <f>CONCATENATE($DM$5,$DN$5)</f>
        <v xml:space="preserve">   "",</v>
      </c>
      <c r="DM122" s="24"/>
      <c r="DN122" s="24"/>
    </row>
    <row r="123" spans="116:118" ht="12.75" customHeight="1" x14ac:dyDescent="0.2">
      <c r="DL123" s="36" t="str">
        <f>CONCATENATE($DM$5,$DN$5)</f>
        <v xml:space="preserve">   "",</v>
      </c>
      <c r="DM123" s="24"/>
      <c r="DN123" s="24"/>
    </row>
    <row r="124" spans="116:118" ht="12.75" customHeight="1" x14ac:dyDescent="0.2">
      <c r="DL124" s="36" t="str">
        <f>CONCATENATE($DM$5,$DN$5)</f>
        <v xml:space="preserve">   "",</v>
      </c>
      <c r="DM124" s="24"/>
      <c r="DN124" s="24"/>
    </row>
    <row r="125" spans="116:118" ht="12.75" customHeight="1" x14ac:dyDescent="0.2">
      <c r="DL125" s="27" t="str">
        <f>CONCATENATE($DM$5,$Q$17,$DN$5)</f>
        <v xml:space="preserve">   "",</v>
      </c>
      <c r="DM125" s="24"/>
      <c r="DN125" s="24"/>
    </row>
    <row r="126" spans="116:118" ht="12.75" customHeight="1" x14ac:dyDescent="0.2">
      <c r="DL126" s="36" t="str">
        <f>CONCATENATE($DM$5,$DN$5)</f>
        <v xml:space="preserve">   "",</v>
      </c>
      <c r="DM126" s="24"/>
      <c r="DN126" s="24"/>
    </row>
    <row r="127" spans="116:118" ht="12.75" customHeight="1" x14ac:dyDescent="0.2">
      <c r="DL127" s="27" t="str">
        <f>CONCATENATE($DM$5,$Q$23,$DN$5)</f>
        <v xml:space="preserve">   "",</v>
      </c>
      <c r="DM127" s="24"/>
      <c r="DN127" s="24"/>
    </row>
    <row r="128" spans="116:118" ht="12.75" customHeight="1" x14ac:dyDescent="0.2">
      <c r="DL128" s="27" t="str">
        <f>CONCATENATE($DM$5,$Q$28,$DN$6)</f>
        <v xml:space="preserve">   ""</v>
      </c>
      <c r="DM128" s="24"/>
      <c r="DN128" s="24"/>
    </row>
    <row r="129" spans="116:118" ht="12.75" customHeight="1" x14ac:dyDescent="0.2">
      <c r="DL129" s="27" t="s">
        <v>28</v>
      </c>
      <c r="DM129" s="24"/>
      <c r="DN129" s="24"/>
    </row>
    <row r="130" spans="116:118" ht="12.75" customHeight="1" x14ac:dyDescent="0.2">
      <c r="DL130" s="46"/>
      <c r="DM130" s="24"/>
      <c r="DN130" s="24"/>
    </row>
    <row r="131" spans="116:118" ht="12.75" customHeight="1" x14ac:dyDescent="0.2">
      <c r="DL131" s="27" t="s">
        <v>34</v>
      </c>
      <c r="DM131" s="24"/>
      <c r="DN131" s="24"/>
    </row>
    <row r="132" spans="116:118" ht="12.75" customHeight="1" x14ac:dyDescent="0.2">
      <c r="DL132" s="27" t="str">
        <f>CONCATENATE($DM$5,$S$5,$DN$5)</f>
        <v xml:space="preserve">   "H",</v>
      </c>
      <c r="DM132" s="24"/>
      <c r="DN132" s="24"/>
    </row>
    <row r="133" spans="116:118" ht="12.75" customHeight="1" x14ac:dyDescent="0.2">
      <c r="DL133" s="27" t="str">
        <f>CONCATENATE($DM$5,$S$6,$DN$5)</f>
        <v xml:space="preserve">   "H",</v>
      </c>
      <c r="DM133" s="24"/>
      <c r="DN133" s="24"/>
    </row>
    <row r="134" spans="116:118" ht="12.75" customHeight="1" x14ac:dyDescent="0.2">
      <c r="DL134" s="27" t="str">
        <f>CONCATENATE($DM$5,$S$7,$DN$5)</f>
        <v xml:space="preserve">   "H",</v>
      </c>
      <c r="DM134" s="24"/>
      <c r="DN134" s="24"/>
    </row>
    <row r="135" spans="116:118" ht="12.75" customHeight="1" x14ac:dyDescent="0.2">
      <c r="DL135" s="27" t="str">
        <f>CONCATENATE($DM$5,$S$8,$DN$5)</f>
        <v xml:space="preserve">   "H",</v>
      </c>
      <c r="DM135" s="24"/>
      <c r="DN135" s="24"/>
    </row>
    <row r="136" spans="116:118" ht="12.75" customHeight="1" x14ac:dyDescent="0.2">
      <c r="DL136" s="27" t="str">
        <f>CONCATENATE($DM$5,$S$13,$DN$5)</f>
        <v xml:space="preserve">   "",</v>
      </c>
      <c r="DM136" s="24"/>
      <c r="DN136" s="24"/>
    </row>
    <row r="137" spans="116:118" ht="12.75" customHeight="1" x14ac:dyDescent="0.2">
      <c r="DL137" s="27" t="str">
        <f>CONCATENATE($DM$5,$S$14,$DN$5)</f>
        <v xml:space="preserve">   "",</v>
      </c>
      <c r="DM137" s="24"/>
      <c r="DN137" s="24"/>
    </row>
    <row r="138" spans="116:118" ht="12.75" customHeight="1" x14ac:dyDescent="0.2">
      <c r="DL138" s="27" t="str">
        <f>CONCATENATE($DM$5,$S$15,$DN$5)</f>
        <v xml:space="preserve">   "",</v>
      </c>
      <c r="DM138" s="24"/>
      <c r="DN138" s="24"/>
    </row>
    <row r="139" spans="116:118" ht="12.75" customHeight="1" x14ac:dyDescent="0.2">
      <c r="DL139" s="27" t="str">
        <f>CONCATENATE($DM$5,$S$16,$DN$5)</f>
        <v xml:space="preserve">   "",</v>
      </c>
      <c r="DM139" s="24"/>
      <c r="DN139" s="24"/>
    </row>
    <row r="140" spans="116:118" ht="12.75" customHeight="1" x14ac:dyDescent="0.2">
      <c r="DL140" s="27" t="str">
        <f>CONCATENATE($DM$5,$S$21,$DN$5)</f>
        <v xml:space="preserve">   "",</v>
      </c>
      <c r="DM140" s="24"/>
      <c r="DN140" s="24"/>
    </row>
    <row r="141" spans="116:118" ht="12.75" customHeight="1" x14ac:dyDescent="0.2">
      <c r="DL141" s="27" t="str">
        <f>CONCATENATE($DM$5,$S$22,$DN$5)</f>
        <v xml:space="preserve">   "",</v>
      </c>
      <c r="DM141" s="24"/>
      <c r="DN141" s="24"/>
    </row>
    <row r="142" spans="116:118" ht="12.75" customHeight="1" x14ac:dyDescent="0.2">
      <c r="DL142" s="27" t="str">
        <f>CONCATENATE($DM$5,$S$27,$DN$6)</f>
        <v xml:space="preserve">   ""</v>
      </c>
      <c r="DM142" s="24"/>
      <c r="DN142" s="24"/>
    </row>
    <row r="143" spans="116:118" ht="12.75" customHeight="1" x14ac:dyDescent="0.2">
      <c r="DL143" s="27" t="s">
        <v>28</v>
      </c>
      <c r="DM143" s="24"/>
      <c r="DN143" s="24"/>
    </row>
    <row r="144" spans="116:118" ht="12.75" customHeight="1" x14ac:dyDescent="0.2">
      <c r="DL144" s="27"/>
      <c r="DM144" s="24"/>
      <c r="DN144" s="24"/>
    </row>
    <row r="145" spans="116:118" ht="12.75" customHeight="1" x14ac:dyDescent="0.2">
      <c r="DL145" s="27" t="s">
        <v>35</v>
      </c>
      <c r="DM145" s="24"/>
      <c r="DN145" s="24"/>
    </row>
    <row r="146" spans="116:118" ht="12.75" customHeight="1" x14ac:dyDescent="0.2">
      <c r="DL146" s="27" t="str">
        <f>CONCATENATE($DM$5,$U$5,$DN$5)</f>
        <v xml:space="preserve">   "8",</v>
      </c>
      <c r="DM146" s="24"/>
      <c r="DN146" s="24"/>
    </row>
    <row r="147" spans="116:118" ht="12.75" customHeight="1" x14ac:dyDescent="0.2">
      <c r="DL147" s="27" t="str">
        <f>CONCATENATE($DM$5,$U$6,$DN$5)</f>
        <v xml:space="preserve">   "14",</v>
      </c>
      <c r="DM147" s="24"/>
      <c r="DN147" s="24"/>
    </row>
    <row r="148" spans="116:118" ht="12.75" customHeight="1" x14ac:dyDescent="0.2">
      <c r="DL148" s="27" t="str">
        <f>CONCATENATE($DM$5,$U$7,$DN$5)</f>
        <v xml:space="preserve">   "11",</v>
      </c>
      <c r="DM148" s="24"/>
      <c r="DN148" s="24"/>
    </row>
    <row r="149" spans="116:118" ht="12.75" customHeight="1" x14ac:dyDescent="0.2">
      <c r="DL149" s="27" t="str">
        <f>CONCATENATE($DM$5,$U$8,$DN$5)</f>
        <v xml:space="preserve">   "5",</v>
      </c>
      <c r="DM149" s="24"/>
      <c r="DN149" s="24"/>
    </row>
    <row r="150" spans="116:118" ht="12.75" customHeight="1" x14ac:dyDescent="0.2">
      <c r="DL150" s="27" t="str">
        <f>CONCATENATE($DM$5,$U$13,$DN$5)</f>
        <v xml:space="preserve">   "",</v>
      </c>
      <c r="DM150" s="24"/>
      <c r="DN150" s="24"/>
    </row>
    <row r="151" spans="116:118" ht="12.75" customHeight="1" x14ac:dyDescent="0.2">
      <c r="DL151" s="27" t="str">
        <f>CONCATENATE($DM$5,$U$14,$DN$5)</f>
        <v xml:space="preserve">   "",</v>
      </c>
      <c r="DM151" s="24"/>
      <c r="DN151" s="24"/>
    </row>
    <row r="152" spans="116:118" ht="12.75" customHeight="1" x14ac:dyDescent="0.2">
      <c r="DL152" s="27" t="str">
        <f>CONCATENATE($DM$5,$U$15,$DN$5)</f>
        <v xml:space="preserve">   "",</v>
      </c>
      <c r="DM152" s="24"/>
      <c r="DN152" s="24"/>
    </row>
    <row r="153" spans="116:118" ht="12.75" customHeight="1" x14ac:dyDescent="0.2">
      <c r="DL153" s="27" t="str">
        <f>CONCATENATE($DM$5,$U$16,$DN$5)</f>
        <v xml:space="preserve">   "",</v>
      </c>
      <c r="DM153" s="24"/>
      <c r="DN153" s="24"/>
    </row>
    <row r="154" spans="116:118" ht="12.75" customHeight="1" x14ac:dyDescent="0.2">
      <c r="DL154" s="27" t="str">
        <f>CONCATENATE($DM$5,$U$21,$DN$5)</f>
        <v xml:space="preserve">   "",</v>
      </c>
      <c r="DM154" s="24"/>
      <c r="DN154" s="24"/>
    </row>
    <row r="155" spans="116:118" ht="12.75" customHeight="1" x14ac:dyDescent="0.2">
      <c r="DL155" s="27" t="str">
        <f>CONCATENATE($DM$5,$U$22,$DN$5)</f>
        <v xml:space="preserve">   "",</v>
      </c>
      <c r="DM155" s="24"/>
      <c r="DN155" s="24"/>
    </row>
    <row r="156" spans="116:118" ht="12.75" customHeight="1" x14ac:dyDescent="0.2">
      <c r="DL156" s="27" t="str">
        <f>CONCATENATE($DM$5,$U$27,$DN$6)</f>
        <v xml:space="preserve">   ""</v>
      </c>
      <c r="DM156" s="24"/>
      <c r="DN156" s="24"/>
    </row>
    <row r="157" spans="116:118" ht="12.75" customHeight="1" x14ac:dyDescent="0.2">
      <c r="DL157" s="27" t="s">
        <v>28</v>
      </c>
      <c r="DM157" s="24"/>
      <c r="DN157" s="24"/>
    </row>
    <row r="158" spans="116:118" ht="12.75" customHeight="1" x14ac:dyDescent="0.2">
      <c r="DL158" s="27"/>
      <c r="DM158" s="24"/>
      <c r="DN158" s="24"/>
    </row>
    <row r="159" spans="116:118" ht="12.75" customHeight="1" x14ac:dyDescent="0.2">
      <c r="DL159" s="27" t="s">
        <v>66</v>
      </c>
      <c r="DM159" s="24"/>
      <c r="DN159" s="24"/>
    </row>
    <row r="160" spans="116:118" ht="12.75" customHeight="1" x14ac:dyDescent="0.2">
      <c r="DL160" s="36" t="str">
        <f>CONCATENATE($DM$5,$DN$5)</f>
        <v xml:space="preserve">   "",</v>
      </c>
      <c r="DM160" s="24"/>
      <c r="DN160" s="24"/>
    </row>
    <row r="161" spans="116:118" ht="12.75" customHeight="1" x14ac:dyDescent="0.2">
      <c r="DL161" s="36" t="str">
        <f>CONCATENATE($DM$5,$DN$5)</f>
        <v xml:space="preserve">   "",</v>
      </c>
      <c r="DM161" s="24"/>
      <c r="DN161" s="24"/>
    </row>
    <row r="162" spans="116:118" ht="12.75" customHeight="1" x14ac:dyDescent="0.2">
      <c r="DL162" s="36" t="str">
        <f>CONCATENATE($DM$5,$DN$5)</f>
        <v xml:space="preserve">   "",</v>
      </c>
      <c r="DM162" s="24"/>
      <c r="DN162" s="24"/>
    </row>
    <row r="163" spans="116:118" ht="12.75" customHeight="1" x14ac:dyDescent="0.2">
      <c r="DL163" s="27" t="str">
        <f>CONCATENATE($DM$5,$U$9,$DN$5)</f>
        <v xml:space="preserve">   "42",</v>
      </c>
      <c r="DM163" s="24"/>
      <c r="DN163" s="24"/>
    </row>
    <row r="164" spans="116:118" ht="12.75" customHeight="1" x14ac:dyDescent="0.2">
      <c r="DL164" s="36" t="str">
        <f>CONCATENATE($DM$5,$DN$5)</f>
        <v xml:space="preserve">   "",</v>
      </c>
      <c r="DM164" s="24"/>
      <c r="DN164" s="24"/>
    </row>
    <row r="165" spans="116:118" ht="12.75" customHeight="1" x14ac:dyDescent="0.2">
      <c r="DL165" s="36" t="str">
        <f>CONCATENATE($DM$5,$DN$5)</f>
        <v xml:space="preserve">   "",</v>
      </c>
      <c r="DM165" s="24"/>
      <c r="DN165" s="24"/>
    </row>
    <row r="166" spans="116:118" ht="12.75" customHeight="1" x14ac:dyDescent="0.2">
      <c r="DL166" s="36" t="str">
        <f>CONCATENATE($DM$5,$DN$5)</f>
        <v xml:space="preserve">   "",</v>
      </c>
      <c r="DM166" s="24"/>
      <c r="DN166" s="24"/>
    </row>
    <row r="167" spans="116:118" ht="12.75" customHeight="1" x14ac:dyDescent="0.2">
      <c r="DL167" s="27" t="str">
        <f>CONCATENATE($DM$5,$U$17,$DN$5)</f>
        <v xml:space="preserve">   "",</v>
      </c>
      <c r="DM167" s="24"/>
      <c r="DN167" s="24"/>
    </row>
    <row r="168" spans="116:118" ht="12.75" customHeight="1" x14ac:dyDescent="0.2">
      <c r="DL168" s="36" t="str">
        <f>CONCATENATE($DM$5,$DN$5)</f>
        <v xml:space="preserve">   "",</v>
      </c>
      <c r="DM168" s="24"/>
      <c r="DN168" s="24"/>
    </row>
    <row r="169" spans="116:118" ht="12.75" customHeight="1" x14ac:dyDescent="0.2">
      <c r="DL169" s="27" t="str">
        <f>CONCATENATE($DM$5,$U$23,$DN$5)</f>
        <v xml:space="preserve">   "",</v>
      </c>
      <c r="DM169" s="24"/>
      <c r="DN169" s="24"/>
    </row>
    <row r="170" spans="116:118" ht="12.75" customHeight="1" x14ac:dyDescent="0.2">
      <c r="DL170" s="27" t="str">
        <f>CONCATENATE($DM$5,$U$28,$DN$6)</f>
        <v xml:space="preserve">   ""</v>
      </c>
      <c r="DM170" s="24"/>
      <c r="DN170" s="24"/>
    </row>
    <row r="171" spans="116:118" ht="12.75" customHeight="1" x14ac:dyDescent="0.2">
      <c r="DL171" s="27" t="s">
        <v>28</v>
      </c>
      <c r="DM171" s="24"/>
      <c r="DN171" s="24"/>
    </row>
    <row r="172" spans="116:118" ht="12.75" customHeight="1" x14ac:dyDescent="0.2">
      <c r="DL172" s="46"/>
      <c r="DM172" s="24"/>
      <c r="DN172" s="24"/>
    </row>
    <row r="173" spans="116:118" ht="12.75" customHeight="1" x14ac:dyDescent="0.2">
      <c r="DL173" s="27" t="s">
        <v>36</v>
      </c>
      <c r="DM173" s="24"/>
      <c r="DN173" s="24"/>
    </row>
    <row r="174" spans="116:118" ht="12.75" customHeight="1" x14ac:dyDescent="0.2">
      <c r="DL174" s="27" t="str">
        <f>CONCATENATE($DM$5,$W$5,$DN$5)</f>
        <v xml:space="preserve">   "V",</v>
      </c>
      <c r="DM174" s="24"/>
      <c r="DN174" s="24"/>
    </row>
    <row r="175" spans="116:118" ht="12.75" customHeight="1" x14ac:dyDescent="0.2">
      <c r="DL175" s="27" t="str">
        <f>CONCATENATE($DM$5,$W$6,$DN$5)</f>
        <v xml:space="preserve">   "H",</v>
      </c>
      <c r="DM175" s="24"/>
      <c r="DN175" s="24"/>
    </row>
    <row r="176" spans="116:118" ht="12.75" customHeight="1" x14ac:dyDescent="0.2">
      <c r="DL176" s="27" t="str">
        <f>CONCATENATE($DM$5,$W$7,$DN$5)</f>
        <v xml:space="preserve">   "H",</v>
      </c>
      <c r="DM176" s="24"/>
      <c r="DN176" s="24"/>
    </row>
    <row r="177" spans="116:118" ht="12.75" customHeight="1" x14ac:dyDescent="0.2">
      <c r="DL177" s="27" t="str">
        <f>CONCATENATE($DM$5,$W$8,$DN$5)</f>
        <v xml:space="preserve">   "V",</v>
      </c>
      <c r="DM177" s="24"/>
      <c r="DN177" s="24"/>
    </row>
    <row r="178" spans="116:118" ht="12.75" customHeight="1" x14ac:dyDescent="0.2">
      <c r="DL178" s="27" t="str">
        <f>CONCATENATE($DM$5,$W$13,$DN$5)</f>
        <v xml:space="preserve">   "",</v>
      </c>
      <c r="DM178" s="24"/>
      <c r="DN178" s="24"/>
    </row>
    <row r="179" spans="116:118" ht="12.75" customHeight="1" x14ac:dyDescent="0.2">
      <c r="DL179" s="27" t="str">
        <f>CONCATENATE($DM$5,$W$14,$DN$5)</f>
        <v xml:space="preserve">   "",</v>
      </c>
      <c r="DM179" s="24"/>
      <c r="DN179" s="24"/>
    </row>
    <row r="180" spans="116:118" ht="12.75" customHeight="1" x14ac:dyDescent="0.2">
      <c r="DL180" s="27" t="str">
        <f>CONCATENATE($DM$5,$W$15,$DN$5)</f>
        <v xml:space="preserve">   "",</v>
      </c>
      <c r="DM180" s="24"/>
      <c r="DN180" s="24"/>
    </row>
    <row r="181" spans="116:118" ht="12.75" customHeight="1" x14ac:dyDescent="0.2">
      <c r="DL181" s="27" t="str">
        <f>CONCATENATE($DM$5,$W$16,$DN$5)</f>
        <v xml:space="preserve">   "",</v>
      </c>
      <c r="DM181" s="24"/>
      <c r="DN181" s="24"/>
    </row>
    <row r="182" spans="116:118" ht="12.75" customHeight="1" x14ac:dyDescent="0.2">
      <c r="DL182" s="27" t="str">
        <f>CONCATENATE($DM$5,$W$21,$DN$5)</f>
        <v xml:space="preserve">   "",</v>
      </c>
      <c r="DM182" s="24"/>
      <c r="DN182" s="24"/>
    </row>
    <row r="183" spans="116:118" ht="12.75" customHeight="1" x14ac:dyDescent="0.2">
      <c r="DL183" s="27" t="str">
        <f>CONCATENATE($DM$5,$W$22,$DN$5)</f>
        <v xml:space="preserve">   "",</v>
      </c>
      <c r="DM183" s="24"/>
      <c r="DN183" s="24"/>
    </row>
    <row r="184" spans="116:118" ht="12.75" customHeight="1" x14ac:dyDescent="0.2">
      <c r="DL184" s="27" t="str">
        <f>CONCATENATE($DM$5,$W$27,$DN$6)</f>
        <v xml:space="preserve">   ""</v>
      </c>
      <c r="DM184" s="24"/>
      <c r="DN184" s="24"/>
    </row>
    <row r="185" spans="116:118" ht="12.75" customHeight="1" x14ac:dyDescent="0.2">
      <c r="DL185" s="27" t="s">
        <v>28</v>
      </c>
      <c r="DM185" s="24"/>
      <c r="DN185" s="24"/>
    </row>
    <row r="186" spans="116:118" ht="12.75" customHeight="1" x14ac:dyDescent="0.2">
      <c r="DL186" s="27"/>
      <c r="DM186" s="24"/>
      <c r="DN186" s="24"/>
    </row>
    <row r="187" spans="116:118" ht="12.75" customHeight="1" x14ac:dyDescent="0.2">
      <c r="DL187" s="27" t="s">
        <v>37</v>
      </c>
      <c r="DM187" s="24"/>
      <c r="DN187" s="24"/>
    </row>
    <row r="188" spans="116:118" ht="12.75" customHeight="1" x14ac:dyDescent="0.2">
      <c r="DL188" s="27" t="str">
        <f>CONCATENATE($DM$5,$Y$5,$DN$5)</f>
        <v xml:space="preserve">   "3",</v>
      </c>
      <c r="DM188" s="24"/>
      <c r="DN188" s="24"/>
    </row>
    <row r="189" spans="116:118" ht="12.75" customHeight="1" x14ac:dyDescent="0.2">
      <c r="DL189" s="27" t="str">
        <f>CONCATENATE($DM$5,$Y$6,$DN$5)</f>
        <v xml:space="preserve">   "7",</v>
      </c>
      <c r="DM189" s="24"/>
      <c r="DN189" s="24"/>
    </row>
    <row r="190" spans="116:118" ht="12.75" customHeight="1" x14ac:dyDescent="0.2">
      <c r="DL190" s="27" t="str">
        <f>CONCATENATE($DM$5,$Y$7,$DN$5)</f>
        <v xml:space="preserve">   "10",</v>
      </c>
      <c r="DM190" s="24"/>
      <c r="DN190" s="24"/>
    </row>
    <row r="191" spans="116:118" ht="12.75" customHeight="1" x14ac:dyDescent="0.2">
      <c r="DL191" s="27" t="str">
        <f>CONCATENATE($DM$5,$Y$8,$DN$5)</f>
        <v xml:space="preserve">   "3",</v>
      </c>
      <c r="DM191" s="24"/>
      <c r="DN191" s="24"/>
    </row>
    <row r="192" spans="116:118" ht="12.75" customHeight="1" x14ac:dyDescent="0.2">
      <c r="DL192" s="27" t="str">
        <f>CONCATENATE($DM$5,$Y$13,$DN$5)</f>
        <v xml:space="preserve">   "",</v>
      </c>
      <c r="DM192" s="24"/>
      <c r="DN192" s="24"/>
    </row>
    <row r="193" spans="116:118" ht="12.75" customHeight="1" x14ac:dyDescent="0.2">
      <c r="DL193" s="27" t="str">
        <f>CONCATENATE($DM$5,$Y$14,$DN$5)</f>
        <v xml:space="preserve">   "",</v>
      </c>
      <c r="DM193" s="24"/>
      <c r="DN193" s="24"/>
    </row>
    <row r="194" spans="116:118" ht="12.75" customHeight="1" x14ac:dyDescent="0.2">
      <c r="DL194" s="27" t="str">
        <f>CONCATENATE($DM$5,$Y$15,$DN$5)</f>
        <v xml:space="preserve">   "",</v>
      </c>
      <c r="DM194" s="24"/>
      <c r="DN194" s="24"/>
    </row>
    <row r="195" spans="116:118" ht="12.75" customHeight="1" x14ac:dyDescent="0.2">
      <c r="DL195" s="27" t="str">
        <f>CONCATENATE($DM$5,$Y$16,$DN$5)</f>
        <v xml:space="preserve">   "",</v>
      </c>
      <c r="DM195" s="24"/>
      <c r="DN195" s="24"/>
    </row>
    <row r="196" spans="116:118" ht="12.75" customHeight="1" x14ac:dyDescent="0.2">
      <c r="DL196" s="27" t="str">
        <f>CONCATENATE($DM$5,$Y$21,$DN$5)</f>
        <v xml:space="preserve">   "",</v>
      </c>
      <c r="DM196" s="24"/>
      <c r="DN196" s="24"/>
    </row>
    <row r="197" spans="116:118" ht="12.75" customHeight="1" x14ac:dyDescent="0.2">
      <c r="DL197" s="27" t="str">
        <f>CONCATENATE($DM$5,$Y$22,$DN$5)</f>
        <v xml:space="preserve">   "",</v>
      </c>
      <c r="DM197" s="24"/>
      <c r="DN197" s="24"/>
    </row>
    <row r="198" spans="116:118" ht="12.75" customHeight="1" x14ac:dyDescent="0.2">
      <c r="DL198" s="27" t="str">
        <f>CONCATENATE($DM$5,$Y$27,$DN$6)</f>
        <v xml:space="preserve">   ""</v>
      </c>
      <c r="DM198" s="24"/>
      <c r="DN198" s="24"/>
    </row>
    <row r="199" spans="116:118" ht="12.75" customHeight="1" x14ac:dyDescent="0.2">
      <c r="DL199" s="27" t="s">
        <v>28</v>
      </c>
      <c r="DM199" s="24"/>
      <c r="DN199" s="24"/>
    </row>
    <row r="200" spans="116:118" ht="12.75" customHeight="1" x14ac:dyDescent="0.2">
      <c r="DL200" s="27"/>
      <c r="DM200" s="24"/>
      <c r="DN200" s="24"/>
    </row>
    <row r="201" spans="116:118" ht="12.75" customHeight="1" x14ac:dyDescent="0.2">
      <c r="DL201" s="27" t="s">
        <v>67</v>
      </c>
      <c r="DM201" s="24"/>
      <c r="DN201" s="24"/>
    </row>
    <row r="202" spans="116:118" ht="12.75" customHeight="1" x14ac:dyDescent="0.2">
      <c r="DL202" s="36" t="str">
        <f>CONCATENATE($DM$5,$DN$5)</f>
        <v xml:space="preserve">   "",</v>
      </c>
      <c r="DM202" s="24"/>
      <c r="DN202" s="24"/>
    </row>
    <row r="203" spans="116:118" ht="12.75" customHeight="1" x14ac:dyDescent="0.2">
      <c r="DL203" s="36" t="str">
        <f>CONCATENATE($DM$5,$DN$5)</f>
        <v xml:space="preserve">   "",</v>
      </c>
      <c r="DM203" s="24"/>
      <c r="DN203" s="24"/>
    </row>
    <row r="204" spans="116:118" ht="12.75" customHeight="1" x14ac:dyDescent="0.2">
      <c r="DL204" s="36" t="str">
        <f>CONCATENATE($DM$5,$DN$5)</f>
        <v xml:space="preserve">   "",</v>
      </c>
      <c r="DM204" s="24"/>
      <c r="DN204" s="24"/>
    </row>
    <row r="205" spans="116:118" ht="12.75" customHeight="1" x14ac:dyDescent="0.2">
      <c r="DL205" s="27" t="str">
        <f>CONCATENATE($DM$5,$Y$9,$DN$5)</f>
        <v xml:space="preserve">   "51",</v>
      </c>
      <c r="DM205" s="24"/>
      <c r="DN205" s="24"/>
    </row>
    <row r="206" spans="116:118" ht="12.75" customHeight="1" x14ac:dyDescent="0.2">
      <c r="DL206" s="36" t="str">
        <f>CONCATENATE($DM$5,$DN$5)</f>
        <v xml:space="preserve">   "",</v>
      </c>
      <c r="DM206" s="24"/>
      <c r="DN206" s="24"/>
    </row>
    <row r="207" spans="116:118" ht="12.75" customHeight="1" x14ac:dyDescent="0.2">
      <c r="DL207" s="36" t="str">
        <f>CONCATENATE($DM$5,$DN$5)</f>
        <v xml:space="preserve">   "",</v>
      </c>
      <c r="DM207" s="24"/>
      <c r="DN207" s="24"/>
    </row>
    <row r="208" spans="116:118" ht="12.75" customHeight="1" x14ac:dyDescent="0.2">
      <c r="DL208" s="36" t="str">
        <f>CONCATENATE($DM$5,$DN$5)</f>
        <v xml:space="preserve">   "",</v>
      </c>
      <c r="DM208" s="24"/>
      <c r="DN208" s="24"/>
    </row>
    <row r="209" spans="116:118" ht="12.75" customHeight="1" x14ac:dyDescent="0.2">
      <c r="DL209" s="27" t="str">
        <f>CONCATENATE($DM$5,$Y$17,$DN$5)</f>
        <v xml:space="preserve">   "",</v>
      </c>
      <c r="DM209" s="24"/>
      <c r="DN209" s="24"/>
    </row>
    <row r="210" spans="116:118" ht="12.75" customHeight="1" x14ac:dyDescent="0.2">
      <c r="DL210" s="36" t="str">
        <f>CONCATENATE($DM$5,$DN$5)</f>
        <v xml:space="preserve">   "",</v>
      </c>
      <c r="DM210" s="24"/>
      <c r="DN210" s="24"/>
    </row>
    <row r="211" spans="116:118" ht="12.75" customHeight="1" x14ac:dyDescent="0.2">
      <c r="DL211" s="27" t="str">
        <f>CONCATENATE($DM$5,$Y$23,$DN$5)</f>
        <v xml:space="preserve">   "",</v>
      </c>
      <c r="DM211" s="24"/>
      <c r="DN211" s="24"/>
    </row>
    <row r="212" spans="116:118" ht="12.75" customHeight="1" x14ac:dyDescent="0.2">
      <c r="DL212" s="27" t="str">
        <f>CONCATENATE($DM$5,$Y$28,$DN$6)</f>
        <v xml:space="preserve">   ""</v>
      </c>
      <c r="DM212" s="24"/>
      <c r="DN212" s="24"/>
    </row>
    <row r="213" spans="116:118" ht="12.75" customHeight="1" x14ac:dyDescent="0.2">
      <c r="DL213" s="27" t="s">
        <v>28</v>
      </c>
      <c r="DM213" s="24"/>
      <c r="DN213" s="24"/>
    </row>
    <row r="214" spans="116:118" ht="12.75" customHeight="1" x14ac:dyDescent="0.2">
      <c r="DL214" s="46"/>
      <c r="DM214" s="24"/>
      <c r="DN214" s="24"/>
    </row>
    <row r="215" spans="116:118" ht="12.75" customHeight="1" x14ac:dyDescent="0.2">
      <c r="DL215" s="27" t="s">
        <v>38</v>
      </c>
      <c r="DM215" s="24"/>
      <c r="DN215" s="24"/>
    </row>
    <row r="216" spans="116:118" ht="12.75" customHeight="1" x14ac:dyDescent="0.2">
      <c r="DL216" s="27" t="str">
        <f>CONCATENATE($DM$5,$AA$5,$DN$5)</f>
        <v xml:space="preserve">   "H",</v>
      </c>
      <c r="DM216" s="24"/>
      <c r="DN216" s="24"/>
    </row>
    <row r="217" spans="116:118" ht="12.75" customHeight="1" x14ac:dyDescent="0.2">
      <c r="DL217" s="27" t="str">
        <f>CONCATENATE($DM$5,$AA$6,$DN$5)</f>
        <v xml:space="preserve">   "V",</v>
      </c>
      <c r="DM217" s="24"/>
      <c r="DN217" s="24"/>
    </row>
    <row r="218" spans="116:118" ht="12.75" customHeight="1" x14ac:dyDescent="0.2">
      <c r="DL218" s="27" t="str">
        <f>CONCATENATE($DM$5,$AA$7,$DN$5)</f>
        <v xml:space="preserve">   "H",</v>
      </c>
      <c r="DM218" s="24"/>
      <c r="DN218" s="24"/>
    </row>
    <row r="219" spans="116:118" ht="12.75" customHeight="1" x14ac:dyDescent="0.2">
      <c r="DL219" s="27" t="str">
        <f>CONCATENATE($DM$5,$AA$8,$DN$5)</f>
        <v xml:space="preserve">   "V",</v>
      </c>
      <c r="DM219" s="24"/>
      <c r="DN219" s="24"/>
    </row>
    <row r="220" spans="116:118" ht="12.75" customHeight="1" x14ac:dyDescent="0.2">
      <c r="DL220" s="27" t="str">
        <f>CONCATENATE($DM$5,$AA$13,$DN$5)</f>
        <v xml:space="preserve">   "",</v>
      </c>
      <c r="DM220" s="24"/>
      <c r="DN220" s="24"/>
    </row>
    <row r="221" spans="116:118" ht="12.75" customHeight="1" x14ac:dyDescent="0.2">
      <c r="DL221" s="27" t="str">
        <f>CONCATENATE($DM$5,$AA$14,$DN$5)</f>
        <v xml:space="preserve">   "",</v>
      </c>
      <c r="DM221" s="24"/>
      <c r="DN221" s="24"/>
    </row>
    <row r="222" spans="116:118" ht="12.75" customHeight="1" x14ac:dyDescent="0.2">
      <c r="DL222" s="27" t="str">
        <f>CONCATENATE($DM$5,$AA$15,$DN$5)</f>
        <v xml:space="preserve">   "",</v>
      </c>
      <c r="DM222" s="24"/>
      <c r="DN222" s="24"/>
    </row>
    <row r="223" spans="116:118" ht="12.75" customHeight="1" x14ac:dyDescent="0.2">
      <c r="DL223" s="27" t="str">
        <f>CONCATENATE($DM$5,$AA$16,$DN$5)</f>
        <v xml:space="preserve">   "",</v>
      </c>
      <c r="DM223" s="24"/>
      <c r="DN223" s="24"/>
    </row>
    <row r="224" spans="116:118" ht="12.75" customHeight="1" x14ac:dyDescent="0.2">
      <c r="DL224" s="27" t="str">
        <f>CONCATENATE($DM$5,$AA$21,$DN$5)</f>
        <v xml:space="preserve">   "",</v>
      </c>
      <c r="DM224" s="24"/>
      <c r="DN224" s="24"/>
    </row>
    <row r="225" spans="116:118" ht="12.75" customHeight="1" x14ac:dyDescent="0.2">
      <c r="DL225" s="27" t="str">
        <f>CONCATENATE($DM$5,$AA$22,$DN$5)</f>
        <v xml:space="preserve">   "",</v>
      </c>
      <c r="DM225" s="24"/>
      <c r="DN225" s="24"/>
    </row>
    <row r="226" spans="116:118" ht="12.75" customHeight="1" x14ac:dyDescent="0.2">
      <c r="DL226" s="27" t="str">
        <f>CONCATENATE($DM$5,$AA$27,$DN$6)</f>
        <v xml:space="preserve">   ""</v>
      </c>
      <c r="DM226" s="24"/>
      <c r="DN226" s="24"/>
    </row>
    <row r="227" spans="116:118" ht="12.75" customHeight="1" x14ac:dyDescent="0.2">
      <c r="DL227" s="27" t="s">
        <v>28</v>
      </c>
      <c r="DM227" s="24"/>
      <c r="DN227" s="24"/>
    </row>
    <row r="228" spans="116:118" ht="12.75" customHeight="1" x14ac:dyDescent="0.2">
      <c r="DL228" s="27"/>
      <c r="DM228" s="24"/>
      <c r="DN228" s="24"/>
    </row>
    <row r="229" spans="116:118" ht="12.75" customHeight="1" x14ac:dyDescent="0.2">
      <c r="DL229" s="27" t="s">
        <v>39</v>
      </c>
      <c r="DM229" s="24"/>
      <c r="DN229" s="24"/>
    </row>
    <row r="230" spans="116:118" ht="12.75" customHeight="1" x14ac:dyDescent="0.2">
      <c r="DL230" s="27" t="str">
        <f>CONCATENATE($DM$5,$AC$5,$DN$5)</f>
        <v xml:space="preserve">   "3",</v>
      </c>
      <c r="DM230" s="24"/>
      <c r="DN230" s="24"/>
    </row>
    <row r="231" spans="116:118" ht="12.75" customHeight="1" x14ac:dyDescent="0.2">
      <c r="DL231" s="27" t="str">
        <f>CONCATENATE($DM$5,$AC$6,$DN$5)</f>
        <v xml:space="preserve">   "3",</v>
      </c>
      <c r="DM231" s="24"/>
      <c r="DN231" s="24"/>
    </row>
    <row r="232" spans="116:118" ht="12.75" customHeight="1" x14ac:dyDescent="0.2">
      <c r="DL232" s="27" t="str">
        <f>CONCATENATE($DM$5,$AC$7,$DN$5)</f>
        <v xml:space="preserve">   "3",</v>
      </c>
      <c r="DM232" s="24"/>
      <c r="DN232" s="24"/>
    </row>
    <row r="233" spans="116:118" ht="12.75" customHeight="1" x14ac:dyDescent="0.2">
      <c r="DL233" s="27" t="str">
        <f>CONCATENATE($DM$5,$AC$8,$DN$5)</f>
        <v xml:space="preserve">   "3",</v>
      </c>
      <c r="DM233" s="24"/>
      <c r="DN233" s="24"/>
    </row>
    <row r="234" spans="116:118" ht="12.75" customHeight="1" x14ac:dyDescent="0.2">
      <c r="DL234" s="27" t="str">
        <f>CONCATENATE($DM$5,$AC$13,$DN$5)</f>
        <v xml:space="preserve">   "",</v>
      </c>
      <c r="DM234" s="24"/>
      <c r="DN234" s="24"/>
    </row>
    <row r="235" spans="116:118" ht="12.75" customHeight="1" x14ac:dyDescent="0.2">
      <c r="DL235" s="27" t="str">
        <f>CONCATENATE($DM$5,$AC$14,$DN$5)</f>
        <v xml:space="preserve">   "",</v>
      </c>
      <c r="DM235" s="24"/>
      <c r="DN235" s="24"/>
    </row>
    <row r="236" spans="116:118" ht="12.75" customHeight="1" x14ac:dyDescent="0.2">
      <c r="DL236" s="27" t="str">
        <f>CONCATENATE($DM$5,$AC$15,$DN$5)</f>
        <v xml:space="preserve">   "",</v>
      </c>
      <c r="DM236" s="24"/>
      <c r="DN236" s="24"/>
    </row>
    <row r="237" spans="116:118" ht="12.75" customHeight="1" x14ac:dyDescent="0.2">
      <c r="DL237" s="27" t="str">
        <f>CONCATENATE($DM$5,$AC$16,$DN$5)</f>
        <v xml:space="preserve">   "",</v>
      </c>
      <c r="DM237" s="24"/>
      <c r="DN237" s="24"/>
    </row>
    <row r="238" spans="116:118" ht="12.75" customHeight="1" x14ac:dyDescent="0.2">
      <c r="DL238" s="27" t="str">
        <f>CONCATENATE($DM$5,$AC$21,$DN$5)</f>
        <v xml:space="preserve">   "",</v>
      </c>
      <c r="DM238" s="24"/>
      <c r="DN238" s="24"/>
    </row>
    <row r="239" spans="116:118" ht="12.75" customHeight="1" x14ac:dyDescent="0.2">
      <c r="DL239" s="27" t="str">
        <f>CONCATENATE($DM$5,$AC$22,$DN$5)</f>
        <v xml:space="preserve">   "",</v>
      </c>
      <c r="DM239" s="24"/>
      <c r="DN239" s="24"/>
    </row>
    <row r="240" spans="116:118" ht="12.75" customHeight="1" x14ac:dyDescent="0.2">
      <c r="DL240" s="27" t="str">
        <f>CONCATENATE($DM$5,$AC$27,$DN$6)</f>
        <v xml:space="preserve">   ""</v>
      </c>
      <c r="DM240" s="24"/>
      <c r="DN240" s="24"/>
    </row>
    <row r="241" spans="116:118" ht="12.75" customHeight="1" x14ac:dyDescent="0.2">
      <c r="DL241" s="27" t="s">
        <v>28</v>
      </c>
      <c r="DM241" s="24"/>
      <c r="DN241" s="24"/>
    </row>
    <row r="242" spans="116:118" ht="12.75" customHeight="1" x14ac:dyDescent="0.2">
      <c r="DL242" s="27"/>
      <c r="DM242" s="24"/>
      <c r="DN242" s="24"/>
    </row>
    <row r="243" spans="116:118" ht="12.75" customHeight="1" x14ac:dyDescent="0.2">
      <c r="DL243" s="27" t="s">
        <v>68</v>
      </c>
      <c r="DM243" s="24"/>
      <c r="DN243" s="24"/>
    </row>
    <row r="244" spans="116:118" ht="12.75" customHeight="1" x14ac:dyDescent="0.2">
      <c r="DL244" s="36" t="str">
        <f>CONCATENATE($DM$5,$DN$5)</f>
        <v xml:space="preserve">   "",</v>
      </c>
      <c r="DM244" s="24"/>
      <c r="DN244" s="24"/>
    </row>
    <row r="245" spans="116:118" ht="12.75" customHeight="1" x14ac:dyDescent="0.2">
      <c r="DL245" s="36" t="str">
        <f>CONCATENATE($DM$5,$DN$5)</f>
        <v xml:space="preserve">   "",</v>
      </c>
      <c r="DM245" s="24"/>
      <c r="DN245" s="24"/>
    </row>
    <row r="246" spans="116:118" ht="12.75" customHeight="1" x14ac:dyDescent="0.2">
      <c r="DL246" s="36" t="str">
        <f>CONCATENATE($DM$5,$DN$5)</f>
        <v xml:space="preserve">   "",</v>
      </c>
      <c r="DM246" s="24"/>
      <c r="DN246" s="24"/>
    </row>
    <row r="247" spans="116:118" ht="12.75" customHeight="1" x14ac:dyDescent="0.2">
      <c r="DL247" s="27" t="str">
        <f>CONCATENATE($DM$5,$AC$9,$DN$5)</f>
        <v xml:space="preserve">   "38",</v>
      </c>
      <c r="DM247" s="24"/>
      <c r="DN247" s="24"/>
    </row>
    <row r="248" spans="116:118" ht="12.75" customHeight="1" x14ac:dyDescent="0.2">
      <c r="DL248" s="36" t="str">
        <f>CONCATENATE($DM$5,$DN$5)</f>
        <v xml:space="preserve">   "",</v>
      </c>
      <c r="DM248" s="24"/>
      <c r="DN248" s="24"/>
    </row>
    <row r="249" spans="116:118" ht="12.75" customHeight="1" x14ac:dyDescent="0.2">
      <c r="DL249" s="36" t="str">
        <f>CONCATENATE($DM$5,$DN$5)</f>
        <v xml:space="preserve">   "",</v>
      </c>
      <c r="DM249" s="24"/>
      <c r="DN249" s="24"/>
    </row>
    <row r="250" spans="116:118" ht="12.75" customHeight="1" x14ac:dyDescent="0.2">
      <c r="DL250" s="36" t="str">
        <f>CONCATENATE($DM$5,$DN$5)</f>
        <v xml:space="preserve">   "",</v>
      </c>
      <c r="DM250" s="24"/>
      <c r="DN250" s="24"/>
    </row>
    <row r="251" spans="116:118" ht="12.75" customHeight="1" x14ac:dyDescent="0.2">
      <c r="DL251" s="27" t="str">
        <f>CONCATENATE($DM$5,$AC$17,$DN$5)</f>
        <v xml:space="preserve">   "",</v>
      </c>
      <c r="DM251" s="24"/>
      <c r="DN251" s="24"/>
    </row>
    <row r="252" spans="116:118" ht="12.75" customHeight="1" x14ac:dyDescent="0.2">
      <c r="DL252" s="36" t="str">
        <f>CONCATENATE($DM$5,$DN$5)</f>
        <v xml:space="preserve">   "",</v>
      </c>
      <c r="DM252" s="24"/>
      <c r="DN252" s="24"/>
    </row>
    <row r="253" spans="116:118" ht="12.75" customHeight="1" x14ac:dyDescent="0.2">
      <c r="DL253" s="27" t="str">
        <f>CONCATENATE($DM$5,$AC$23,$DN$5)</f>
        <v xml:space="preserve">   "",</v>
      </c>
      <c r="DM253" s="24"/>
      <c r="DN253" s="24"/>
    </row>
    <row r="254" spans="116:118" ht="12.75" customHeight="1" x14ac:dyDescent="0.2">
      <c r="DL254" s="27" t="str">
        <f>CONCATENATE($DM$5,$AC$28,$DN$6)</f>
        <v xml:space="preserve">   ""</v>
      </c>
      <c r="DM254" s="24"/>
      <c r="DN254" s="24"/>
    </row>
    <row r="255" spans="116:118" ht="12.75" customHeight="1" x14ac:dyDescent="0.2">
      <c r="DL255" s="27" t="s">
        <v>28</v>
      </c>
      <c r="DM255" s="24"/>
      <c r="DN255" s="24"/>
    </row>
    <row r="256" spans="116:118" ht="12.75" customHeight="1" x14ac:dyDescent="0.2">
      <c r="DL256" s="46"/>
      <c r="DM256" s="24"/>
      <c r="DN256" s="24"/>
    </row>
    <row r="257" spans="116:118" ht="12.75" customHeight="1" x14ac:dyDescent="0.2">
      <c r="DL257" s="27" t="s">
        <v>40</v>
      </c>
      <c r="DM257" s="24"/>
      <c r="DN257" s="24"/>
    </row>
    <row r="258" spans="116:118" ht="12.75" customHeight="1" x14ac:dyDescent="0.2">
      <c r="DL258" s="27" t="str">
        <f>CONCATENATE($DM$5,$AE$5,$DN$5)</f>
        <v xml:space="preserve">   "H",</v>
      </c>
      <c r="DM258" s="24"/>
      <c r="DN258" s="24"/>
    </row>
    <row r="259" spans="116:118" ht="12.75" customHeight="1" x14ac:dyDescent="0.2">
      <c r="DL259" s="27" t="str">
        <f>CONCATENATE($DM$5,$AE$6,$DN$5)</f>
        <v xml:space="preserve">   "H",</v>
      </c>
      <c r="DM259" s="24"/>
      <c r="DN259" s="24"/>
    </row>
    <row r="260" spans="116:118" ht="12.75" customHeight="1" x14ac:dyDescent="0.2">
      <c r="DL260" s="27" t="str">
        <f>CONCATENATE($DM$5,$AE$7,$DN$5)</f>
        <v xml:space="preserve">   "H",</v>
      </c>
      <c r="DM260" s="24"/>
      <c r="DN260" s="24"/>
    </row>
    <row r="261" spans="116:118" ht="12.75" customHeight="1" x14ac:dyDescent="0.2">
      <c r="DL261" s="27" t="str">
        <f>CONCATENATE($DM$5,$AE$8,$DN$5)</f>
        <v xml:space="preserve">   "V",</v>
      </c>
      <c r="DM261" s="24"/>
      <c r="DN261" s="24"/>
    </row>
    <row r="262" spans="116:118" ht="12.75" customHeight="1" x14ac:dyDescent="0.2">
      <c r="DL262" s="27" t="str">
        <f>CONCATENATE($DM$5,$AE$13,$DN$5)</f>
        <v xml:space="preserve">   "",</v>
      </c>
      <c r="DM262" s="24"/>
      <c r="DN262" s="24"/>
    </row>
    <row r="263" spans="116:118" ht="12.75" customHeight="1" x14ac:dyDescent="0.2">
      <c r="DL263" s="27" t="str">
        <f>CONCATENATE($DM$5,$AE$14,$DN$5)</f>
        <v xml:space="preserve">   "",</v>
      </c>
      <c r="DM263" s="24"/>
      <c r="DN263" s="24"/>
    </row>
    <row r="264" spans="116:118" ht="12.75" customHeight="1" x14ac:dyDescent="0.2">
      <c r="DL264" s="27" t="str">
        <f>CONCATENATE($DM$5,$AE$15,$DN$5)</f>
        <v xml:space="preserve">   "",</v>
      </c>
      <c r="DM264" s="24"/>
      <c r="DN264" s="24"/>
    </row>
    <row r="265" spans="116:118" ht="12.75" customHeight="1" x14ac:dyDescent="0.2">
      <c r="DL265" s="27" t="str">
        <f>CONCATENATE($DM$5,$AE$16,$DN$5)</f>
        <v xml:space="preserve">   "",</v>
      </c>
      <c r="DM265" s="24"/>
      <c r="DN265" s="24"/>
    </row>
    <row r="266" spans="116:118" ht="12.75" customHeight="1" x14ac:dyDescent="0.2">
      <c r="DL266" s="27" t="str">
        <f>CONCATENATE($DM$5,$AE$21,$DN$5)</f>
        <v xml:space="preserve">   "",</v>
      </c>
      <c r="DM266" s="24"/>
      <c r="DN266" s="24"/>
    </row>
    <row r="267" spans="116:118" ht="12.75" customHeight="1" x14ac:dyDescent="0.2">
      <c r="DL267" s="27" t="str">
        <f>CONCATENATE($DM$5,$AE$22,$DN$5)</f>
        <v xml:space="preserve">   "",</v>
      </c>
      <c r="DM267" s="24"/>
      <c r="DN267" s="24"/>
    </row>
    <row r="268" spans="116:118" ht="12.75" customHeight="1" x14ac:dyDescent="0.2">
      <c r="DL268" s="27" t="str">
        <f>CONCATENATE($DM$5,$AE$27,$DN$6)</f>
        <v xml:space="preserve">   ""</v>
      </c>
      <c r="DM268" s="24"/>
      <c r="DN268" s="24"/>
    </row>
    <row r="269" spans="116:118" ht="12.75" customHeight="1" x14ac:dyDescent="0.2">
      <c r="DL269" s="27" t="s">
        <v>28</v>
      </c>
      <c r="DM269" s="24"/>
      <c r="DN269" s="24"/>
    </row>
    <row r="270" spans="116:118" ht="12.75" customHeight="1" x14ac:dyDescent="0.2">
      <c r="DL270" s="27"/>
      <c r="DM270" s="24"/>
      <c r="DN270" s="24"/>
    </row>
    <row r="271" spans="116:118" ht="12.75" customHeight="1" x14ac:dyDescent="0.2">
      <c r="DL271" s="27" t="s">
        <v>41</v>
      </c>
      <c r="DM271" s="24"/>
      <c r="DN271" s="24"/>
    </row>
    <row r="272" spans="116:118" ht="12.75" customHeight="1" x14ac:dyDescent="0.2">
      <c r="DL272" s="27" t="str">
        <f>CONCATENATE($DM$5,$AG$5,$DN$5)</f>
        <v xml:space="preserve">   "4",</v>
      </c>
      <c r="DM272" s="24"/>
      <c r="DN272" s="24"/>
    </row>
    <row r="273" spans="116:118" ht="12.75" customHeight="1" x14ac:dyDescent="0.2">
      <c r="DL273" s="27" t="str">
        <f>CONCATENATE($DM$5,$AG$6,$DN$5)</f>
        <v xml:space="preserve">   "9",</v>
      </c>
      <c r="DM273" s="24"/>
      <c r="DN273" s="24"/>
    </row>
    <row r="274" spans="116:118" ht="12.75" customHeight="1" x14ac:dyDescent="0.2">
      <c r="DL274" s="27" t="str">
        <f>CONCATENATE($DM$5,$AG$7,$DN$5)</f>
        <v xml:space="preserve">   "5",</v>
      </c>
      <c r="DM274" s="24"/>
      <c r="DN274" s="24"/>
    </row>
    <row r="275" spans="116:118" ht="12.75" customHeight="1" x14ac:dyDescent="0.2">
      <c r="DL275" s="27" t="str">
        <f>CONCATENATE($DM$5,$AG$8,$DN$5)</f>
        <v xml:space="preserve">   "2",</v>
      </c>
      <c r="DM275" s="24"/>
      <c r="DN275" s="24"/>
    </row>
    <row r="276" spans="116:118" ht="12.75" customHeight="1" x14ac:dyDescent="0.2">
      <c r="DL276" s="27" t="str">
        <f>CONCATENATE($DM$5,$AG$13,$DN$5)</f>
        <v xml:space="preserve">   "",</v>
      </c>
      <c r="DM276" s="24"/>
      <c r="DN276" s="24"/>
    </row>
    <row r="277" spans="116:118" ht="12.75" customHeight="1" x14ac:dyDescent="0.2">
      <c r="DL277" s="27" t="str">
        <f>CONCATENATE($DM$5,$AG$14,$DN$5)</f>
        <v xml:space="preserve">   "",</v>
      </c>
      <c r="DM277" s="24"/>
      <c r="DN277" s="24"/>
    </row>
    <row r="278" spans="116:118" ht="12.75" customHeight="1" x14ac:dyDescent="0.2">
      <c r="DL278" s="27" t="str">
        <f>CONCATENATE($DM$5,$AG$15,$DN$5)</f>
        <v xml:space="preserve">   "",</v>
      </c>
      <c r="DM278" s="24"/>
      <c r="DN278" s="24"/>
    </row>
    <row r="279" spans="116:118" ht="12.75" customHeight="1" x14ac:dyDescent="0.2">
      <c r="DL279" s="27" t="str">
        <f>CONCATENATE($DM$5,$AG$16,$DN$5)</f>
        <v xml:space="preserve">   "",</v>
      </c>
      <c r="DM279" s="24"/>
      <c r="DN279" s="24"/>
    </row>
    <row r="280" spans="116:118" ht="12.75" customHeight="1" x14ac:dyDescent="0.2">
      <c r="DL280" s="27" t="str">
        <f>CONCATENATE($DM$5,$AG$21,$DN$5)</f>
        <v xml:space="preserve">   "",</v>
      </c>
      <c r="DM280" s="24"/>
      <c r="DN280" s="24"/>
    </row>
    <row r="281" spans="116:118" ht="12.75" customHeight="1" x14ac:dyDescent="0.2">
      <c r="DL281" s="27" t="str">
        <f>CONCATENATE($DM$5,$AG$22,$DN$5)</f>
        <v xml:space="preserve">   "",</v>
      </c>
      <c r="DM281" s="24"/>
      <c r="DN281" s="24"/>
    </row>
    <row r="282" spans="116:118" ht="12.75" customHeight="1" x14ac:dyDescent="0.2">
      <c r="DL282" s="27" t="str">
        <f>CONCATENATE($DM$5,$AG$27,$DN$6)</f>
        <v xml:space="preserve">   ""</v>
      </c>
      <c r="DM282" s="24"/>
      <c r="DN282" s="24"/>
    </row>
    <row r="283" spans="116:118" ht="12.75" customHeight="1" x14ac:dyDescent="0.2">
      <c r="DL283" s="27" t="s">
        <v>28</v>
      </c>
      <c r="DM283" s="24"/>
      <c r="DN283" s="24"/>
    </row>
    <row r="284" spans="116:118" ht="12.75" customHeight="1" x14ac:dyDescent="0.2">
      <c r="DL284" s="27"/>
      <c r="DM284" s="24"/>
      <c r="DN284" s="24"/>
    </row>
    <row r="285" spans="116:118" ht="12.75" customHeight="1" x14ac:dyDescent="0.2">
      <c r="DL285" s="27" t="s">
        <v>69</v>
      </c>
      <c r="DM285" s="24"/>
      <c r="DN285" s="24"/>
    </row>
    <row r="286" spans="116:118" ht="12.75" customHeight="1" x14ac:dyDescent="0.2">
      <c r="DL286" s="36" t="str">
        <f>CONCATENATE($DM$5,$DN$5)</f>
        <v xml:space="preserve">   "",</v>
      </c>
      <c r="DM286" s="24"/>
      <c r="DN286" s="24"/>
    </row>
    <row r="287" spans="116:118" ht="12.75" customHeight="1" x14ac:dyDescent="0.2">
      <c r="DL287" s="36" t="str">
        <f>CONCATENATE($DM$5,$DN$5)</f>
        <v xml:space="preserve">   "",</v>
      </c>
      <c r="DM287" s="24"/>
      <c r="DN287" s="24"/>
    </row>
    <row r="288" spans="116:118" ht="12.75" customHeight="1" x14ac:dyDescent="0.2">
      <c r="DL288" s="36" t="str">
        <f>CONCATENATE($DM$5,$DN$5)</f>
        <v xml:space="preserve">   "",</v>
      </c>
      <c r="DM288" s="24"/>
      <c r="DN288" s="24"/>
    </row>
    <row r="289" spans="116:118" ht="12.75" customHeight="1" x14ac:dyDescent="0.2">
      <c r="DL289" s="27" t="str">
        <f>CONCATENATE($DM$5,$AG$9,$DN$5)</f>
        <v xml:space="preserve">   "45",</v>
      </c>
      <c r="DM289" s="24"/>
      <c r="DN289" s="24"/>
    </row>
    <row r="290" spans="116:118" ht="12.75" customHeight="1" x14ac:dyDescent="0.2">
      <c r="DL290" s="36" t="str">
        <f>CONCATENATE($DM$5,$DN$5)</f>
        <v xml:space="preserve">   "",</v>
      </c>
      <c r="DM290" s="24"/>
      <c r="DN290" s="24"/>
    </row>
    <row r="291" spans="116:118" ht="12.75" customHeight="1" x14ac:dyDescent="0.2">
      <c r="DL291" s="36" t="str">
        <f>CONCATENATE($DM$5,$DN$5)</f>
        <v xml:space="preserve">   "",</v>
      </c>
      <c r="DM291" s="24"/>
      <c r="DN291" s="24"/>
    </row>
    <row r="292" spans="116:118" ht="12.75" customHeight="1" x14ac:dyDescent="0.2">
      <c r="DL292" s="36" t="str">
        <f>CONCATENATE($DM$5,$DN$5)</f>
        <v xml:space="preserve">   "",</v>
      </c>
      <c r="DM292" s="24"/>
      <c r="DN292" s="24"/>
    </row>
    <row r="293" spans="116:118" ht="12.75" customHeight="1" x14ac:dyDescent="0.2">
      <c r="DL293" s="27" t="str">
        <f>CONCATENATE($DM$5,$AG$17,$DN$5)</f>
        <v xml:space="preserve">   "",</v>
      </c>
      <c r="DM293" s="24"/>
      <c r="DN293" s="24"/>
    </row>
    <row r="294" spans="116:118" ht="12.75" customHeight="1" x14ac:dyDescent="0.2">
      <c r="DL294" s="36" t="str">
        <f>CONCATENATE($DM$5,$DN$5)</f>
        <v xml:space="preserve">   "",</v>
      </c>
      <c r="DM294" s="24"/>
      <c r="DN294" s="24"/>
    </row>
    <row r="295" spans="116:118" ht="12.75" customHeight="1" x14ac:dyDescent="0.2">
      <c r="DL295" s="27" t="str">
        <f>CONCATENATE($DM$5,$AG$23,$DN$5)</f>
        <v xml:space="preserve">   "",</v>
      </c>
      <c r="DM295" s="24"/>
      <c r="DN295" s="24"/>
    </row>
    <row r="296" spans="116:118" ht="12.75" customHeight="1" x14ac:dyDescent="0.2">
      <c r="DL296" s="27" t="str">
        <f>CONCATENATE($DM$5,$AG$28,$DN$6)</f>
        <v xml:space="preserve">   ""</v>
      </c>
      <c r="DM296" s="24"/>
      <c r="DN296" s="24"/>
    </row>
    <row r="297" spans="116:118" ht="12.75" customHeight="1" x14ac:dyDescent="0.2">
      <c r="DL297" s="27" t="s">
        <v>28</v>
      </c>
      <c r="DM297" s="24"/>
      <c r="DN297" s="24"/>
    </row>
    <row r="298" spans="116:118" ht="12.75" customHeight="1" x14ac:dyDescent="0.2">
      <c r="DL298" s="46"/>
      <c r="DM298" s="24"/>
      <c r="DN298" s="24"/>
    </row>
    <row r="299" spans="116:118" ht="12.75" customHeight="1" x14ac:dyDescent="0.2">
      <c r="DL299" s="27" t="s">
        <v>42</v>
      </c>
      <c r="DM299" s="24"/>
      <c r="DN299" s="24"/>
    </row>
    <row r="300" spans="116:118" ht="12.75" customHeight="1" x14ac:dyDescent="0.2">
      <c r="DL300" s="27" t="str">
        <f>CONCATENATE($DM$5,$AI$5,$DN$5)</f>
        <v xml:space="preserve">   "V",</v>
      </c>
      <c r="DM300" s="24"/>
      <c r="DN300" s="24"/>
    </row>
    <row r="301" spans="116:118" ht="12.75" customHeight="1" x14ac:dyDescent="0.2">
      <c r="DL301" s="27" t="str">
        <f>CONCATENATE($DM$5,$AI$6,$DN$5)</f>
        <v xml:space="preserve">   "H",</v>
      </c>
      <c r="DM301" s="24"/>
      <c r="DN301" s="24"/>
    </row>
    <row r="302" spans="116:118" ht="12.75" customHeight="1" x14ac:dyDescent="0.2">
      <c r="DL302" s="27" t="str">
        <f>CONCATENATE($DM$5,$AI$7,$DN$5)</f>
        <v xml:space="preserve">   "H",</v>
      </c>
      <c r="DM302" s="24"/>
      <c r="DN302" s="24"/>
    </row>
    <row r="303" spans="116:118" ht="12.75" customHeight="1" x14ac:dyDescent="0.2">
      <c r="DL303" s="27" t="str">
        <f>CONCATENATE($DM$5,$AI$8,$DN$5)</f>
        <v xml:space="preserve">   "H",</v>
      </c>
      <c r="DM303" s="24"/>
      <c r="DN303" s="24"/>
    </row>
    <row r="304" spans="116:118" ht="12.75" customHeight="1" x14ac:dyDescent="0.2">
      <c r="DL304" s="27" t="str">
        <f>CONCATENATE($DM$5,$AI$13,$DN$5)</f>
        <v xml:space="preserve">   "",</v>
      </c>
      <c r="DM304" s="24"/>
      <c r="DN304" s="24"/>
    </row>
    <row r="305" spans="116:118" ht="12.75" customHeight="1" x14ac:dyDescent="0.2">
      <c r="DL305" s="27" t="str">
        <f>CONCATENATE($DM$5,$AI$14,$DN$5)</f>
        <v xml:space="preserve">   "",</v>
      </c>
      <c r="DM305" s="24"/>
      <c r="DN305" s="24"/>
    </row>
    <row r="306" spans="116:118" ht="12.75" customHeight="1" x14ac:dyDescent="0.2">
      <c r="DL306" s="27" t="str">
        <f>CONCATENATE($DM$5,$AI$15,$DN$5)</f>
        <v xml:space="preserve">   "",</v>
      </c>
      <c r="DM306" s="24"/>
      <c r="DN306" s="24"/>
    </row>
    <row r="307" spans="116:118" ht="12.75" customHeight="1" x14ac:dyDescent="0.2">
      <c r="DL307" s="27" t="str">
        <f>CONCATENATE($DM$5,$AI$16,$DN$5)</f>
        <v xml:space="preserve">   "",</v>
      </c>
      <c r="DM307" s="24"/>
      <c r="DN307" s="24"/>
    </row>
    <row r="308" spans="116:118" ht="12.75" customHeight="1" x14ac:dyDescent="0.2">
      <c r="DL308" s="27" t="str">
        <f>CONCATENATE($DM$5,$AI$21,$DN$5)</f>
        <v xml:space="preserve">   "",</v>
      </c>
      <c r="DM308" s="24"/>
      <c r="DN308" s="24"/>
    </row>
    <row r="309" spans="116:118" ht="12.75" customHeight="1" x14ac:dyDescent="0.2">
      <c r="DL309" s="27" t="str">
        <f>CONCATENATE($DM$5,$AI$22,$DN$5)</f>
        <v xml:space="preserve">   "",</v>
      </c>
      <c r="DM309" s="24"/>
      <c r="DN309" s="24"/>
    </row>
    <row r="310" spans="116:118" ht="12.75" customHeight="1" x14ac:dyDescent="0.2">
      <c r="DL310" s="27" t="str">
        <f>CONCATENATE($DM$5,$AI$27,$DN$6)</f>
        <v xml:space="preserve">   ""</v>
      </c>
      <c r="DM310" s="24"/>
      <c r="DN310" s="24"/>
    </row>
    <row r="311" spans="116:118" ht="12.75" customHeight="1" x14ac:dyDescent="0.2">
      <c r="DL311" s="27" t="s">
        <v>28</v>
      </c>
      <c r="DM311" s="24"/>
      <c r="DN311" s="24"/>
    </row>
    <row r="312" spans="116:118" ht="12.75" customHeight="1" x14ac:dyDescent="0.2">
      <c r="DL312" s="27"/>
      <c r="DM312" s="24"/>
      <c r="DN312" s="24"/>
    </row>
    <row r="313" spans="116:118" ht="12.75" customHeight="1" x14ac:dyDescent="0.2">
      <c r="DL313" s="27" t="s">
        <v>43</v>
      </c>
      <c r="DM313" s="24"/>
      <c r="DN313" s="24"/>
    </row>
    <row r="314" spans="116:118" ht="12.75" customHeight="1" x14ac:dyDescent="0.2">
      <c r="DL314" s="27" t="str">
        <f>CONCATENATE($DM$5,$AK$5,$DN$5)</f>
        <v xml:space="preserve">   "1",</v>
      </c>
      <c r="DM314" s="24"/>
      <c r="DN314" s="24"/>
    </row>
    <row r="315" spans="116:118" ht="12.75" customHeight="1" x14ac:dyDescent="0.2">
      <c r="DL315" s="27" t="str">
        <f>CONCATENATE($DM$5,$AK$6,$DN$5)</f>
        <v xml:space="preserve">   "1",</v>
      </c>
      <c r="DM315" s="24"/>
      <c r="DN315" s="24"/>
    </row>
    <row r="316" spans="116:118" ht="12.75" customHeight="1" x14ac:dyDescent="0.2">
      <c r="DL316" s="27" t="str">
        <f>CONCATENATE($DM$5,$AK$7,$DN$5)</f>
        <v xml:space="preserve">   "6",</v>
      </c>
      <c r="DM316" s="24"/>
      <c r="DN316" s="24"/>
    </row>
    <row r="317" spans="116:118" ht="12.75" customHeight="1" x14ac:dyDescent="0.2">
      <c r="DL317" s="27" t="str">
        <f>CONCATENATE($DM$5,$AK$8,$DN$5)</f>
        <v xml:space="preserve">   "1",</v>
      </c>
      <c r="DM317" s="24"/>
      <c r="DN317" s="24"/>
    </row>
    <row r="318" spans="116:118" ht="12.75" customHeight="1" x14ac:dyDescent="0.2">
      <c r="DL318" s="27" t="str">
        <f>CONCATENATE($DM$5,$AK$13,$DN$5)</f>
        <v xml:space="preserve">   "",</v>
      </c>
      <c r="DM318" s="24"/>
      <c r="DN318" s="24"/>
    </row>
    <row r="319" spans="116:118" ht="12.75" customHeight="1" x14ac:dyDescent="0.2">
      <c r="DL319" s="27" t="str">
        <f>CONCATENATE($DM$5,$AK$14,$DN$5)</f>
        <v xml:space="preserve">   "",</v>
      </c>
      <c r="DM319" s="24"/>
      <c r="DN319" s="24"/>
    </row>
    <row r="320" spans="116:118" ht="12.75" customHeight="1" x14ac:dyDescent="0.2">
      <c r="DL320" s="27" t="str">
        <f>CONCATENATE($DM$5,$AK$15,$DN$5)</f>
        <v xml:space="preserve">   "",</v>
      </c>
      <c r="DM320" s="24"/>
      <c r="DN320" s="24"/>
    </row>
    <row r="321" spans="116:118" ht="12.75" customHeight="1" x14ac:dyDescent="0.2">
      <c r="DL321" s="27" t="str">
        <f>CONCATENATE($DM$5,$AK$16,$DN$5)</f>
        <v xml:space="preserve">   "",</v>
      </c>
      <c r="DM321" s="24"/>
      <c r="DN321" s="24"/>
    </row>
    <row r="322" spans="116:118" x14ac:dyDescent="0.2">
      <c r="DL322" s="27" t="str">
        <f>CONCATENATE($DM$5,$AK$21,$DN$5)</f>
        <v xml:space="preserve">   "",</v>
      </c>
      <c r="DM322" s="24"/>
      <c r="DN322" s="24"/>
    </row>
    <row r="323" spans="116:118" x14ac:dyDescent="0.2">
      <c r="DL323" s="27" t="str">
        <f>CONCATENATE($DM$5,$AK$22,$DN$5)</f>
        <v xml:space="preserve">   "",</v>
      </c>
      <c r="DM323" s="24"/>
      <c r="DN323" s="24"/>
    </row>
    <row r="324" spans="116:118" x14ac:dyDescent="0.2">
      <c r="DL324" s="27" t="str">
        <f>CONCATENATE($DM$5,$AK$27,$DN$6)</f>
        <v xml:space="preserve">   ""</v>
      </c>
      <c r="DM324" s="24"/>
      <c r="DN324" s="24"/>
    </row>
    <row r="325" spans="116:118" x14ac:dyDescent="0.2">
      <c r="DL325" s="27" t="s">
        <v>28</v>
      </c>
      <c r="DM325" s="24"/>
      <c r="DN325" s="24"/>
    </row>
    <row r="326" spans="116:118" x14ac:dyDescent="0.2">
      <c r="DL326" s="27"/>
      <c r="DM326" s="24"/>
      <c r="DN326" s="24"/>
    </row>
    <row r="327" spans="116:118" x14ac:dyDescent="0.2">
      <c r="DL327" s="27" t="s">
        <v>70</v>
      </c>
      <c r="DM327" s="24"/>
      <c r="DN327" s="24"/>
    </row>
    <row r="328" spans="116:118" x14ac:dyDescent="0.2">
      <c r="DL328" s="36" t="str">
        <f>CONCATENATE($DM$5,$DN$5)</f>
        <v xml:space="preserve">   "",</v>
      </c>
      <c r="DM328" s="24"/>
      <c r="DN328" s="24"/>
    </row>
    <row r="329" spans="116:118" x14ac:dyDescent="0.2">
      <c r="DL329" s="36" t="str">
        <f>CONCATENATE($DM$5,$DN$5)</f>
        <v xml:space="preserve">   "",</v>
      </c>
      <c r="DM329" s="24"/>
      <c r="DN329" s="24"/>
    </row>
    <row r="330" spans="116:118" x14ac:dyDescent="0.2">
      <c r="DL330" s="36" t="str">
        <f>CONCATENATE($DM$5,$DN$5)</f>
        <v xml:space="preserve">   "",</v>
      </c>
      <c r="DM330" s="24"/>
      <c r="DN330" s="24"/>
    </row>
    <row r="331" spans="116:118" x14ac:dyDescent="0.2">
      <c r="DL331" s="27" t="str">
        <f>CONCATENATE($DM$5,$AK$9,$DN$5)</f>
        <v xml:space="preserve">   "47",</v>
      </c>
      <c r="DM331" s="24"/>
      <c r="DN331" s="24"/>
    </row>
    <row r="332" spans="116:118" x14ac:dyDescent="0.2">
      <c r="DL332" s="36" t="str">
        <f>CONCATENATE($DM$5,$DN$5)</f>
        <v xml:space="preserve">   "",</v>
      </c>
      <c r="DM332" s="24"/>
      <c r="DN332" s="24"/>
    </row>
    <row r="333" spans="116:118" x14ac:dyDescent="0.2">
      <c r="DL333" s="36" t="str">
        <f>CONCATENATE($DM$5,$DN$5)</f>
        <v xml:space="preserve">   "",</v>
      </c>
      <c r="DM333" s="24"/>
      <c r="DN333" s="24"/>
    </row>
    <row r="334" spans="116:118" x14ac:dyDescent="0.2">
      <c r="DL334" s="36" t="str">
        <f>CONCATENATE($DM$5,$DN$5)</f>
        <v xml:space="preserve">   "",</v>
      </c>
      <c r="DM334" s="24"/>
      <c r="DN334" s="24"/>
    </row>
    <row r="335" spans="116:118" x14ac:dyDescent="0.2">
      <c r="DL335" s="27" t="str">
        <f>CONCATENATE($DM$5,$AK$17,$DN$5)</f>
        <v xml:space="preserve">   "",</v>
      </c>
      <c r="DM335" s="24"/>
      <c r="DN335" s="24"/>
    </row>
    <row r="336" spans="116:118" x14ac:dyDescent="0.2">
      <c r="DL336" s="36" t="str">
        <f>CONCATENATE($DM$5,$DN$5)</f>
        <v xml:space="preserve">   "",</v>
      </c>
      <c r="DM336" s="24"/>
      <c r="DN336" s="24"/>
    </row>
    <row r="337" spans="116:118" x14ac:dyDescent="0.2">
      <c r="DL337" s="27" t="str">
        <f>CONCATENATE($DM$5,$AK$23,$DN$5)</f>
        <v xml:space="preserve">   "",</v>
      </c>
      <c r="DM337" s="24"/>
      <c r="DN337" s="24"/>
    </row>
    <row r="338" spans="116:118" x14ac:dyDescent="0.2">
      <c r="DL338" s="27" t="str">
        <f>CONCATENATE($DM$5,$AK$28,$DN$6)</f>
        <v xml:space="preserve">   ""</v>
      </c>
      <c r="DM338" s="24"/>
      <c r="DN338" s="24"/>
    </row>
    <row r="339" spans="116:118" x14ac:dyDescent="0.2">
      <c r="DL339" s="27" t="s">
        <v>28</v>
      </c>
      <c r="DM339" s="24"/>
      <c r="DN339" s="24"/>
    </row>
    <row r="340" spans="116:118" x14ac:dyDescent="0.2">
      <c r="DL340" s="46"/>
      <c r="DM340" s="24"/>
      <c r="DN340" s="24"/>
    </row>
    <row r="341" spans="116:118" x14ac:dyDescent="0.2">
      <c r="DL341" s="27" t="s">
        <v>44</v>
      </c>
      <c r="DM341" s="24"/>
      <c r="DN341" s="24"/>
    </row>
    <row r="342" spans="116:118" x14ac:dyDescent="0.2">
      <c r="DL342" s="27" t="str">
        <f>CONCATENATE($DM$5,$AM$5,$DN$5)</f>
        <v xml:space="preserve">   "H",</v>
      </c>
      <c r="DM342" s="24"/>
      <c r="DN342" s="24"/>
    </row>
    <row r="343" spans="116:118" x14ac:dyDescent="0.2">
      <c r="DL343" s="27" t="str">
        <f>CONCATENATE($DM$5,$AM$6,$DN$5)</f>
        <v xml:space="preserve">   "H",</v>
      </c>
      <c r="DM343" s="24"/>
      <c r="DN343" s="24"/>
    </row>
    <row r="344" spans="116:118" x14ac:dyDescent="0.2">
      <c r="DL344" s="27" t="str">
        <f>CONCATENATE($DM$5,$AM$7,$DN$5)</f>
        <v xml:space="preserve">   "H",</v>
      </c>
      <c r="DM344" s="24"/>
      <c r="DN344" s="24"/>
    </row>
    <row r="345" spans="116:118" x14ac:dyDescent="0.2">
      <c r="DL345" s="27" t="str">
        <f>CONCATENATE($DM$5,$AM$8,$DN$5)</f>
        <v xml:space="preserve">   "V",</v>
      </c>
      <c r="DM345" s="24"/>
      <c r="DN345" s="24"/>
    </row>
    <row r="346" spans="116:118" x14ac:dyDescent="0.2">
      <c r="DL346" s="27" t="str">
        <f>CONCATENATE($DM$5,$AM$13,$DN$5)</f>
        <v xml:space="preserve">   "",</v>
      </c>
      <c r="DM346" s="24"/>
      <c r="DN346" s="24"/>
    </row>
    <row r="347" spans="116:118" x14ac:dyDescent="0.2">
      <c r="DL347" s="27" t="str">
        <f>CONCATENATE($DM$5,$AM$14,$DN$5)</f>
        <v xml:space="preserve">   "",</v>
      </c>
      <c r="DM347" s="24"/>
      <c r="DN347" s="24"/>
    </row>
    <row r="348" spans="116:118" x14ac:dyDescent="0.2">
      <c r="DL348" s="27" t="str">
        <f>CONCATENATE($DM$5,$AM$15,$DN$5)</f>
        <v xml:space="preserve">   "",</v>
      </c>
      <c r="DM348" s="24"/>
      <c r="DN348" s="24"/>
    </row>
    <row r="349" spans="116:118" x14ac:dyDescent="0.2">
      <c r="DL349" s="27" t="str">
        <f>CONCATENATE($DM$5,$AM$16,$DN$5)</f>
        <v xml:space="preserve">   "",</v>
      </c>
      <c r="DM349" s="24"/>
      <c r="DN349" s="24"/>
    </row>
    <row r="350" spans="116:118" x14ac:dyDescent="0.2">
      <c r="DL350" s="27" t="str">
        <f>CONCATENATE($DM$5,$AM$21,$DN$5)</f>
        <v xml:space="preserve">   "",</v>
      </c>
      <c r="DM350" s="24"/>
      <c r="DN350" s="24"/>
    </row>
    <row r="351" spans="116:118" x14ac:dyDescent="0.2">
      <c r="DL351" s="27" t="str">
        <f>CONCATENATE($DM$5,$AM$22,$DN$5)</f>
        <v xml:space="preserve">   "",</v>
      </c>
      <c r="DM351" s="24"/>
      <c r="DN351" s="24"/>
    </row>
    <row r="352" spans="116:118" x14ac:dyDescent="0.2">
      <c r="DL352" s="27" t="str">
        <f>CONCATENATE($DM$5,$AM$27,$DN$6)</f>
        <v xml:space="preserve">   ""</v>
      </c>
      <c r="DM352" s="24"/>
      <c r="DN352" s="24"/>
    </row>
    <row r="353" spans="116:118" x14ac:dyDescent="0.2">
      <c r="DL353" s="27" t="s">
        <v>28</v>
      </c>
      <c r="DM353" s="24"/>
      <c r="DN353" s="24"/>
    </row>
    <row r="354" spans="116:118" x14ac:dyDescent="0.2">
      <c r="DL354" s="27"/>
      <c r="DM354" s="24"/>
      <c r="DN354" s="24"/>
    </row>
    <row r="355" spans="116:118" x14ac:dyDescent="0.2">
      <c r="DL355" s="27" t="s">
        <v>45</v>
      </c>
      <c r="DM355" s="24"/>
      <c r="DN355" s="24"/>
    </row>
    <row r="356" spans="116:118" x14ac:dyDescent="0.2">
      <c r="DL356" s="27" t="str">
        <f>CONCATENATE($DM$5,$AO$5,$DN$5)</f>
        <v xml:space="preserve">   "2",</v>
      </c>
      <c r="DM356" s="24"/>
      <c r="DN356" s="24"/>
    </row>
    <row r="357" spans="116:118" x14ac:dyDescent="0.2">
      <c r="DL357" s="27" t="str">
        <f>CONCATENATE($DM$5,$AO$6,$DN$5)</f>
        <v xml:space="preserve">   "5",</v>
      </c>
      <c r="DM357" s="24"/>
      <c r="DN357" s="24"/>
    </row>
    <row r="358" spans="116:118" x14ac:dyDescent="0.2">
      <c r="DL358" s="27" t="str">
        <f>CONCATENATE($DM$5,$AO$7,$DN$5)</f>
        <v xml:space="preserve">   "7",</v>
      </c>
      <c r="DM358" s="24"/>
      <c r="DN358" s="24"/>
    </row>
    <row r="359" spans="116:118" x14ac:dyDescent="0.2">
      <c r="DL359" s="27" t="str">
        <f>CONCATENATE($DM$5,$AO$8,$DN$5)</f>
        <v xml:space="preserve">   "1",</v>
      </c>
      <c r="DM359" s="24"/>
      <c r="DN359" s="24"/>
    </row>
    <row r="360" spans="116:118" x14ac:dyDescent="0.2">
      <c r="DL360" s="27" t="str">
        <f>CONCATENATE($DM$5,$AO$13,$DN$5)</f>
        <v xml:space="preserve">   "",</v>
      </c>
      <c r="DM360" s="24"/>
      <c r="DN360" s="24"/>
    </row>
    <row r="361" spans="116:118" x14ac:dyDescent="0.2">
      <c r="DL361" s="27" t="str">
        <f>CONCATENATE($DM$5,$AO$14,$DN$5)</f>
        <v xml:space="preserve">   "",</v>
      </c>
      <c r="DM361" s="24"/>
      <c r="DN361" s="24"/>
    </row>
    <row r="362" spans="116:118" x14ac:dyDescent="0.2">
      <c r="DL362" s="27" t="str">
        <f>CONCATENATE($DM$5,$AO$15,$DN$5)</f>
        <v xml:space="preserve">   "",</v>
      </c>
      <c r="DM362" s="24"/>
      <c r="DN362" s="24"/>
    </row>
    <row r="363" spans="116:118" x14ac:dyDescent="0.2">
      <c r="DL363" s="27" t="str">
        <f>CONCATENATE($DM$5,$AO$16,$DN$5)</f>
        <v xml:space="preserve">   "",</v>
      </c>
      <c r="DM363" s="24"/>
      <c r="DN363" s="24"/>
    </row>
    <row r="364" spans="116:118" x14ac:dyDescent="0.2">
      <c r="DL364" s="27" t="str">
        <f>CONCATENATE($DM$5,$AO$21,$DN$5)</f>
        <v xml:space="preserve">   "",</v>
      </c>
      <c r="DM364" s="24"/>
      <c r="DN364" s="24"/>
    </row>
    <row r="365" spans="116:118" x14ac:dyDescent="0.2">
      <c r="DL365" s="27" t="str">
        <f>CONCATENATE($DM$5,$AO$22,$DN$5)</f>
        <v xml:space="preserve">   "",</v>
      </c>
      <c r="DM365" s="24"/>
      <c r="DN365" s="24"/>
    </row>
    <row r="366" spans="116:118" x14ac:dyDescent="0.2">
      <c r="DL366" s="27" t="str">
        <f>CONCATENATE($DM$5,$AO$27,$DN$6)</f>
        <v xml:space="preserve">   ""</v>
      </c>
      <c r="DM366" s="24"/>
      <c r="DN366" s="24"/>
    </row>
    <row r="367" spans="116:118" x14ac:dyDescent="0.2">
      <c r="DL367" s="27" t="s">
        <v>28</v>
      </c>
      <c r="DM367" s="24"/>
      <c r="DN367" s="24"/>
    </row>
    <row r="368" spans="116:118" x14ac:dyDescent="0.2">
      <c r="DL368" s="27"/>
      <c r="DM368" s="24"/>
      <c r="DN368" s="24"/>
    </row>
    <row r="369" spans="116:118" x14ac:dyDescent="0.2">
      <c r="DL369" s="27" t="s">
        <v>71</v>
      </c>
      <c r="DM369" s="24"/>
      <c r="DN369" s="24"/>
    </row>
    <row r="370" spans="116:118" x14ac:dyDescent="0.2">
      <c r="DL370" s="36" t="str">
        <f>CONCATENATE($DM$5,$DN$5)</f>
        <v xml:space="preserve">   "",</v>
      </c>
      <c r="DM370" s="24"/>
      <c r="DN370" s="24"/>
    </row>
    <row r="371" spans="116:118" x14ac:dyDescent="0.2">
      <c r="DL371" s="36" t="str">
        <f>CONCATENATE($DM$5,$DN$5)</f>
        <v xml:space="preserve">   "",</v>
      </c>
      <c r="DM371" s="24"/>
      <c r="DN371" s="24"/>
    </row>
    <row r="372" spans="116:118" x14ac:dyDescent="0.2">
      <c r="DL372" s="36" t="str">
        <f>CONCATENATE($DM$5,$DN$5)</f>
        <v xml:space="preserve">   "",</v>
      </c>
      <c r="DM372" s="24"/>
      <c r="DN372" s="24"/>
    </row>
    <row r="373" spans="116:118" x14ac:dyDescent="0.2">
      <c r="DL373" s="27" t="str">
        <f>CONCATENATE($DM$5,$AO$9,$DN$5)</f>
        <v xml:space="preserve">   "45",</v>
      </c>
      <c r="DM373" s="24"/>
      <c r="DN373" s="24"/>
    </row>
    <row r="374" spans="116:118" x14ac:dyDescent="0.2">
      <c r="DL374" s="36" t="str">
        <f>CONCATENATE($DM$5,$DN$5)</f>
        <v xml:space="preserve">   "",</v>
      </c>
      <c r="DM374" s="24"/>
      <c r="DN374" s="24"/>
    </row>
    <row r="375" spans="116:118" x14ac:dyDescent="0.2">
      <c r="DL375" s="36" t="str">
        <f>CONCATENATE($DM$5,$DN$5)</f>
        <v xml:space="preserve">   "",</v>
      </c>
      <c r="DM375" s="24"/>
      <c r="DN375" s="24"/>
    </row>
    <row r="376" spans="116:118" x14ac:dyDescent="0.2">
      <c r="DL376" s="36" t="str">
        <f>CONCATENATE($DM$5,$DN$5)</f>
        <v xml:space="preserve">   "",</v>
      </c>
      <c r="DM376" s="24"/>
      <c r="DN376" s="24"/>
    </row>
    <row r="377" spans="116:118" x14ac:dyDescent="0.2">
      <c r="DL377" s="27" t="str">
        <f>CONCATENATE($DM$5,$AO$17,$DN$5)</f>
        <v xml:space="preserve">   "",</v>
      </c>
      <c r="DM377" s="24"/>
      <c r="DN377" s="24"/>
    </row>
    <row r="378" spans="116:118" x14ac:dyDescent="0.2">
      <c r="DL378" s="36" t="str">
        <f>CONCATENATE($DM$5,$DN$5)</f>
        <v xml:space="preserve">   "",</v>
      </c>
      <c r="DM378" s="24"/>
      <c r="DN378" s="24"/>
    </row>
    <row r="379" spans="116:118" x14ac:dyDescent="0.2">
      <c r="DL379" s="27" t="str">
        <f>CONCATENATE($DM$5,$AO$23,$DN$5)</f>
        <v xml:space="preserve">   "",</v>
      </c>
      <c r="DM379" s="24"/>
      <c r="DN379" s="24"/>
    </row>
    <row r="380" spans="116:118" x14ac:dyDescent="0.2">
      <c r="DL380" s="27" t="str">
        <f>CONCATENATE($DM$5,$AO$28,$DN$6)</f>
        <v xml:space="preserve">   ""</v>
      </c>
      <c r="DM380" s="24"/>
      <c r="DN380" s="24"/>
    </row>
    <row r="381" spans="116:118" x14ac:dyDescent="0.2">
      <c r="DL381" s="27" t="s">
        <v>28</v>
      </c>
      <c r="DM381" s="24"/>
      <c r="DN381" s="24"/>
    </row>
    <row r="382" spans="116:118" x14ac:dyDescent="0.2">
      <c r="DL382" s="46"/>
      <c r="DM382" s="24"/>
      <c r="DN382" s="24"/>
    </row>
    <row r="383" spans="116:118" x14ac:dyDescent="0.2">
      <c r="DL383" s="27" t="s">
        <v>46</v>
      </c>
      <c r="DM383" s="24"/>
      <c r="DN383" s="24"/>
    </row>
    <row r="384" spans="116:118" x14ac:dyDescent="0.2">
      <c r="DL384" s="27" t="str">
        <f>CONCATENATE($DM$5,$AQ$5,$DN$5)</f>
        <v xml:space="preserve">   "H",</v>
      </c>
      <c r="DM384" s="24"/>
      <c r="DN384" s="24"/>
    </row>
    <row r="385" spans="116:118" x14ac:dyDescent="0.2">
      <c r="DL385" s="27" t="str">
        <f>CONCATENATE($DM$5,$AQ$6,$DN$5)</f>
        <v xml:space="preserve">   "H",</v>
      </c>
      <c r="DM385" s="24"/>
      <c r="DN385" s="24"/>
    </row>
    <row r="386" spans="116:118" x14ac:dyDescent="0.2">
      <c r="DL386" s="27" t="str">
        <f>CONCATENATE($DM$5,$AQ$7,$DN$5)</f>
        <v xml:space="preserve">   "H",</v>
      </c>
      <c r="DM386" s="24"/>
      <c r="DN386" s="24"/>
    </row>
    <row r="387" spans="116:118" x14ac:dyDescent="0.2">
      <c r="DL387" s="27" t="str">
        <f>CONCATENATE($DM$5,$AQ$8,$DN$5)</f>
        <v xml:space="preserve">   "V",</v>
      </c>
      <c r="DM387" s="24"/>
      <c r="DN387" s="24"/>
    </row>
    <row r="388" spans="116:118" x14ac:dyDescent="0.2">
      <c r="DL388" s="27" t="str">
        <f>CONCATENATE($DM$5,$AQ$13,$DN$5)</f>
        <v xml:space="preserve">   "",</v>
      </c>
      <c r="DM388" s="24"/>
      <c r="DN388" s="24"/>
    </row>
    <row r="389" spans="116:118" x14ac:dyDescent="0.2">
      <c r="DL389" s="27" t="str">
        <f>CONCATENATE($DM$5,$AQ$14,$DN$5)</f>
        <v xml:space="preserve">   "",</v>
      </c>
      <c r="DM389" s="24"/>
      <c r="DN389" s="24"/>
    </row>
    <row r="390" spans="116:118" x14ac:dyDescent="0.2">
      <c r="DL390" s="27" t="str">
        <f>CONCATENATE($DM$5,$AQ$15,$DN$5)</f>
        <v xml:space="preserve">   "",</v>
      </c>
      <c r="DM390" s="24"/>
      <c r="DN390" s="24"/>
    </row>
    <row r="391" spans="116:118" x14ac:dyDescent="0.2">
      <c r="DL391" s="27" t="str">
        <f>CONCATENATE($DM$5,$AQ$16,$DN$5)</f>
        <v xml:space="preserve">   "",</v>
      </c>
      <c r="DM391" s="24"/>
      <c r="DN391" s="24"/>
    </row>
    <row r="392" spans="116:118" x14ac:dyDescent="0.2">
      <c r="DL392" s="27" t="str">
        <f>CONCATENATE($DM$5,$AQ$21,$DN$5)</f>
        <v xml:space="preserve">   "",</v>
      </c>
      <c r="DM392" s="24"/>
      <c r="DN392" s="24"/>
    </row>
    <row r="393" spans="116:118" x14ac:dyDescent="0.2">
      <c r="DL393" s="27" t="str">
        <f>CONCATENATE($DM$5,$AQ$22,$DN$5)</f>
        <v xml:space="preserve">   "",</v>
      </c>
      <c r="DM393" s="24"/>
      <c r="DN393" s="24"/>
    </row>
    <row r="394" spans="116:118" x14ac:dyDescent="0.2">
      <c r="DL394" s="27" t="str">
        <f>CONCATENATE($DM$5,$AQ$27,$DN$6)</f>
        <v xml:space="preserve">   ""</v>
      </c>
      <c r="DM394" s="24"/>
      <c r="DN394" s="24"/>
    </row>
    <row r="395" spans="116:118" x14ac:dyDescent="0.2">
      <c r="DL395" s="27" t="s">
        <v>28</v>
      </c>
      <c r="DM395" s="24"/>
      <c r="DN395" s="24"/>
    </row>
    <row r="396" spans="116:118" x14ac:dyDescent="0.2">
      <c r="DL396" s="27"/>
      <c r="DM396" s="24"/>
      <c r="DN396" s="24"/>
    </row>
    <row r="397" spans="116:118" x14ac:dyDescent="0.2">
      <c r="DL397" s="27" t="s">
        <v>47</v>
      </c>
      <c r="DM397" s="24"/>
      <c r="DN397" s="24"/>
    </row>
    <row r="398" spans="116:118" x14ac:dyDescent="0.2">
      <c r="DL398" s="27" t="str">
        <f>CONCATENATE($DM$5,$AS$5,$DN$5)</f>
        <v xml:space="preserve">   "3",</v>
      </c>
      <c r="DM398" s="24"/>
      <c r="DN398" s="24"/>
    </row>
    <row r="399" spans="116:118" x14ac:dyDescent="0.2">
      <c r="DL399" s="27" t="str">
        <f>CONCATENATE($DM$5,$AS$6,$DN$5)</f>
        <v xml:space="preserve">   "7",</v>
      </c>
      <c r="DM399" s="24"/>
      <c r="DN399" s="24"/>
    </row>
    <row r="400" spans="116:118" x14ac:dyDescent="0.2">
      <c r="DL400" s="27" t="str">
        <f>CONCATENATE($DM$5,$AS$7,$DN$5)</f>
        <v xml:space="preserve">   "10",</v>
      </c>
      <c r="DM400" s="24"/>
      <c r="DN400" s="24"/>
    </row>
    <row r="401" spans="116:118" x14ac:dyDescent="0.2">
      <c r="DL401" s="27" t="str">
        <f>CONCATENATE($DM$5,$AS$8,$DN$5)</f>
        <v xml:space="preserve">   "7",</v>
      </c>
      <c r="DM401" s="24"/>
      <c r="DN401" s="24"/>
    </row>
    <row r="402" spans="116:118" x14ac:dyDescent="0.2">
      <c r="DL402" s="27" t="str">
        <f>CONCATENATE($DM$5,$AS$13,$DN$5)</f>
        <v xml:space="preserve">   "",</v>
      </c>
      <c r="DM402" s="24"/>
      <c r="DN402" s="24"/>
    </row>
    <row r="403" spans="116:118" x14ac:dyDescent="0.2">
      <c r="DL403" s="27" t="str">
        <f>CONCATENATE($DM$5,$AS$14,$DN$5)</f>
        <v xml:space="preserve">   "",</v>
      </c>
      <c r="DM403" s="24"/>
      <c r="DN403" s="24"/>
    </row>
    <row r="404" spans="116:118" x14ac:dyDescent="0.2">
      <c r="DL404" s="27" t="str">
        <f>CONCATENATE($DM$5,$AS$15,$DN$5)</f>
        <v xml:space="preserve">   "",</v>
      </c>
      <c r="DM404" s="24"/>
      <c r="DN404" s="24"/>
    </row>
    <row r="405" spans="116:118" x14ac:dyDescent="0.2">
      <c r="DL405" s="27" t="str">
        <f>CONCATENATE($DM$5,$AS$16,$DN$5)</f>
        <v xml:space="preserve">   "",</v>
      </c>
      <c r="DM405" s="24"/>
      <c r="DN405" s="24"/>
    </row>
    <row r="406" spans="116:118" x14ac:dyDescent="0.2">
      <c r="DL406" s="27" t="str">
        <f>CONCATENATE($DM$5,$AS$21,$DN$5)</f>
        <v xml:space="preserve">   "",</v>
      </c>
      <c r="DM406" s="24"/>
      <c r="DN406" s="24"/>
    </row>
    <row r="407" spans="116:118" x14ac:dyDescent="0.2">
      <c r="DL407" s="27" t="str">
        <f>CONCATENATE($DM$5,$AS$22,$DN$5)</f>
        <v xml:space="preserve">   "",</v>
      </c>
      <c r="DM407" s="24"/>
      <c r="DN407" s="24"/>
    </row>
    <row r="408" spans="116:118" x14ac:dyDescent="0.2">
      <c r="DL408" s="27" t="str">
        <f>CONCATENATE($DM$5,$AS$27,$DN$6)</f>
        <v xml:space="preserve">   ""</v>
      </c>
      <c r="DM408" s="24"/>
      <c r="DN408" s="24"/>
    </row>
    <row r="409" spans="116:118" x14ac:dyDescent="0.2">
      <c r="DL409" s="27" t="s">
        <v>28</v>
      </c>
      <c r="DM409" s="24"/>
      <c r="DN409" s="24"/>
    </row>
    <row r="410" spans="116:118" x14ac:dyDescent="0.2">
      <c r="DL410" s="27"/>
      <c r="DM410" s="24"/>
      <c r="DN410" s="24"/>
    </row>
    <row r="411" spans="116:118" x14ac:dyDescent="0.2">
      <c r="DL411" s="27" t="s">
        <v>72</v>
      </c>
      <c r="DM411" s="24"/>
      <c r="DN411" s="24"/>
    </row>
    <row r="412" spans="116:118" x14ac:dyDescent="0.2">
      <c r="DL412" s="36" t="str">
        <f>CONCATENATE($DM$5,$DN$5)</f>
        <v xml:space="preserve">   "",</v>
      </c>
      <c r="DM412" s="24"/>
      <c r="DN412" s="24"/>
    </row>
    <row r="413" spans="116:118" x14ac:dyDescent="0.2">
      <c r="DL413" s="36" t="str">
        <f>CONCATENATE($DM$5,$DN$5)</f>
        <v xml:space="preserve">   "",</v>
      </c>
      <c r="DM413" s="24"/>
      <c r="DN413" s="24"/>
    </row>
    <row r="414" spans="116:118" x14ac:dyDescent="0.2">
      <c r="DL414" s="36" t="str">
        <f>CONCATENATE($DM$5,$DN$5)</f>
        <v xml:space="preserve">   "",</v>
      </c>
      <c r="DM414" s="24"/>
      <c r="DN414" s="24"/>
    </row>
    <row r="415" spans="116:118" x14ac:dyDescent="0.2">
      <c r="DL415" s="27" t="str">
        <f>CONCATENATE($DM$5,$AS$9,$DN$5)</f>
        <v xml:space="preserve">   "44",</v>
      </c>
      <c r="DM415" s="24"/>
      <c r="DN415" s="24"/>
    </row>
    <row r="416" spans="116:118" x14ac:dyDescent="0.2">
      <c r="DL416" s="36" t="str">
        <f>CONCATENATE($DM$5,$DN$5)</f>
        <v xml:space="preserve">   "",</v>
      </c>
      <c r="DM416" s="24"/>
      <c r="DN416" s="24"/>
    </row>
    <row r="417" spans="99:118" x14ac:dyDescent="0.2">
      <c r="DL417" s="36" t="str">
        <f>CONCATENATE($DM$5,$DN$5)</f>
        <v xml:space="preserve">   "",</v>
      </c>
      <c r="DM417" s="24"/>
      <c r="DN417" s="24"/>
    </row>
    <row r="418" spans="99:118" x14ac:dyDescent="0.2">
      <c r="DL418" s="36" t="str">
        <f>CONCATENATE($DM$5,$DN$5)</f>
        <v xml:space="preserve">   "",</v>
      </c>
      <c r="DM418" s="24"/>
      <c r="DN418" s="24"/>
    </row>
    <row r="419" spans="99:118" x14ac:dyDescent="0.2">
      <c r="DL419" s="27" t="str">
        <f>CONCATENATE($DM$5,$AS$17,$DN$5)</f>
        <v xml:space="preserve">   "",</v>
      </c>
      <c r="DM419" s="24"/>
      <c r="DN419" s="24"/>
    </row>
    <row r="420" spans="99:118" x14ac:dyDescent="0.2">
      <c r="DL420" s="36" t="str">
        <f>CONCATENATE($DM$5,$DN$5)</f>
        <v xml:space="preserve">   "",</v>
      </c>
      <c r="DM420" s="24"/>
      <c r="DN420" s="24"/>
    </row>
    <row r="421" spans="99:118" x14ac:dyDescent="0.2">
      <c r="DL421" s="27" t="str">
        <f>CONCATENATE($DM$5,$AS$23,$DN$5)</f>
        <v xml:space="preserve">   "",</v>
      </c>
      <c r="DM421" s="24"/>
      <c r="DN421" s="24"/>
    </row>
    <row r="422" spans="99:118" x14ac:dyDescent="0.2">
      <c r="CU422" s="57"/>
      <c r="CV422" s="57"/>
      <c r="CW422" s="57"/>
      <c r="DL422" s="27" t="str">
        <f>CONCATENATE($DM$5,$AS$28,$DN$6)</f>
        <v xml:space="preserve">   ""</v>
      </c>
      <c r="DM422" s="24"/>
      <c r="DN422" s="24"/>
    </row>
    <row r="423" spans="99:118" x14ac:dyDescent="0.2">
      <c r="CU423" s="57"/>
      <c r="CV423" s="57"/>
      <c r="CW423" s="57"/>
      <c r="DL423" s="27" t="s">
        <v>28</v>
      </c>
      <c r="DM423" s="24"/>
      <c r="DN423" s="24"/>
    </row>
    <row r="424" spans="99:118" x14ac:dyDescent="0.2">
      <c r="CU424" s="57"/>
      <c r="CV424" s="57"/>
      <c r="CW424" s="57"/>
      <c r="DL424" s="46"/>
      <c r="DM424" s="24"/>
      <c r="DN424" s="24"/>
    </row>
    <row r="425" spans="99:118" x14ac:dyDescent="0.2">
      <c r="CU425" s="57"/>
      <c r="CV425" s="57"/>
      <c r="CW425" s="57"/>
      <c r="DL425" s="27" t="s">
        <v>48</v>
      </c>
      <c r="DM425" s="24"/>
      <c r="DN425" s="24"/>
    </row>
    <row r="426" spans="99:118" x14ac:dyDescent="0.2">
      <c r="CU426" s="57"/>
      <c r="CV426" s="57"/>
      <c r="CW426" s="57"/>
      <c r="DL426" s="27" t="str">
        <f>CONCATENATE($DM$5,$AU$5,$DN$5)</f>
        <v xml:space="preserve">   "H",</v>
      </c>
      <c r="DM426" s="24"/>
      <c r="DN426" s="24"/>
    </row>
    <row r="427" spans="99:118" x14ac:dyDescent="0.2">
      <c r="CU427" s="57"/>
      <c r="CV427" s="57"/>
      <c r="CW427" s="57"/>
      <c r="DL427" s="27" t="str">
        <f>CONCATENATE($DM$5,$AU$6,$DN$5)</f>
        <v xml:space="preserve">   "H",</v>
      </c>
      <c r="DM427" s="24"/>
      <c r="DN427" s="24"/>
    </row>
    <row r="428" spans="99:118" x14ac:dyDescent="0.2">
      <c r="CU428" s="57"/>
      <c r="CV428" s="57"/>
      <c r="CW428" s="57"/>
      <c r="DL428" s="27" t="str">
        <f>CONCATENATE($DM$5,$AU$7,$DN$5)</f>
        <v xml:space="preserve">   "H",</v>
      </c>
      <c r="DM428" s="24"/>
      <c r="DN428" s="24"/>
    </row>
    <row r="429" spans="99:118" x14ac:dyDescent="0.2">
      <c r="CU429" s="57"/>
      <c r="CV429" s="57"/>
      <c r="CW429" s="57"/>
      <c r="DL429" s="27" t="str">
        <f>CONCATENATE($DM$5,$AU$8,$DN$5)</f>
        <v xml:space="preserve">   "V",</v>
      </c>
      <c r="DM429" s="24"/>
      <c r="DN429" s="24"/>
    </row>
    <row r="430" spans="99:118" x14ac:dyDescent="0.2">
      <c r="CU430" s="57"/>
      <c r="CV430" s="57"/>
      <c r="CW430" s="57"/>
      <c r="DL430" s="27" t="str">
        <f>CONCATENATE($DM$5,$AU$13,$DN$5)</f>
        <v xml:space="preserve">   "",</v>
      </c>
      <c r="DM430" s="24"/>
      <c r="DN430" s="24"/>
    </row>
    <row r="431" spans="99:118" x14ac:dyDescent="0.2">
      <c r="CU431" s="57"/>
      <c r="CV431" s="57"/>
      <c r="CW431" s="57"/>
      <c r="DL431" s="27" t="str">
        <f>CONCATENATE($DM$5,$AU$14,$DN$5)</f>
        <v xml:space="preserve">   "",</v>
      </c>
      <c r="DM431" s="24"/>
      <c r="DN431" s="24"/>
    </row>
    <row r="432" spans="99:118" x14ac:dyDescent="0.2">
      <c r="CU432" s="57"/>
      <c r="CV432" s="57"/>
      <c r="CW432" s="57"/>
      <c r="DL432" s="27" t="str">
        <f>CONCATENATE($DM$5,$AU$15,$DN$5)</f>
        <v xml:space="preserve">   "",</v>
      </c>
      <c r="DM432" s="24"/>
      <c r="DN432" s="24"/>
    </row>
    <row r="433" spans="99:118" x14ac:dyDescent="0.2">
      <c r="CU433" s="57"/>
      <c r="CV433" s="57"/>
      <c r="CW433" s="57"/>
      <c r="DL433" s="27" t="str">
        <f>CONCATENATE($DM$5,$AU$16,$DN$5)</f>
        <v xml:space="preserve">   "",</v>
      </c>
      <c r="DM433" s="24"/>
      <c r="DN433" s="24"/>
    </row>
    <row r="434" spans="99:118" x14ac:dyDescent="0.2">
      <c r="CU434" s="57"/>
      <c r="CV434" s="57"/>
      <c r="CW434" s="57"/>
      <c r="DL434" s="27" t="str">
        <f>CONCATENATE($DM$5,$AU$21,$DN$5)</f>
        <v xml:space="preserve">   "",</v>
      </c>
      <c r="DM434" s="24"/>
      <c r="DN434" s="24"/>
    </row>
    <row r="435" spans="99:118" x14ac:dyDescent="0.2">
      <c r="CU435" s="57"/>
      <c r="CV435" s="57"/>
      <c r="CW435" s="57"/>
      <c r="DL435" s="27" t="str">
        <f>CONCATENATE($DM$5,$AU$22,$DN$5)</f>
        <v xml:space="preserve">   "",</v>
      </c>
      <c r="DM435" s="24"/>
      <c r="DN435" s="24"/>
    </row>
    <row r="436" spans="99:118" x14ac:dyDescent="0.2">
      <c r="CU436" s="57"/>
      <c r="CV436" s="57"/>
      <c r="CW436" s="57"/>
      <c r="DL436" s="27" t="str">
        <f>CONCATENATE($DM$5,$AU$27,$DN$6)</f>
        <v xml:space="preserve">   ""</v>
      </c>
      <c r="DM436" s="24"/>
      <c r="DN436" s="24"/>
    </row>
    <row r="437" spans="99:118" x14ac:dyDescent="0.2">
      <c r="CU437" s="57"/>
      <c r="CV437" s="57"/>
      <c r="CW437" s="57"/>
      <c r="DL437" s="27" t="s">
        <v>28</v>
      </c>
      <c r="DM437" s="24"/>
      <c r="DN437" s="24"/>
    </row>
    <row r="438" spans="99:118" x14ac:dyDescent="0.2">
      <c r="CU438" s="57"/>
      <c r="CV438" s="57"/>
      <c r="CW438" s="57"/>
      <c r="DL438" s="27"/>
      <c r="DM438" s="24"/>
      <c r="DN438" s="24"/>
    </row>
    <row r="439" spans="99:118" x14ac:dyDescent="0.2">
      <c r="CU439" s="57"/>
      <c r="CV439" s="57"/>
      <c r="CW439" s="57"/>
      <c r="DL439" s="27" t="s">
        <v>49</v>
      </c>
      <c r="DM439" s="24"/>
      <c r="DN439" s="24"/>
    </row>
    <row r="440" spans="99:118" x14ac:dyDescent="0.2">
      <c r="CU440" s="57"/>
      <c r="CV440" s="57"/>
      <c r="CW440" s="57"/>
      <c r="DL440" s="27" t="str">
        <f>CONCATENATE($DM$5,$AW$5,$DN$5)</f>
        <v xml:space="preserve">   "3",</v>
      </c>
      <c r="DM440" s="24"/>
      <c r="DN440" s="24"/>
    </row>
    <row r="441" spans="99:118" x14ac:dyDescent="0.2">
      <c r="CU441" s="57"/>
      <c r="CV441" s="57"/>
      <c r="CW441" s="57"/>
      <c r="DL441" s="27" t="str">
        <f>CONCATENATE($DM$5,$AW$6,$DN$5)</f>
        <v xml:space="preserve">   "3",</v>
      </c>
      <c r="DM441" s="24"/>
      <c r="DN441" s="24"/>
    </row>
    <row r="442" spans="99:118" x14ac:dyDescent="0.2">
      <c r="CU442" s="57"/>
      <c r="CV442" s="57"/>
      <c r="CW442" s="57"/>
      <c r="DL442" s="27" t="str">
        <f>CONCATENATE($DM$5,$AW$7,$DN$5)</f>
        <v xml:space="preserve">   "7",</v>
      </c>
      <c r="DM442" s="24"/>
      <c r="DN442" s="24"/>
    </row>
    <row r="443" spans="99:118" x14ac:dyDescent="0.2">
      <c r="CU443" s="57"/>
      <c r="CV443" s="57"/>
      <c r="CW443" s="57"/>
      <c r="DL443" s="27" t="str">
        <f>CONCATENATE($DM$5,$AW$8,$DN$5)</f>
        <v xml:space="preserve">   "4",</v>
      </c>
      <c r="DM443" s="24"/>
      <c r="DN443" s="24"/>
    </row>
    <row r="444" spans="99:118" x14ac:dyDescent="0.2">
      <c r="CU444" s="57"/>
      <c r="CV444" s="57"/>
      <c r="CW444" s="57"/>
      <c r="DL444" s="27" t="str">
        <f>CONCATENATE($DM$5,$AW$13,$DN$5)</f>
        <v xml:space="preserve">   "",</v>
      </c>
      <c r="DM444" s="24"/>
      <c r="DN444" s="24"/>
    </row>
    <row r="445" spans="99:118" x14ac:dyDescent="0.2">
      <c r="CU445" s="57"/>
      <c r="CV445" s="57"/>
      <c r="CW445" s="57"/>
      <c r="DL445" s="27" t="str">
        <f>CONCATENATE($DM$5,$AW$14,$DN$5)</f>
        <v xml:space="preserve">   "",</v>
      </c>
      <c r="DM445" s="24"/>
      <c r="DN445" s="24"/>
    </row>
    <row r="446" spans="99:118" x14ac:dyDescent="0.2">
      <c r="CU446" s="57"/>
      <c r="CV446" s="57"/>
      <c r="CW446" s="57"/>
      <c r="DL446" s="27" t="str">
        <f>CONCATENATE($DM$5,$AW$15,$DN$5)</f>
        <v xml:space="preserve">   "",</v>
      </c>
      <c r="DM446" s="24"/>
      <c r="DN446" s="24"/>
    </row>
    <row r="447" spans="99:118" x14ac:dyDescent="0.2">
      <c r="CU447" s="57"/>
      <c r="CV447" s="57"/>
      <c r="CW447" s="57"/>
      <c r="DL447" s="27" t="str">
        <f>CONCATENATE($DM$5,$AW$16,$DN$5)</f>
        <v xml:space="preserve">   "",</v>
      </c>
      <c r="DM447" s="24"/>
      <c r="DN447" s="24"/>
    </row>
    <row r="448" spans="99:118" x14ac:dyDescent="0.2">
      <c r="CU448" s="57"/>
      <c r="CV448" s="57"/>
      <c r="CW448" s="57"/>
      <c r="DL448" s="27" t="str">
        <f>CONCATENATE($DM$5,$AW$21,$DN$5)</f>
        <v xml:space="preserve">   "",</v>
      </c>
      <c r="DM448" s="24"/>
      <c r="DN448" s="24"/>
    </row>
    <row r="449" spans="99:118" x14ac:dyDescent="0.2">
      <c r="CU449" s="57"/>
      <c r="CV449" s="57"/>
      <c r="CW449" s="57"/>
      <c r="DL449" s="27" t="str">
        <f>CONCATENATE($DM$5,$AW$22,$DN$5)</f>
        <v xml:space="preserve">   "",</v>
      </c>
      <c r="DM449" s="24"/>
      <c r="DN449" s="24"/>
    </row>
    <row r="450" spans="99:118" x14ac:dyDescent="0.2">
      <c r="CU450" s="57"/>
      <c r="CV450" s="57"/>
      <c r="CW450" s="57"/>
      <c r="DL450" s="27" t="str">
        <f>CONCATENATE($DM$5,$AW$27,$DN$6)</f>
        <v xml:space="preserve">   ""</v>
      </c>
      <c r="DM450" s="24"/>
      <c r="DN450" s="24"/>
    </row>
    <row r="451" spans="99:118" x14ac:dyDescent="0.2">
      <c r="CU451" s="57"/>
      <c r="CV451" s="57"/>
      <c r="CW451" s="57"/>
      <c r="DL451" s="27" t="s">
        <v>28</v>
      </c>
      <c r="DM451" s="24"/>
      <c r="DN451" s="24"/>
    </row>
    <row r="452" spans="99:118" x14ac:dyDescent="0.2">
      <c r="CU452" s="57"/>
      <c r="CV452" s="57"/>
      <c r="CW452" s="57"/>
      <c r="DL452" s="27"/>
      <c r="DM452" s="24"/>
      <c r="DN452" s="24"/>
    </row>
    <row r="453" spans="99:118" x14ac:dyDescent="0.2">
      <c r="CU453" s="57"/>
      <c r="CV453" s="57"/>
      <c r="CW453" s="57"/>
      <c r="DL453" s="27" t="s">
        <v>73</v>
      </c>
      <c r="DM453" s="24"/>
      <c r="DN453" s="24"/>
    </row>
    <row r="454" spans="99:118" x14ac:dyDescent="0.2">
      <c r="CU454" s="57"/>
      <c r="CV454" s="57"/>
      <c r="CW454" s="57"/>
      <c r="DL454" s="36" t="str">
        <f>CONCATENATE($DM$5,$DN$5)</f>
        <v xml:space="preserve">   "",</v>
      </c>
      <c r="DM454" s="24"/>
      <c r="DN454" s="24"/>
    </row>
    <row r="455" spans="99:118" x14ac:dyDescent="0.2">
      <c r="CU455" s="57"/>
      <c r="CV455" s="57"/>
      <c r="CW455" s="57"/>
      <c r="DL455" s="36" t="str">
        <f>CONCATENATE($DM$5,$DN$5)</f>
        <v xml:space="preserve">   "",</v>
      </c>
      <c r="DM455" s="24"/>
      <c r="DN455" s="24"/>
    </row>
    <row r="456" spans="99:118" x14ac:dyDescent="0.2">
      <c r="CU456" s="57"/>
      <c r="CV456" s="57"/>
      <c r="CW456" s="57"/>
      <c r="DL456" s="36" t="str">
        <f>CONCATENATE($DM$5,$DN$5)</f>
        <v xml:space="preserve">   "",</v>
      </c>
      <c r="DM456" s="24"/>
      <c r="DN456" s="24"/>
    </row>
    <row r="457" spans="99:118" x14ac:dyDescent="0.2">
      <c r="CU457" s="57"/>
      <c r="CV457" s="57"/>
      <c r="CW457" s="57"/>
      <c r="DL457" s="27" t="str">
        <f>CONCATENATE($DM$5,$AW$9,$DN$5)</f>
        <v xml:space="preserve">   "41",</v>
      </c>
      <c r="DM457" s="24"/>
      <c r="DN457" s="24"/>
    </row>
    <row r="458" spans="99:118" x14ac:dyDescent="0.2">
      <c r="CU458" s="57"/>
      <c r="CV458" s="57"/>
      <c r="CW458" s="57"/>
      <c r="DL458" s="36" t="str">
        <f>CONCATENATE($DM$5,$DN$5)</f>
        <v xml:space="preserve">   "",</v>
      </c>
      <c r="DM458" s="24"/>
      <c r="DN458" s="24"/>
    </row>
    <row r="459" spans="99:118" x14ac:dyDescent="0.2">
      <c r="CU459" s="57"/>
      <c r="CV459" s="57"/>
      <c r="CW459" s="57"/>
      <c r="DL459" s="36" t="str">
        <f>CONCATENATE($DM$5,$DN$5)</f>
        <v xml:space="preserve">   "",</v>
      </c>
      <c r="DM459" s="24"/>
      <c r="DN459" s="24"/>
    </row>
    <row r="460" spans="99:118" x14ac:dyDescent="0.2">
      <c r="CU460" s="57"/>
      <c r="CV460" s="57"/>
      <c r="CW460" s="57"/>
      <c r="DL460" s="36" t="str">
        <f>CONCATENATE($DM$5,$DN$5)</f>
        <v xml:space="preserve">   "",</v>
      </c>
      <c r="DM460" s="24"/>
      <c r="DN460" s="24"/>
    </row>
    <row r="461" spans="99:118" x14ac:dyDescent="0.2">
      <c r="CU461" s="57"/>
      <c r="CV461" s="57"/>
      <c r="CW461" s="57"/>
      <c r="DL461" s="27" t="str">
        <f>CONCATENATE($DM$5,$AW$17,$DN$5)</f>
        <v xml:space="preserve">   "",</v>
      </c>
      <c r="DM461" s="24"/>
      <c r="DN461" s="24"/>
    </row>
    <row r="462" spans="99:118" x14ac:dyDescent="0.2">
      <c r="CU462" s="57"/>
      <c r="CV462" s="57"/>
      <c r="CW462" s="57"/>
      <c r="DL462" s="36" t="str">
        <f>CONCATENATE($DM$5,$DN$5)</f>
        <v xml:space="preserve">   "",</v>
      </c>
      <c r="DM462" s="24"/>
      <c r="DN462" s="24"/>
    </row>
    <row r="463" spans="99:118" x14ac:dyDescent="0.2">
      <c r="CU463" s="57"/>
      <c r="CV463" s="57"/>
      <c r="CW463" s="57"/>
      <c r="DL463" s="27" t="str">
        <f>CONCATENATE($DM$5,$AW$23,$DN$5)</f>
        <v xml:space="preserve">   "",</v>
      </c>
      <c r="DM463" s="24"/>
      <c r="DN463" s="24"/>
    </row>
    <row r="464" spans="99:118" x14ac:dyDescent="0.2">
      <c r="CU464" s="57"/>
      <c r="CV464" s="57"/>
      <c r="CW464" s="57"/>
      <c r="DL464" s="27" t="str">
        <f>CONCATENATE($DM$5,$AW$28,$DN$6)</f>
        <v xml:space="preserve">   ""</v>
      </c>
      <c r="DM464" s="24"/>
      <c r="DN464" s="24"/>
    </row>
    <row r="465" spans="99:118" x14ac:dyDescent="0.2">
      <c r="CU465" s="57"/>
      <c r="CV465" s="57"/>
      <c r="CW465" s="57"/>
      <c r="DL465" s="27" t="s">
        <v>28</v>
      </c>
      <c r="DM465" s="24"/>
      <c r="DN465" s="24"/>
    </row>
    <row r="466" spans="99:118" x14ac:dyDescent="0.2">
      <c r="CU466" s="57"/>
      <c r="CV466" s="57"/>
      <c r="CW466" s="57"/>
      <c r="DL466" s="46"/>
      <c r="DM466" s="24"/>
      <c r="DN466" s="24"/>
    </row>
    <row r="467" spans="99:118" x14ac:dyDescent="0.2">
      <c r="CU467" s="57"/>
      <c r="CV467" s="57"/>
      <c r="CW467" s="57"/>
      <c r="DL467" s="27" t="s">
        <v>50</v>
      </c>
      <c r="DM467" s="24"/>
      <c r="DN467" s="24"/>
    </row>
    <row r="468" spans="99:118" x14ac:dyDescent="0.2">
      <c r="CU468" s="57"/>
      <c r="CV468" s="57"/>
      <c r="CW468" s="57"/>
      <c r="DL468" s="27" t="str">
        <f>CONCATENATE($DM$5,$AY$5,$DN$5)</f>
        <v xml:space="preserve">   "V",</v>
      </c>
      <c r="DM468" s="24"/>
      <c r="DN468" s="24"/>
    </row>
    <row r="469" spans="99:118" x14ac:dyDescent="0.2">
      <c r="CU469" s="57"/>
      <c r="CV469" s="57"/>
      <c r="CW469" s="57"/>
      <c r="DL469" s="27" t="str">
        <f>CONCATENATE($DM$5,$AY$6,$DN$5)</f>
        <v xml:space="preserve">   "H",</v>
      </c>
      <c r="DM469" s="24"/>
      <c r="DN469" s="24"/>
    </row>
    <row r="470" spans="99:118" x14ac:dyDescent="0.2">
      <c r="CU470" s="57"/>
      <c r="CV470" s="57"/>
      <c r="CW470" s="57"/>
      <c r="DL470" s="27" t="str">
        <f>CONCATENATE($DM$5,$AY$7,$DN$5)</f>
        <v xml:space="preserve">   "H",</v>
      </c>
      <c r="DM470" s="24"/>
      <c r="DN470" s="24"/>
    </row>
    <row r="471" spans="99:118" x14ac:dyDescent="0.2">
      <c r="CU471" s="57"/>
      <c r="CV471" s="57"/>
      <c r="CW471" s="57"/>
      <c r="DL471" s="27" t="str">
        <f>CONCATENATE($DM$5,$AY$8,$DN$5)</f>
        <v xml:space="preserve">   "V",</v>
      </c>
      <c r="DM471" s="24"/>
      <c r="DN471" s="24"/>
    </row>
    <row r="472" spans="99:118" x14ac:dyDescent="0.2">
      <c r="CU472" s="57"/>
      <c r="CV472" s="57"/>
      <c r="CW472" s="57"/>
      <c r="DL472" s="27" t="str">
        <f>CONCATENATE($DM$5,$AY$13,$DN$5)</f>
        <v xml:space="preserve">   "",</v>
      </c>
      <c r="DM472" s="24"/>
      <c r="DN472" s="24"/>
    </row>
    <row r="473" spans="99:118" x14ac:dyDescent="0.2">
      <c r="CU473" s="57"/>
      <c r="CV473" s="57"/>
      <c r="CW473" s="57"/>
      <c r="DL473" s="27" t="str">
        <f>CONCATENATE($DM$5,$AY$14,$DN$5)</f>
        <v xml:space="preserve">   "",</v>
      </c>
      <c r="DM473" s="24"/>
      <c r="DN473" s="24"/>
    </row>
    <row r="474" spans="99:118" x14ac:dyDescent="0.2">
      <c r="CU474" s="57"/>
      <c r="CV474" s="57"/>
      <c r="CW474" s="57"/>
      <c r="DL474" s="27" t="str">
        <f>CONCATENATE($DM$5,$AY$15,$DN$5)</f>
        <v xml:space="preserve">   "",</v>
      </c>
      <c r="DM474" s="24"/>
      <c r="DN474" s="24"/>
    </row>
    <row r="475" spans="99:118" x14ac:dyDescent="0.2">
      <c r="CU475" s="57"/>
      <c r="CV475" s="57"/>
      <c r="CW475" s="57"/>
      <c r="DL475" s="27" t="str">
        <f>CONCATENATE($DM$5,$AY$16,$DN$5)</f>
        <v xml:space="preserve">   "",</v>
      </c>
      <c r="DM475" s="24"/>
      <c r="DN475" s="24"/>
    </row>
    <row r="476" spans="99:118" x14ac:dyDescent="0.2">
      <c r="CU476" s="57"/>
      <c r="CV476" s="57"/>
      <c r="CW476" s="57"/>
      <c r="DL476" s="27" t="str">
        <f>CONCATENATE($DM$5,$AY$21,$DN$5)</f>
        <v xml:space="preserve">   "",</v>
      </c>
      <c r="DM476" s="24"/>
      <c r="DN476" s="24"/>
    </row>
    <row r="477" spans="99:118" x14ac:dyDescent="0.2">
      <c r="CU477" s="57"/>
      <c r="CV477" s="57"/>
      <c r="CW477" s="57"/>
      <c r="DL477" s="27" t="str">
        <f>CONCATENATE($DM$5,$AY$22,$DN$5)</f>
        <v xml:space="preserve">   "",</v>
      </c>
      <c r="DM477" s="24"/>
      <c r="DN477" s="24"/>
    </row>
    <row r="478" spans="99:118" x14ac:dyDescent="0.2">
      <c r="CU478" s="57"/>
      <c r="CV478" s="57"/>
      <c r="CW478" s="57"/>
      <c r="DL478" s="27" t="str">
        <f>CONCATENATE($DM$5,$AY$27,$DN$6)</f>
        <v xml:space="preserve">   ""</v>
      </c>
      <c r="DM478" s="24"/>
      <c r="DN478" s="24"/>
    </row>
    <row r="479" spans="99:118" x14ac:dyDescent="0.2">
      <c r="CU479" s="57"/>
      <c r="CV479" s="57"/>
      <c r="CW479" s="57"/>
      <c r="DL479" s="27" t="s">
        <v>28</v>
      </c>
      <c r="DM479" s="24"/>
      <c r="DN479" s="24"/>
    </row>
    <row r="480" spans="99:118" x14ac:dyDescent="0.2">
      <c r="CU480" s="57"/>
      <c r="CV480" s="57"/>
      <c r="CW480" s="57"/>
      <c r="DL480" s="27"/>
      <c r="DM480" s="24"/>
      <c r="DN480" s="24"/>
    </row>
    <row r="481" spans="99:118" x14ac:dyDescent="0.2">
      <c r="CU481" s="57"/>
      <c r="CV481" s="57"/>
      <c r="CW481" s="57"/>
      <c r="DL481" s="27" t="s">
        <v>51</v>
      </c>
      <c r="DM481" s="24"/>
      <c r="DN481" s="24"/>
    </row>
    <row r="482" spans="99:118" x14ac:dyDescent="0.2">
      <c r="CU482" s="57"/>
      <c r="CV482" s="57"/>
      <c r="CW482" s="57"/>
      <c r="DL482" s="27" t="str">
        <f>CONCATENATE($DM$5,$BA$5,$DN$5)</f>
        <v xml:space="preserve">   "3",</v>
      </c>
      <c r="DM482" s="24"/>
      <c r="DN482" s="24"/>
    </row>
    <row r="483" spans="99:118" x14ac:dyDescent="0.2">
      <c r="CU483" s="57"/>
      <c r="CV483" s="57"/>
      <c r="CW483" s="57"/>
      <c r="DL483" s="27" t="str">
        <f>CONCATENATE($DM$5,$BA$6,$DN$5)</f>
        <v xml:space="preserve">   "10",</v>
      </c>
      <c r="DM483" s="24"/>
      <c r="DN483" s="24"/>
    </row>
    <row r="484" spans="99:118" x14ac:dyDescent="0.2">
      <c r="CU484" s="57"/>
      <c r="CV484" s="57"/>
      <c r="CW484" s="57"/>
      <c r="DL484" s="27" t="str">
        <f>CONCATENATE($DM$5,$BA$7,$DN$5)</f>
        <v xml:space="preserve">   "1",</v>
      </c>
      <c r="DM484" s="24"/>
      <c r="DN484" s="24"/>
    </row>
    <row r="485" spans="99:118" x14ac:dyDescent="0.2">
      <c r="CU485" s="57"/>
      <c r="CV485" s="57"/>
      <c r="CW485" s="57"/>
      <c r="DL485" s="27" t="str">
        <f>CONCATENATE($DM$5,$BA$8,$DN$5)</f>
        <v xml:space="preserve">   "5",</v>
      </c>
      <c r="DM485" s="24"/>
      <c r="DN485" s="24"/>
    </row>
    <row r="486" spans="99:118" x14ac:dyDescent="0.2">
      <c r="CU486" s="57"/>
      <c r="CV486" s="57"/>
      <c r="CW486" s="57"/>
      <c r="DL486" s="27" t="str">
        <f>CONCATENATE($DM$5,$BA$13,$DN$5)</f>
        <v xml:space="preserve">   "",</v>
      </c>
      <c r="DM486" s="24"/>
      <c r="DN486" s="24"/>
    </row>
    <row r="487" spans="99:118" x14ac:dyDescent="0.2">
      <c r="CU487" s="57"/>
      <c r="CV487" s="57"/>
      <c r="CW487" s="57"/>
      <c r="DL487" s="27" t="str">
        <f>CONCATENATE($DM$5,$BA$14,$DN$5)</f>
        <v xml:space="preserve">   "",</v>
      </c>
      <c r="DM487" s="24"/>
      <c r="DN487" s="24"/>
    </row>
    <row r="488" spans="99:118" x14ac:dyDescent="0.2">
      <c r="CU488" s="57"/>
      <c r="CV488" s="57"/>
      <c r="CW488" s="57"/>
      <c r="DL488" s="27" t="str">
        <f>CONCATENATE($DM$5,$BA$15,$DN$5)</f>
        <v xml:space="preserve">   "",</v>
      </c>
      <c r="DM488" s="24"/>
      <c r="DN488" s="24"/>
    </row>
    <row r="489" spans="99:118" x14ac:dyDescent="0.2">
      <c r="CU489" s="57"/>
      <c r="CV489" s="57"/>
      <c r="CW489" s="57"/>
      <c r="DL489" s="27" t="str">
        <f>CONCATENATE($DM$5,$BA$16,$DN$5)</f>
        <v xml:space="preserve">   "",</v>
      </c>
      <c r="DM489" s="24"/>
      <c r="DN489" s="24"/>
    </row>
    <row r="490" spans="99:118" x14ac:dyDescent="0.2">
      <c r="CU490" s="57"/>
      <c r="CV490" s="57"/>
      <c r="CW490" s="57"/>
      <c r="DL490" s="27" t="str">
        <f>CONCATENATE($DM$5,$BA$21,$DN$5)</f>
        <v xml:space="preserve">   "",</v>
      </c>
      <c r="DM490" s="24"/>
      <c r="DN490" s="24"/>
    </row>
    <row r="491" spans="99:118" x14ac:dyDescent="0.2">
      <c r="CU491" s="57"/>
      <c r="CV491" s="57"/>
      <c r="CW491" s="57"/>
      <c r="DL491" s="27" t="str">
        <f>CONCATENATE($DM$5,$BA$22,$DN$5)</f>
        <v xml:space="preserve">   "",</v>
      </c>
      <c r="DM491" s="24"/>
      <c r="DN491" s="24"/>
    </row>
    <row r="492" spans="99:118" x14ac:dyDescent="0.2">
      <c r="CU492" s="57"/>
      <c r="CV492" s="57"/>
      <c r="CW492" s="57"/>
      <c r="DL492" s="27" t="str">
        <f>CONCATENATE($DM$5,$BA$27,$DN$6)</f>
        <v xml:space="preserve">   ""</v>
      </c>
      <c r="DM492" s="24"/>
      <c r="DN492" s="24"/>
    </row>
    <row r="493" spans="99:118" x14ac:dyDescent="0.2">
      <c r="CU493" s="57"/>
      <c r="CV493" s="57"/>
      <c r="CW493" s="57"/>
      <c r="DL493" s="27" t="s">
        <v>28</v>
      </c>
      <c r="DM493" s="24"/>
      <c r="DN493" s="24"/>
    </row>
    <row r="494" spans="99:118" x14ac:dyDescent="0.2">
      <c r="CU494" s="57"/>
      <c r="CV494" s="57"/>
      <c r="CW494" s="57"/>
      <c r="DL494" s="27"/>
      <c r="DM494" s="24"/>
      <c r="DN494" s="24"/>
    </row>
    <row r="495" spans="99:118" x14ac:dyDescent="0.2">
      <c r="CU495" s="57"/>
      <c r="CV495" s="57"/>
      <c r="CW495" s="57"/>
      <c r="DL495" s="27" t="s">
        <v>74</v>
      </c>
      <c r="DM495" s="24"/>
      <c r="DN495" s="24"/>
    </row>
    <row r="496" spans="99:118" x14ac:dyDescent="0.2">
      <c r="CU496" s="57"/>
      <c r="CV496" s="57"/>
      <c r="CW496" s="57"/>
      <c r="DL496" s="36" t="str">
        <f>CONCATENATE($DM$5,$DN$5)</f>
        <v xml:space="preserve">   "",</v>
      </c>
      <c r="DM496" s="24"/>
      <c r="DN496" s="24"/>
    </row>
    <row r="497" spans="99:118" x14ac:dyDescent="0.2">
      <c r="CU497" s="57"/>
      <c r="CV497" s="57"/>
      <c r="CW497" s="57"/>
      <c r="DL497" s="36" t="str">
        <f>CONCATENATE($DM$5,$DN$5)</f>
        <v xml:space="preserve">   "",</v>
      </c>
      <c r="DM497" s="24"/>
      <c r="DN497" s="24"/>
    </row>
    <row r="498" spans="99:118" x14ac:dyDescent="0.2">
      <c r="CU498" s="57"/>
      <c r="CV498" s="57"/>
      <c r="CW498" s="57"/>
      <c r="DL498" s="36" t="str">
        <f>CONCATENATE($DM$5,$DN$5)</f>
        <v xml:space="preserve">   "",</v>
      </c>
      <c r="DM498" s="24"/>
      <c r="DN498" s="24"/>
    </row>
    <row r="499" spans="99:118" x14ac:dyDescent="0.2">
      <c r="CU499" s="57"/>
      <c r="CV499" s="57"/>
      <c r="CW499" s="57"/>
      <c r="DL499" s="27" t="str">
        <f>CONCATENATE($DM$5,$BA$9,$DN$5)</f>
        <v xml:space="preserve">   "28",</v>
      </c>
      <c r="DM499" s="24"/>
      <c r="DN499" s="24"/>
    </row>
    <row r="500" spans="99:118" x14ac:dyDescent="0.2">
      <c r="CU500" s="57"/>
      <c r="CV500" s="57"/>
      <c r="CW500" s="57"/>
      <c r="DL500" s="36" t="str">
        <f>CONCATENATE($DM$5,$DN$5)</f>
        <v xml:space="preserve">   "",</v>
      </c>
      <c r="DM500" s="24"/>
      <c r="DN500" s="24"/>
    </row>
    <row r="501" spans="99:118" x14ac:dyDescent="0.2">
      <c r="CU501" s="57"/>
      <c r="CV501" s="57"/>
      <c r="CW501" s="57"/>
      <c r="DL501" s="36" t="str">
        <f>CONCATENATE($DM$5,$DN$5)</f>
        <v xml:space="preserve">   "",</v>
      </c>
      <c r="DM501" s="24"/>
      <c r="DN501" s="24"/>
    </row>
    <row r="502" spans="99:118" x14ac:dyDescent="0.2">
      <c r="CU502" s="57"/>
      <c r="CV502" s="57"/>
      <c r="CW502" s="57"/>
      <c r="DL502" s="36" t="str">
        <f>CONCATENATE($DM$5,$DN$5)</f>
        <v xml:space="preserve">   "",</v>
      </c>
      <c r="DM502" s="24"/>
      <c r="DN502" s="24"/>
    </row>
    <row r="503" spans="99:118" x14ac:dyDescent="0.2">
      <c r="DL503" s="27" t="str">
        <f>CONCATENATE($DM$5,$BA$17,$DN$5)</f>
        <v xml:space="preserve">   "",</v>
      </c>
      <c r="DM503" s="24"/>
      <c r="DN503" s="24"/>
    </row>
    <row r="504" spans="99:118" x14ac:dyDescent="0.2">
      <c r="DL504" s="36" t="str">
        <f>CONCATENATE($DM$5,$DN$5)</f>
        <v xml:space="preserve">   "",</v>
      </c>
      <c r="DM504" s="24"/>
      <c r="DN504" s="24"/>
    </row>
    <row r="505" spans="99:118" x14ac:dyDescent="0.2">
      <c r="DL505" s="27" t="str">
        <f>CONCATENATE($DM$5,$BA$23,$DN$5)</f>
        <v xml:space="preserve">   "",</v>
      </c>
      <c r="DM505" s="24"/>
      <c r="DN505" s="24"/>
    </row>
    <row r="506" spans="99:118" x14ac:dyDescent="0.2">
      <c r="DL506" s="27" t="str">
        <f>CONCATENATE($DM$5,$BA$28,$DN$6)</f>
        <v xml:space="preserve">   ""</v>
      </c>
      <c r="DM506" s="24"/>
      <c r="DN506" s="24"/>
    </row>
    <row r="507" spans="99:118" x14ac:dyDescent="0.2">
      <c r="DL507" s="27" t="s">
        <v>28</v>
      </c>
      <c r="DM507" s="24"/>
      <c r="DN507" s="24"/>
    </row>
    <row r="508" spans="99:118" x14ac:dyDescent="0.2">
      <c r="DL508" s="46"/>
      <c r="DM508" s="24"/>
      <c r="DN508" s="24"/>
    </row>
    <row r="509" spans="99:118" x14ac:dyDescent="0.2">
      <c r="DL509" s="27" t="s">
        <v>52</v>
      </c>
      <c r="DM509" s="24"/>
      <c r="DN509" s="24"/>
    </row>
    <row r="510" spans="99:118" x14ac:dyDescent="0.2">
      <c r="DL510" s="27" t="str">
        <f>CONCATENATE($DM$5,$C$5,$DN$5)</f>
        <v xml:space="preserve">   "Bills",</v>
      </c>
      <c r="DM510" s="24"/>
      <c r="DN510" s="24"/>
    </row>
    <row r="511" spans="99:118" x14ac:dyDescent="0.2">
      <c r="DL511" s="27" t="str">
        <f>CONCATENATE($DM$5,$C$6,$DN$5)</f>
        <v xml:space="preserve">   "Titans",</v>
      </c>
      <c r="DM511" s="24"/>
      <c r="DN511" s="24"/>
    </row>
    <row r="512" spans="99:118" x14ac:dyDescent="0.2">
      <c r="DL512" s="27" t="str">
        <f>CONCATENATE($DM$5,$C$7,$DN$5)</f>
        <v xml:space="preserve">   "Vikings",</v>
      </c>
      <c r="DM512" s="24"/>
      <c r="DN512" s="24"/>
    </row>
    <row r="513" spans="116:118" x14ac:dyDescent="0.2">
      <c r="DL513" s="27" t="str">
        <f>CONCATENATE($DM$5,$C$8,$DN$5)</f>
        <v xml:space="preserve">   "Seahawks",</v>
      </c>
      <c r="DM513" s="24"/>
      <c r="DN513" s="24"/>
    </row>
    <row r="514" spans="116:118" x14ac:dyDescent="0.2">
      <c r="DL514" s="27" t="str">
        <f>CONCATENATE($DM$5,$C$13,$DN$5)</f>
        <v xml:space="preserve">   "",</v>
      </c>
      <c r="DM514" s="24"/>
      <c r="DN514" s="24"/>
    </row>
    <row r="515" spans="116:118" x14ac:dyDescent="0.2">
      <c r="DL515" s="27" t="str">
        <f>CONCATENATE($DM$5,$C$14,$DN$5)</f>
        <v xml:space="preserve">   "",</v>
      </c>
      <c r="DM515" s="24"/>
      <c r="DN515" s="24"/>
    </row>
    <row r="516" spans="116:118" x14ac:dyDescent="0.2">
      <c r="DL516" s="27" t="str">
        <f>CONCATENATE($DM$5,$C$15,$DN$5)</f>
        <v xml:space="preserve">   "",</v>
      </c>
      <c r="DM516" s="24"/>
      <c r="DN516" s="24"/>
    </row>
    <row r="517" spans="116:118" x14ac:dyDescent="0.2">
      <c r="DL517" s="27" t="str">
        <f>CONCATENATE($DM$5,$C$16,$DN$5)</f>
        <v xml:space="preserve">   "",</v>
      </c>
      <c r="DM517" s="24"/>
      <c r="DN517" s="24"/>
    </row>
    <row r="518" spans="116:118" x14ac:dyDescent="0.2">
      <c r="DL518" s="27" t="str">
        <f>CONCATENATE($DM$5,$C$21,$DN$5)</f>
        <v xml:space="preserve">   "",</v>
      </c>
      <c r="DM518" s="24"/>
      <c r="DN518" s="24"/>
    </row>
    <row r="519" spans="116:118" x14ac:dyDescent="0.2">
      <c r="DL519" s="27" t="str">
        <f>CONCATENATE($DM$5,$C$22,$DN$5)</f>
        <v xml:space="preserve">   "",</v>
      </c>
      <c r="DM519" s="24"/>
      <c r="DN519" s="24"/>
    </row>
    <row r="520" spans="116:118" x14ac:dyDescent="0.2">
      <c r="DL520" s="27" t="str">
        <f>CONCATENATE($DM$5,$C$27,$DN$6)</f>
        <v xml:space="preserve">   ""</v>
      </c>
      <c r="DM520" s="24"/>
      <c r="DN520" s="24"/>
    </row>
    <row r="521" spans="116:118" x14ac:dyDescent="0.2">
      <c r="DL521" s="27" t="s">
        <v>28</v>
      </c>
      <c r="DM521" s="24"/>
      <c r="DN521" s="24"/>
    </row>
    <row r="522" spans="116:118" x14ac:dyDescent="0.2">
      <c r="DL522" s="27"/>
      <c r="DM522" s="24"/>
    </row>
    <row r="523" spans="116:118" x14ac:dyDescent="0.2">
      <c r="DL523" s="27" t="s">
        <v>53</v>
      </c>
      <c r="DM523" s="59"/>
    </row>
    <row r="524" spans="116:118" x14ac:dyDescent="0.2">
      <c r="DL524" s="27" t="str">
        <f>CONCATENATE($DM$5,$E$5,$DN$5)</f>
        <v xml:space="preserve">   "Texans",</v>
      </c>
      <c r="DM524" s="59"/>
    </row>
    <row r="525" spans="116:118" x14ac:dyDescent="0.2">
      <c r="DL525" s="27" t="str">
        <f>CONCATENATE($DM$5,$E$6,$DN$5)</f>
        <v xml:space="preserve">   "Patriots",</v>
      </c>
      <c r="DM525" s="59"/>
    </row>
    <row r="526" spans="116:118" x14ac:dyDescent="0.2">
      <c r="DL526" s="27" t="str">
        <f>CONCATENATE($DM$5,$E$7,$DN$5)</f>
        <v xml:space="preserve">   "Saints",</v>
      </c>
      <c r="DM526" s="59"/>
    </row>
    <row r="527" spans="116:118" x14ac:dyDescent="0.2">
      <c r="DL527" s="27" t="str">
        <f>CONCATENATE($DM$5,$E$8,$DN$5)</f>
        <v xml:space="preserve">   "Eagles",</v>
      </c>
      <c r="DM527" s="59"/>
    </row>
    <row r="528" spans="116:118" x14ac:dyDescent="0.2">
      <c r="DL528" s="27" t="str">
        <f>CONCATENATE($DM$5,$E$13,$DN$5)</f>
        <v xml:space="preserve">   "",</v>
      </c>
      <c r="DM528" s="59"/>
    </row>
    <row r="529" spans="116:118" x14ac:dyDescent="0.2">
      <c r="DL529" s="27" t="str">
        <f>CONCATENATE($DM$5,$E$14,$DN$5)</f>
        <v xml:space="preserve">   "",</v>
      </c>
      <c r="DM529" s="59"/>
    </row>
    <row r="530" spans="116:118" x14ac:dyDescent="0.2">
      <c r="DL530" s="27" t="str">
        <f>CONCATENATE($DM$5,$E$15,$DN$5)</f>
        <v xml:space="preserve">   "",</v>
      </c>
      <c r="DM530" s="59"/>
    </row>
    <row r="531" spans="116:118" x14ac:dyDescent="0.2">
      <c r="DL531" s="27" t="str">
        <f>CONCATENATE($DM$5,$E$16,$DN$5)</f>
        <v xml:space="preserve">   "",</v>
      </c>
      <c r="DM531" s="59"/>
    </row>
    <row r="532" spans="116:118" x14ac:dyDescent="0.2">
      <c r="DL532" s="27" t="str">
        <f>CONCATENATE($DM$5,$E$21,$DN$5)</f>
        <v xml:space="preserve">   "",</v>
      </c>
      <c r="DM532" s="59"/>
    </row>
    <row r="533" spans="116:118" x14ac:dyDescent="0.2">
      <c r="DL533" s="27" t="str">
        <f>CONCATENATE($DM$5,$E$22,$DN$5)</f>
        <v xml:space="preserve">   "",</v>
      </c>
      <c r="DM533" s="59"/>
    </row>
    <row r="534" spans="116:118" x14ac:dyDescent="0.2">
      <c r="DL534" s="27" t="str">
        <f>CONCATENATE($DM$5,$E$27,$DN$6)</f>
        <v xml:space="preserve">   ""</v>
      </c>
      <c r="DM534" s="59"/>
    </row>
    <row r="535" spans="116:118" x14ac:dyDescent="0.2">
      <c r="DL535" s="27" t="s">
        <v>28</v>
      </c>
      <c r="DM535" s="59"/>
    </row>
    <row r="536" spans="116:118" x14ac:dyDescent="0.2">
      <c r="DL536" s="27"/>
      <c r="DM536" s="59"/>
    </row>
    <row r="537" spans="116:118" x14ac:dyDescent="0.2">
      <c r="DL537" s="27" t="s">
        <v>55</v>
      </c>
      <c r="DM537" s="59"/>
    </row>
    <row r="538" spans="116:118" x14ac:dyDescent="0.2">
      <c r="DL538" s="27" t="str">
        <f>CONCATENATE($DM$5,$B$5,$DN$5)</f>
        <v xml:space="preserve">   "19",</v>
      </c>
      <c r="DM538" s="59"/>
    </row>
    <row r="539" spans="116:118" x14ac:dyDescent="0.2">
      <c r="DL539" s="27" t="str">
        <f>CONCATENATE($DM$5,$B$6,$DN$5)</f>
        <v xml:space="preserve">   "20",</v>
      </c>
      <c r="DM539" s="59"/>
    </row>
    <row r="540" spans="116:118" x14ac:dyDescent="0.2">
      <c r="DL540" s="27" t="str">
        <f>CONCATENATE($DM$5,$B$7,$DN$5)</f>
        <v xml:space="preserve">   "26",</v>
      </c>
      <c r="DM540" s="59"/>
    </row>
    <row r="541" spans="116:118" x14ac:dyDescent="0.2">
      <c r="DL541" s="27" t="str">
        <f>CONCATENATE($DM$5,$B$8,$DN$5)</f>
        <v xml:space="preserve">   "17",</v>
      </c>
      <c r="DM541" s="59"/>
    </row>
    <row r="542" spans="116:118" x14ac:dyDescent="0.2">
      <c r="DL542" s="27" t="str">
        <f>CONCATENATE($DM$5,$B$13,$DN$5)</f>
        <v xml:space="preserve">   "",</v>
      </c>
      <c r="DM542" s="59"/>
    </row>
    <row r="543" spans="116:118" x14ac:dyDescent="0.2">
      <c r="DL543" s="27" t="str">
        <f>CONCATENATE($DM$5,$B$14,$DN$5)</f>
        <v xml:space="preserve">   "",</v>
      </c>
      <c r="DM543" s="59"/>
    </row>
    <row r="544" spans="116:118" x14ac:dyDescent="0.2">
      <c r="DL544" s="27" t="str">
        <f>CONCATENATE($DM$5,$B$15,$DN$5)</f>
        <v xml:space="preserve">   "",</v>
      </c>
      <c r="DM544" s="24"/>
      <c r="DN544" s="24"/>
    </row>
    <row r="545" spans="116:118" x14ac:dyDescent="0.2">
      <c r="DL545" s="27" t="str">
        <f>CONCATENATE($DM$5,$B$16,$DN$5)</f>
        <v xml:space="preserve">   "",</v>
      </c>
      <c r="DM545" s="24"/>
      <c r="DN545" s="24"/>
    </row>
    <row r="546" spans="116:118" x14ac:dyDescent="0.2">
      <c r="DL546" s="27" t="str">
        <f>CONCATENATE($DM$5,$B$21,$DN$5)</f>
        <v xml:space="preserve">   "",</v>
      </c>
      <c r="DM546" s="24"/>
      <c r="DN546" s="24"/>
    </row>
    <row r="547" spans="116:118" x14ac:dyDescent="0.2">
      <c r="DL547" s="27" t="str">
        <f>CONCATENATE($DM$5,$B$22,$DN$5)</f>
        <v xml:space="preserve">   "",</v>
      </c>
      <c r="DM547" s="24"/>
      <c r="DN547" s="24"/>
    </row>
    <row r="548" spans="116:118" x14ac:dyDescent="0.2">
      <c r="DL548" s="27" t="str">
        <f>CONCATENATE($DM$5,$B$27,$DN$6)</f>
        <v xml:space="preserve">   ""</v>
      </c>
      <c r="DM548" s="24"/>
      <c r="DN548" s="24"/>
    </row>
    <row r="549" spans="116:118" x14ac:dyDescent="0.2">
      <c r="DL549" s="27" t="s">
        <v>28</v>
      </c>
      <c r="DM549" s="24"/>
      <c r="DN549" s="24"/>
    </row>
    <row r="550" spans="116:118" x14ac:dyDescent="0.2">
      <c r="DL550" s="27"/>
      <c r="DM550" s="24"/>
      <c r="DN550" s="24"/>
    </row>
    <row r="551" spans="116:118" x14ac:dyDescent="0.2">
      <c r="DL551" s="27" t="s">
        <v>54</v>
      </c>
      <c r="DM551" s="24"/>
      <c r="DN551" s="24"/>
    </row>
    <row r="552" spans="116:118" x14ac:dyDescent="0.2">
      <c r="DL552" s="27" t="str">
        <f>CONCATENATE($DM$5,$F$5,$DN$5)</f>
        <v xml:space="preserve">   "22",</v>
      </c>
      <c r="DM552" s="24"/>
      <c r="DN552" s="24"/>
    </row>
    <row r="553" spans="116:118" x14ac:dyDescent="0.2">
      <c r="DL553" s="27" t="str">
        <f>CONCATENATE($DM$5,$F$6,$DN$5)</f>
        <v xml:space="preserve">   "13",</v>
      </c>
      <c r="DM553" s="24"/>
      <c r="DN553" s="24"/>
    </row>
    <row r="554" spans="116:118" x14ac:dyDescent="0.2">
      <c r="DL554" s="27" t="str">
        <f>CONCATENATE($DM$5,$F$7,$DN$5)</f>
        <v xml:space="preserve">   "20",</v>
      </c>
      <c r="DM554" s="24"/>
      <c r="DN554" s="24"/>
    </row>
    <row r="555" spans="116:118" x14ac:dyDescent="0.2">
      <c r="DL555" s="27" t="str">
        <f>CONCATENATE($DM$5,$F$8,$DN$5)</f>
        <v xml:space="preserve">   "9",</v>
      </c>
      <c r="DM555" s="24"/>
      <c r="DN555" s="24"/>
    </row>
    <row r="556" spans="116:118" x14ac:dyDescent="0.2">
      <c r="DL556" s="27" t="str">
        <f>CONCATENATE($DM$5,$F$13,$DN$5)</f>
        <v xml:space="preserve">   "",</v>
      </c>
      <c r="DM556" s="24"/>
      <c r="DN556" s="24"/>
    </row>
    <row r="557" spans="116:118" x14ac:dyDescent="0.2">
      <c r="DL557" s="27" t="str">
        <f>CONCATENATE($DM$5,$F$14,$DN$5)</f>
        <v xml:space="preserve">   "",</v>
      </c>
      <c r="DM557" s="24"/>
      <c r="DN557" s="24"/>
    </row>
    <row r="558" spans="116:118" x14ac:dyDescent="0.2">
      <c r="DL558" s="27" t="str">
        <f>CONCATENATE($DM$5,$F$15,$DN$5)</f>
        <v xml:space="preserve">   "",</v>
      </c>
      <c r="DM558" s="24"/>
      <c r="DN558" s="24"/>
    </row>
    <row r="559" spans="116:118" x14ac:dyDescent="0.2">
      <c r="DL559" s="27" t="str">
        <f>CONCATENATE($DM$5,$F$16,$DN$5)</f>
        <v xml:space="preserve">   "",</v>
      </c>
      <c r="DM559" s="24"/>
      <c r="DN559" s="24"/>
    </row>
    <row r="560" spans="116:118" x14ac:dyDescent="0.2">
      <c r="DL560" s="27" t="str">
        <f>CONCATENATE($DM$5,$F$21,$DN$5)</f>
        <v xml:space="preserve">   "",</v>
      </c>
      <c r="DM560" s="24"/>
      <c r="DN560" s="24"/>
    </row>
    <row r="561" spans="116:118" x14ac:dyDescent="0.2">
      <c r="DL561" s="27" t="str">
        <f>CONCATENATE($DM$5,$F$22,$DN$5)</f>
        <v xml:space="preserve">   "",</v>
      </c>
      <c r="DM561" s="24"/>
      <c r="DN561" s="24"/>
    </row>
    <row r="562" spans="116:118" x14ac:dyDescent="0.2">
      <c r="DL562" s="27" t="str">
        <f>CONCATENATE($DM$5,$F$27,$DN$6)</f>
        <v xml:space="preserve">   ""</v>
      </c>
      <c r="DM562" s="24"/>
      <c r="DN562" s="24"/>
    </row>
    <row r="563" spans="116:118" x14ac:dyDescent="0.2">
      <c r="DL563" s="27" t="s">
        <v>28</v>
      </c>
      <c r="DM563" s="24"/>
      <c r="DN563" s="24"/>
    </row>
    <row r="564" spans="116:118" x14ac:dyDescent="0.2">
      <c r="DL564" s="60"/>
      <c r="DM564" s="24"/>
      <c r="DN564" s="24"/>
    </row>
    <row r="565" spans="116:118" x14ac:dyDescent="0.2">
      <c r="DL565" s="60" t="str">
        <f>CONCATENATE("   var wrong_pick_penalty = ",$BO$5,";")</f>
        <v xml:space="preserve">   var wrong_pick_penalty = 7;</v>
      </c>
      <c r="DM565" s="24"/>
      <c r="DN565" s="24"/>
    </row>
    <row r="566" spans="116:118" x14ac:dyDescent="0.2">
      <c r="DL566" s="60" t="str">
        <f>CONCATENATE("   var week_1_score_multiplier = ",$BO$10,";")</f>
        <v xml:space="preserve">   var week_1_score_multiplier = 1;</v>
      </c>
      <c r="DM566" s="24"/>
      <c r="DN566" s="24"/>
    </row>
    <row r="567" spans="116:118" x14ac:dyDescent="0.2">
      <c r="DL567" s="60" t="str">
        <f>CONCATENATE("   var week_2_score_multiplier = ",$BO$18,";")</f>
        <v xml:space="preserve">   var week_2_score_multiplier = 1;</v>
      </c>
      <c r="DM567" s="24"/>
      <c r="DN567" s="24"/>
    </row>
    <row r="568" spans="116:118" x14ac:dyDescent="0.2">
      <c r="DL568" s="60" t="str">
        <f>CONCATENATE("   var week_3_score_multiplier = ",$BO$24,";")</f>
        <v xml:space="preserve">   var week_3_score_multiplier = 2;</v>
      </c>
      <c r="DM568" s="24"/>
      <c r="DN568" s="24"/>
    </row>
    <row r="569" spans="116:118" x14ac:dyDescent="0.2">
      <c r="DL569" s="60" t="str">
        <f>CONCATENATE("   var week_4_score_multiplier = ",$BO$29,";")</f>
        <v xml:space="preserve">   var week_4_score_multiplier = 4;</v>
      </c>
      <c r="DM569" s="24"/>
      <c r="DN569" s="24"/>
    </row>
    <row r="570" spans="116:118" x14ac:dyDescent="0.2">
      <c r="DL570" s="202"/>
      <c r="DM570" s="24"/>
      <c r="DN570" s="24"/>
    </row>
    <row r="571" spans="116:118" x14ac:dyDescent="0.2">
      <c r="DL571" s="58"/>
      <c r="DM571" s="24"/>
      <c r="DN571" s="24"/>
    </row>
    <row r="572" spans="116:118" x14ac:dyDescent="0.2">
      <c r="DL572" s="58"/>
      <c r="DM572" s="24"/>
      <c r="DN572" s="24"/>
    </row>
    <row r="573" spans="116:118" x14ac:dyDescent="0.2">
      <c r="DL573" s="58"/>
      <c r="DM573" s="24"/>
      <c r="DN573" s="24"/>
    </row>
    <row r="574" spans="116:118" x14ac:dyDescent="0.2">
      <c r="DL574" s="58"/>
      <c r="DM574" s="24"/>
      <c r="DN574" s="24"/>
    </row>
    <row r="575" spans="116:118" x14ac:dyDescent="0.2">
      <c r="DM575" s="24"/>
      <c r="DN575" s="24"/>
    </row>
    <row r="576" spans="116:118" x14ac:dyDescent="0.2">
      <c r="DM576" s="24"/>
      <c r="DN576" s="24"/>
    </row>
    <row r="577" spans="116:118" x14ac:dyDescent="0.2">
      <c r="DL577" s="58"/>
      <c r="DM577" s="24"/>
      <c r="DN577" s="24"/>
    </row>
    <row r="578" spans="116:118" x14ac:dyDescent="0.2">
      <c r="DL578" s="58"/>
      <c r="DM578" s="24"/>
      <c r="DN578" s="24"/>
    </row>
    <row r="579" spans="116:118" x14ac:dyDescent="0.2">
      <c r="DL579" s="58"/>
      <c r="DM579" s="24"/>
      <c r="DN579" s="24"/>
    </row>
    <row r="580" spans="116:118" x14ac:dyDescent="0.2">
      <c r="DL580" s="58"/>
      <c r="DM580" s="24"/>
      <c r="DN580" s="24"/>
    </row>
    <row r="581" spans="116:118" x14ac:dyDescent="0.2">
      <c r="DL581" s="58"/>
      <c r="DM581" s="24"/>
      <c r="DN581" s="24"/>
    </row>
    <row r="582" spans="116:118" x14ac:dyDescent="0.2">
      <c r="DL582" s="58"/>
      <c r="DM582" s="24"/>
      <c r="DN582" s="24"/>
    </row>
    <row r="583" spans="116:118" x14ac:dyDescent="0.2">
      <c r="DL583" s="58"/>
      <c r="DM583" s="24"/>
      <c r="DN583" s="24"/>
    </row>
    <row r="584" spans="116:118" x14ac:dyDescent="0.2">
      <c r="DL584" s="58"/>
      <c r="DM584" s="24"/>
      <c r="DN584" s="24"/>
    </row>
    <row r="585" spans="116:118" x14ac:dyDescent="0.2">
      <c r="DL585" s="58"/>
      <c r="DM585" s="24"/>
      <c r="DN585" s="24"/>
    </row>
    <row r="586" spans="116:118" x14ac:dyDescent="0.2">
      <c r="DL586" s="58"/>
      <c r="DM586" s="24"/>
      <c r="DN586" s="24"/>
    </row>
    <row r="587" spans="116:118" x14ac:dyDescent="0.2">
      <c r="DL587" s="58"/>
      <c r="DM587" s="24"/>
      <c r="DN587" s="24"/>
    </row>
    <row r="588" spans="116:118" x14ac:dyDescent="0.2">
      <c r="DL588" s="58"/>
      <c r="DM588" s="24"/>
      <c r="DN588" s="24"/>
    </row>
    <row r="589" spans="116:118" x14ac:dyDescent="0.2">
      <c r="DL589" s="58"/>
      <c r="DM589" s="24"/>
      <c r="DN589" s="24"/>
    </row>
    <row r="590" spans="116:118" x14ac:dyDescent="0.2">
      <c r="DL590" s="58"/>
      <c r="DM590" s="24"/>
      <c r="DN590" s="24"/>
    </row>
    <row r="591" spans="116:118" x14ac:dyDescent="0.2">
      <c r="DL591" s="24"/>
      <c r="DM591" s="24"/>
      <c r="DN591" s="24"/>
    </row>
    <row r="592" spans="116:118" x14ac:dyDescent="0.2">
      <c r="DL592" s="24"/>
      <c r="DM592" s="24"/>
      <c r="DN592" s="24"/>
    </row>
    <row r="593" spans="116:118" x14ac:dyDescent="0.2">
      <c r="DL593" s="24"/>
      <c r="DM593" s="24"/>
      <c r="DN593" s="24"/>
    </row>
    <row r="594" spans="116:118" x14ac:dyDescent="0.2">
      <c r="DL594" s="24"/>
      <c r="DM594" s="24"/>
      <c r="DN594" s="24"/>
    </row>
    <row r="595" spans="116:118" x14ac:dyDescent="0.2">
      <c r="DL595" s="24"/>
      <c r="DM595" s="24"/>
      <c r="DN595" s="24"/>
    </row>
    <row r="596" spans="116:118" x14ac:dyDescent="0.2">
      <c r="DL596" s="24"/>
      <c r="DM596" s="24"/>
      <c r="DN596" s="24"/>
    </row>
    <row r="597" spans="116:118" x14ac:dyDescent="0.2">
      <c r="DL597" s="24"/>
      <c r="DM597" s="24"/>
      <c r="DN597" s="24"/>
    </row>
    <row r="598" spans="116:118" x14ac:dyDescent="0.2">
      <c r="DL598" s="24"/>
      <c r="DM598" s="24"/>
      <c r="DN598" s="24"/>
    </row>
    <row r="599" spans="116:118" x14ac:dyDescent="0.2">
      <c r="DL599" s="24"/>
      <c r="DM599" s="24"/>
      <c r="DN599" s="24"/>
    </row>
    <row r="600" spans="116:118" x14ac:dyDescent="0.2">
      <c r="DL600" s="24"/>
      <c r="DM600" s="24"/>
      <c r="DN600" s="24"/>
    </row>
    <row r="601" spans="116:118" x14ac:dyDescent="0.2">
      <c r="DL601" s="24"/>
      <c r="DM601" s="24"/>
      <c r="DN601" s="24"/>
    </row>
    <row r="602" spans="116:118" x14ac:dyDescent="0.2">
      <c r="DL602" s="24"/>
      <c r="DM602" s="24"/>
      <c r="DN602" s="24"/>
    </row>
    <row r="603" spans="116:118" x14ac:dyDescent="0.2">
      <c r="DL603" s="24"/>
      <c r="DM603" s="24"/>
      <c r="DN603" s="24"/>
    </row>
    <row r="604" spans="116:118" x14ac:dyDescent="0.2">
      <c r="DL604" s="24"/>
      <c r="DM604" s="24"/>
      <c r="DN604" s="24"/>
    </row>
    <row r="605" spans="116:118" x14ac:dyDescent="0.2">
      <c r="DL605" s="24"/>
      <c r="DM605" s="24"/>
      <c r="DN605" s="24"/>
    </row>
    <row r="606" spans="116:118" x14ac:dyDescent="0.2">
      <c r="DL606" s="24"/>
      <c r="DM606" s="24"/>
      <c r="DN606" s="24"/>
    </row>
    <row r="607" spans="116:118" x14ac:dyDescent="0.2">
      <c r="DL607" s="24"/>
      <c r="DM607" s="24"/>
      <c r="DN607" s="24"/>
    </row>
    <row r="608" spans="116:118" x14ac:dyDescent="0.2">
      <c r="DL608" s="24"/>
      <c r="DM608" s="24"/>
      <c r="DN608" s="24"/>
    </row>
    <row r="609" spans="116:118" x14ac:dyDescent="0.2">
      <c r="DL609" s="24"/>
      <c r="DM609" s="24"/>
      <c r="DN609" s="24"/>
    </row>
    <row r="610" spans="116:118" x14ac:dyDescent="0.2">
      <c r="DL610" s="24"/>
      <c r="DM610" s="24"/>
      <c r="DN610" s="24"/>
    </row>
    <row r="611" spans="116:118" x14ac:dyDescent="0.2">
      <c r="DL611" s="24"/>
      <c r="DM611" s="28"/>
      <c r="DN611" s="24"/>
    </row>
    <row r="612" spans="116:118" x14ac:dyDescent="0.2">
      <c r="DL612" s="24"/>
      <c r="DM612" s="28"/>
      <c r="DN612" s="24"/>
    </row>
    <row r="613" spans="116:118" x14ac:dyDescent="0.2">
      <c r="DL613" s="24"/>
      <c r="DM613" s="28"/>
      <c r="DN613" s="24"/>
    </row>
    <row r="614" spans="116:118" x14ac:dyDescent="0.2">
      <c r="DL614" s="24"/>
      <c r="DM614" s="28"/>
      <c r="DN614" s="24"/>
    </row>
    <row r="615" spans="116:118" x14ac:dyDescent="0.2">
      <c r="DL615" s="24"/>
      <c r="DM615" s="28"/>
      <c r="DN615" s="24"/>
    </row>
    <row r="616" spans="116:118" x14ac:dyDescent="0.2">
      <c r="DL616" s="24"/>
      <c r="DM616" s="28"/>
      <c r="DN616" s="24"/>
    </row>
    <row r="617" spans="116:118" x14ac:dyDescent="0.2">
      <c r="DL617" s="24"/>
      <c r="DM617" s="28"/>
      <c r="DN617" s="24"/>
    </row>
    <row r="618" spans="116:118" x14ac:dyDescent="0.2">
      <c r="DL618" s="24"/>
      <c r="DM618" s="28"/>
      <c r="DN618" s="24"/>
    </row>
    <row r="619" spans="116:118" x14ac:dyDescent="0.2">
      <c r="DL619" s="24"/>
      <c r="DM619" s="28"/>
      <c r="DN619" s="24"/>
    </row>
    <row r="620" spans="116:118" x14ac:dyDescent="0.2">
      <c r="DL620" s="24"/>
      <c r="DM620" s="28"/>
      <c r="DN620" s="24"/>
    </row>
    <row r="621" spans="116:118" x14ac:dyDescent="0.2">
      <c r="DL621" s="24"/>
      <c r="DM621" s="28"/>
      <c r="DN621" s="24"/>
    </row>
    <row r="622" spans="116:118" x14ac:dyDescent="0.2">
      <c r="DL622" s="24"/>
      <c r="DM622" s="28"/>
      <c r="DN622" s="24"/>
    </row>
    <row r="623" spans="116:118" x14ac:dyDescent="0.2">
      <c r="DL623" s="24"/>
      <c r="DM623" s="28"/>
      <c r="DN623" s="24"/>
    </row>
    <row r="624" spans="116:118" x14ac:dyDescent="0.2">
      <c r="DL624" s="24"/>
      <c r="DM624" s="28"/>
      <c r="DN624" s="24"/>
    </row>
    <row r="625" spans="116:118" x14ac:dyDescent="0.2">
      <c r="DL625" s="24"/>
      <c r="DM625" s="28"/>
      <c r="DN625" s="24"/>
    </row>
    <row r="626" spans="116:118" x14ac:dyDescent="0.2">
      <c r="DL626" s="24"/>
      <c r="DM626" s="28"/>
      <c r="DN626" s="24"/>
    </row>
    <row r="627" spans="116:118" x14ac:dyDescent="0.2">
      <c r="DL627" s="24"/>
      <c r="DM627" s="28"/>
      <c r="DN627" s="24"/>
    </row>
    <row r="628" spans="116:118" x14ac:dyDescent="0.2">
      <c r="DL628" s="24"/>
      <c r="DM628" s="28"/>
      <c r="DN628" s="24"/>
    </row>
    <row r="629" spans="116:118" x14ac:dyDescent="0.2">
      <c r="DL629" s="24"/>
      <c r="DM629" s="28"/>
      <c r="DN629" s="24"/>
    </row>
    <row r="630" spans="116:118" x14ac:dyDescent="0.2">
      <c r="DL630" s="24"/>
      <c r="DM630" s="28"/>
      <c r="DN630" s="24"/>
    </row>
    <row r="631" spans="116:118" x14ac:dyDescent="0.2">
      <c r="DL631" s="24"/>
      <c r="DM631" s="28"/>
      <c r="DN631" s="24"/>
    </row>
    <row r="632" spans="116:118" x14ac:dyDescent="0.2">
      <c r="DL632" s="24"/>
      <c r="DM632" s="28"/>
      <c r="DN632" s="24"/>
    </row>
    <row r="633" spans="116:118" x14ac:dyDescent="0.2">
      <c r="DL633" s="24"/>
      <c r="DM633" s="28"/>
      <c r="DN633" s="24"/>
    </row>
    <row r="634" spans="116:118" x14ac:dyDescent="0.2">
      <c r="DL634" s="24"/>
      <c r="DM634" s="28"/>
      <c r="DN634" s="24"/>
    </row>
    <row r="635" spans="116:118" x14ac:dyDescent="0.2">
      <c r="DL635" s="24"/>
      <c r="DM635" s="28"/>
      <c r="DN635" s="24"/>
    </row>
    <row r="636" spans="116:118" x14ac:dyDescent="0.2">
      <c r="DL636" s="24"/>
      <c r="DM636" s="28"/>
      <c r="DN636" s="24"/>
    </row>
    <row r="637" spans="116:118" x14ac:dyDescent="0.2">
      <c r="DL637" s="24"/>
      <c r="DM637" s="28"/>
      <c r="DN637" s="24"/>
    </row>
    <row r="638" spans="116:118" x14ac:dyDescent="0.2">
      <c r="DL638" s="24"/>
      <c r="DM638" s="28"/>
      <c r="DN638" s="24"/>
    </row>
    <row r="639" spans="116:118" x14ac:dyDescent="0.2">
      <c r="DL639" s="24"/>
      <c r="DM639" s="28"/>
      <c r="DN639" s="24"/>
    </row>
    <row r="640" spans="116:118" x14ac:dyDescent="0.2">
      <c r="DL640" s="24"/>
      <c r="DM640" s="28"/>
      <c r="DN640" s="24"/>
    </row>
    <row r="641" spans="116:118" x14ac:dyDescent="0.2">
      <c r="DL641" s="24"/>
      <c r="DM641" s="28"/>
      <c r="DN641" s="24"/>
    </row>
    <row r="642" spans="116:118" x14ac:dyDescent="0.2">
      <c r="DL642" s="24"/>
      <c r="DM642" s="28"/>
      <c r="DN642" s="24"/>
    </row>
    <row r="643" spans="116:118" x14ac:dyDescent="0.2">
      <c r="DL643" s="24"/>
      <c r="DM643" s="28"/>
      <c r="DN643" s="24"/>
    </row>
    <row r="644" spans="116:118" x14ac:dyDescent="0.2">
      <c r="DL644" s="24"/>
      <c r="DM644" s="28"/>
      <c r="DN644" s="24"/>
    </row>
    <row r="645" spans="116:118" x14ac:dyDescent="0.2">
      <c r="DL645" s="24"/>
      <c r="DM645" s="28"/>
      <c r="DN645" s="24"/>
    </row>
    <row r="646" spans="116:118" x14ac:dyDescent="0.2">
      <c r="DL646" s="24"/>
      <c r="DM646" s="28"/>
      <c r="DN646" s="24"/>
    </row>
    <row r="647" spans="116:118" x14ac:dyDescent="0.2">
      <c r="DL647" s="24"/>
      <c r="DM647" s="28"/>
      <c r="DN647" s="24"/>
    </row>
    <row r="648" spans="116:118" x14ac:dyDescent="0.2">
      <c r="DL648" s="24"/>
      <c r="DM648" s="28"/>
      <c r="DN648" s="24"/>
    </row>
    <row r="649" spans="116:118" x14ac:dyDescent="0.2">
      <c r="DL649" s="24"/>
      <c r="DM649" s="28"/>
      <c r="DN649" s="24"/>
    </row>
    <row r="650" spans="116:118" x14ac:dyDescent="0.2">
      <c r="DL650" s="24"/>
      <c r="DM650" s="28"/>
      <c r="DN650" s="24"/>
    </row>
    <row r="651" spans="116:118" x14ac:dyDescent="0.2">
      <c r="DL651" s="24"/>
      <c r="DM651" s="28"/>
      <c r="DN651" s="24"/>
    </row>
    <row r="652" spans="116:118" x14ac:dyDescent="0.2">
      <c r="DL652" s="24"/>
      <c r="DM652" s="28"/>
      <c r="DN652" s="24"/>
    </row>
    <row r="653" spans="116:118" x14ac:dyDescent="0.2">
      <c r="DL653" s="24"/>
      <c r="DM653" s="28"/>
      <c r="DN653" s="24"/>
    </row>
    <row r="654" spans="116:118" x14ac:dyDescent="0.2">
      <c r="DL654" s="24"/>
      <c r="DM654" s="28"/>
      <c r="DN654" s="24"/>
    </row>
    <row r="655" spans="116:118" x14ac:dyDescent="0.2">
      <c r="DL655" s="24"/>
      <c r="DM655" s="28"/>
      <c r="DN655" s="24"/>
    </row>
    <row r="656" spans="116:118" x14ac:dyDescent="0.2">
      <c r="DL656" s="24"/>
    </row>
    <row r="657" spans="116:116" x14ac:dyDescent="0.2">
      <c r="DL657" s="24"/>
    </row>
    <row r="658" spans="116:116" x14ac:dyDescent="0.2">
      <c r="DL658" s="28"/>
    </row>
    <row r="659" spans="116:116" x14ac:dyDescent="0.2">
      <c r="DL659" s="28"/>
    </row>
    <row r="660" spans="116:116" x14ac:dyDescent="0.2">
      <c r="DL660" s="28"/>
    </row>
    <row r="661" spans="116:116" x14ac:dyDescent="0.2">
      <c r="DL661" s="28"/>
    </row>
    <row r="662" spans="116:116" x14ac:dyDescent="0.2">
      <c r="DL662" s="28"/>
    </row>
    <row r="663" spans="116:116" x14ac:dyDescent="0.2">
      <c r="DL663" s="28"/>
    </row>
    <row r="664" spans="116:116" x14ac:dyDescent="0.2">
      <c r="DL664" s="28"/>
    </row>
    <row r="665" spans="116:116" x14ac:dyDescent="0.2">
      <c r="DL665" s="28"/>
    </row>
    <row r="666" spans="116:116" x14ac:dyDescent="0.2">
      <c r="DL666" s="28"/>
    </row>
    <row r="667" spans="116:116" x14ac:dyDescent="0.2">
      <c r="DL667" s="28"/>
    </row>
    <row r="668" spans="116:116" x14ac:dyDescent="0.2">
      <c r="DL668" s="28"/>
    </row>
    <row r="669" spans="116:116" x14ac:dyDescent="0.2">
      <c r="DL669" s="28"/>
    </row>
    <row r="670" spans="116:116" x14ac:dyDescent="0.2">
      <c r="DL670" s="28"/>
    </row>
    <row r="671" spans="116:116" x14ac:dyDescent="0.2">
      <c r="DL671" s="28"/>
    </row>
    <row r="672" spans="116:116" x14ac:dyDescent="0.2">
      <c r="DL672" s="28"/>
    </row>
    <row r="673" spans="116:116" x14ac:dyDescent="0.2">
      <c r="DL673" s="28"/>
    </row>
    <row r="674" spans="116:116" x14ac:dyDescent="0.2">
      <c r="DL674" s="28"/>
    </row>
    <row r="675" spans="116:116" x14ac:dyDescent="0.2">
      <c r="DL675" s="28"/>
    </row>
    <row r="676" spans="116:116" x14ac:dyDescent="0.2">
      <c r="DL676" s="28"/>
    </row>
    <row r="677" spans="116:116" x14ac:dyDescent="0.2">
      <c r="DL677" s="28"/>
    </row>
    <row r="678" spans="116:116" x14ac:dyDescent="0.2">
      <c r="DL678" s="28"/>
    </row>
    <row r="679" spans="116:116" x14ac:dyDescent="0.2">
      <c r="DL679" s="28"/>
    </row>
    <row r="680" spans="116:116" x14ac:dyDescent="0.2">
      <c r="DL680" s="28"/>
    </row>
    <row r="681" spans="116:116" x14ac:dyDescent="0.2">
      <c r="DL681" s="28"/>
    </row>
    <row r="682" spans="116:116" x14ac:dyDescent="0.2">
      <c r="DL682" s="28"/>
    </row>
    <row r="683" spans="116:116" x14ac:dyDescent="0.2">
      <c r="DL683" s="28"/>
    </row>
    <row r="684" spans="116:116" x14ac:dyDescent="0.2">
      <c r="DL684" s="28"/>
    </row>
    <row r="685" spans="116:116" x14ac:dyDescent="0.2">
      <c r="DL685" s="28"/>
    </row>
    <row r="686" spans="116:116" x14ac:dyDescent="0.2">
      <c r="DL686" s="28"/>
    </row>
    <row r="687" spans="116:116" x14ac:dyDescent="0.2">
      <c r="DL687" s="28"/>
    </row>
    <row r="688" spans="116:116" x14ac:dyDescent="0.2">
      <c r="DL688" s="28"/>
    </row>
    <row r="689" spans="116:116" x14ac:dyDescent="0.2">
      <c r="DL689" s="28"/>
    </row>
    <row r="690" spans="116:116" x14ac:dyDescent="0.2">
      <c r="DL690" s="28"/>
    </row>
    <row r="691" spans="116:116" x14ac:dyDescent="0.2">
      <c r="DL691" s="28"/>
    </row>
  </sheetData>
  <sheetProtection sheet="1" objects="1" scenarios="1"/>
  <sortState ref="CJ69:CS80">
    <sortCondition ref="CJ68"/>
    <sortCondition ref="CK68"/>
  </sortState>
  <mergeCells count="40">
    <mergeCell ref="DG84:DH85"/>
    <mergeCell ref="CU82:DJ82"/>
    <mergeCell ref="CJ67:CL67"/>
    <mergeCell ref="CM67:CS67"/>
    <mergeCell ref="DD84:DD85"/>
    <mergeCell ref="DE84:DF85"/>
    <mergeCell ref="CW84:CW85"/>
    <mergeCell ref="CX84:CY85"/>
    <mergeCell ref="CU83:CU85"/>
    <mergeCell ref="CW83:DC83"/>
    <mergeCell ref="DD83:DJ83"/>
    <mergeCell ref="DI84:DJ85"/>
    <mergeCell ref="CN68:CO68"/>
    <mergeCell ref="DB84:DC85"/>
    <mergeCell ref="CZ84:DA85"/>
    <mergeCell ref="CP68:CQ68"/>
    <mergeCell ref="CR68:CS68"/>
    <mergeCell ref="CV83:CV85"/>
    <mergeCell ref="B26:F26"/>
    <mergeCell ref="AY2:BA2"/>
    <mergeCell ref="BI2:BL2"/>
    <mergeCell ref="B4:F4"/>
    <mergeCell ref="B12:F12"/>
    <mergeCell ref="B20:F20"/>
    <mergeCell ref="BC4:BG4"/>
    <mergeCell ref="W2:Y2"/>
    <mergeCell ref="AA2:AC2"/>
    <mergeCell ref="AE2:AG2"/>
    <mergeCell ref="AI2:AK2"/>
    <mergeCell ref="AM2:AO2"/>
    <mergeCell ref="B2:F2"/>
    <mergeCell ref="G2:I2"/>
    <mergeCell ref="B31:F31"/>
    <mergeCell ref="CB67:CD67"/>
    <mergeCell ref="CF67:CH67"/>
    <mergeCell ref="S2:U2"/>
    <mergeCell ref="AQ2:AS2"/>
    <mergeCell ref="AU2:AW2"/>
    <mergeCell ref="K2:M2"/>
    <mergeCell ref="O2:Q2"/>
  </mergeCells>
  <phoneticPr fontId="0" type="noConversion"/>
  <conditionalFormatting sqref="C5:C8 C13:C16 C21:C22 C27">
    <cfRule type="expression" dxfId="82" priority="67">
      <formula>$BD5="V"</formula>
    </cfRule>
  </conditionalFormatting>
  <conditionalFormatting sqref="E5:E8 E13:E16 E21:E22 E27">
    <cfRule type="expression" dxfId="81" priority="68">
      <formula>$BD5="H"</formula>
    </cfRule>
  </conditionalFormatting>
  <conditionalFormatting sqref="CL69:CS80">
    <cfRule type="expression" dxfId="80" priority="70">
      <formula>MOD(CL69,1)&gt;0</formula>
    </cfRule>
  </conditionalFormatting>
  <conditionalFormatting sqref="CY86:CY97 DA86:DA97 DC86:DD97 DF86:DF97 DH86:DH97 DJ86:DJ97 CV86:CW97">
    <cfRule type="expression" dxfId="79" priority="71">
      <formula>MOD(CV86,1)&gt;0</formula>
    </cfRule>
  </conditionalFormatting>
  <conditionalFormatting sqref="G10:J11 G18:J18 G24:J24 G29:J29 G32:J32">
    <cfRule type="expression" dxfId="78" priority="54">
      <formula>$I10=1</formula>
    </cfRule>
  </conditionalFormatting>
  <conditionalFormatting sqref="K10:N11 K18:N18 K24:N24 K29:N29 K32:N32">
    <cfRule type="expression" dxfId="77" priority="55">
      <formula>$M10=1</formula>
    </cfRule>
  </conditionalFormatting>
  <conditionalFormatting sqref="O10:R11 O18:R18 O24:R24 O29:R29 O32:R32">
    <cfRule type="expression" dxfId="76" priority="56">
      <formula>$Q10=1</formula>
    </cfRule>
  </conditionalFormatting>
  <conditionalFormatting sqref="S10:V11 S18:V18 S24:V24 S29:V29 S32:V32">
    <cfRule type="expression" dxfId="75" priority="57">
      <formula>$U10=1</formula>
    </cfRule>
  </conditionalFormatting>
  <conditionalFormatting sqref="W10:Z11 W18:Z18 W24:Z24 W29:Z29 W32:Z32">
    <cfRule type="expression" dxfId="74" priority="58">
      <formula>$Y10=1</formula>
    </cfRule>
  </conditionalFormatting>
  <conditionalFormatting sqref="AA10:AD11 AA18:AD18 AA24:AD24 AA29:AD29 AA32:AD32">
    <cfRule type="expression" dxfId="73" priority="59">
      <formula>$AC10=1</formula>
    </cfRule>
  </conditionalFormatting>
  <conditionalFormatting sqref="AE10:AH11 AE18:AH18 AE24:AH24 AE29:AH29 AE32:AH32">
    <cfRule type="expression" dxfId="72" priority="60">
      <formula>$AG10=1</formula>
    </cfRule>
  </conditionalFormatting>
  <conditionalFormatting sqref="AI10:AL11 AI18:AL18 AI24:AL24 AI29:AL29 AI32:AL32">
    <cfRule type="expression" dxfId="71" priority="61">
      <formula>$AK10=1</formula>
    </cfRule>
  </conditionalFormatting>
  <conditionalFormatting sqref="AM10:AP11 AM18:AP18 AM24:AP24 AM29:AP29 AM32:AP32">
    <cfRule type="expression" dxfId="70" priority="62">
      <formula>$AO10=1</formula>
    </cfRule>
  </conditionalFormatting>
  <conditionalFormatting sqref="AQ10:AT11 AQ18:AT18 AQ24:AT24 AQ29:AT29 AQ32:AT32">
    <cfRule type="expression" dxfId="69" priority="63">
      <formula>$AS10=1</formula>
    </cfRule>
  </conditionalFormatting>
  <conditionalFormatting sqref="AU10:AX11 AU18:AX18 AU24:AX24 AU29:AX29 AU32:AX32">
    <cfRule type="expression" dxfId="68" priority="64">
      <formula>$AW10=1</formula>
    </cfRule>
  </conditionalFormatting>
  <conditionalFormatting sqref="AY10:BB11 AY18:BB18 AY24:BB24 AY29:BB29 AY32:BB32">
    <cfRule type="expression" dxfId="67" priority="65">
      <formula>$BA10=1</formula>
    </cfRule>
  </conditionalFormatting>
  <conditionalFormatting sqref="BI10:BL11 BI32:BL32 BI18:BL18 BI24:BL24 BI29:BL29">
    <cfRule type="expression" dxfId="66" priority="66">
      <formula>$BK10=1</formula>
    </cfRule>
  </conditionalFormatting>
  <conditionalFormatting sqref="G33:J33">
    <cfRule type="expression" dxfId="65" priority="72">
      <formula>$I33=MAX($I$33,$M$33,$Q$33,$U$33,$Y$33,$AC$33,$AG$33,$AK$33,$AO$33,$AS$33,$AW$33,$BA$33)</formula>
    </cfRule>
  </conditionalFormatting>
  <conditionalFormatting sqref="K33:N33">
    <cfRule type="expression" dxfId="64" priority="73">
      <formula>$M33=MAX($I$33,$M$33,$Q$33,$U$33,$Y$33,$AC$33,$AG$33,$AK$33,$AO$33,$AS$33,$AW$33,$BA$33)</formula>
    </cfRule>
  </conditionalFormatting>
  <conditionalFormatting sqref="O33:R33">
    <cfRule type="expression" dxfId="63" priority="74">
      <formula>$Q33=MAX($I$33,$M$33,$Q$33,$U$33,$Y$33,$AC$33,$AG$33,$AK$33,$AO$33,$AS$33,$AW$33,$BA$33)</formula>
    </cfRule>
  </conditionalFormatting>
  <conditionalFormatting sqref="S33:V33">
    <cfRule type="expression" dxfId="62" priority="75">
      <formula>$U33=MAX($I$33,$M$33,$Q$33,$U$33,$Y$33,$AC$33,$AG$33,$AK$33,$AO$33,$AS$33,$AW$33,$BA$33)</formula>
    </cfRule>
  </conditionalFormatting>
  <conditionalFormatting sqref="W33:Z33">
    <cfRule type="expression" dxfId="61" priority="76">
      <formula>$Y33=MAX($I$33,$M$33,$Q$33,$U$33,$Y$33,$AC$33,$AG$33,$AK$33,$AO$33,$AS$33,$AW$33,$BA$33)</formula>
    </cfRule>
  </conditionalFormatting>
  <conditionalFormatting sqref="AA33:AD33">
    <cfRule type="expression" dxfId="60" priority="77">
      <formula>$AC33=MAX($I$33,$M$33,$Q$33,$U$33,$Y$33,$AC$33,$AG$33,$AK$33,$AO$33,$AS$33,$AW$33,$BA$33)</formula>
    </cfRule>
  </conditionalFormatting>
  <conditionalFormatting sqref="AE33:AH33">
    <cfRule type="expression" dxfId="59" priority="78">
      <formula>$AG33=MAX($I$33,$M$33,$Q$33,$U$33,$Y$33,$AC$33,$AG$33,$AK$33,$AO$33,$AS$33,$AW$33,$BA$33)</formula>
    </cfRule>
  </conditionalFormatting>
  <conditionalFormatting sqref="AI33:AL33">
    <cfRule type="expression" dxfId="58" priority="82">
      <formula>$AK33=MAX($I$33,$M$33,$Q$33,$U$33,$Y$33,$AC$33,$AG$33,$AK$33,$AO$33,$AS$33,$AW$33,$BA$33)</formula>
    </cfRule>
  </conditionalFormatting>
  <conditionalFormatting sqref="AM33:AP33">
    <cfRule type="expression" dxfId="57" priority="83">
      <formula>$AO33=MAX($I$33,$M$33,$Q$33,$U$33,$Y$33,$AC$33,$AG$33,$AK$33,$AO$33,$AS$33,$AW$33,$BA$33)</formula>
    </cfRule>
  </conditionalFormatting>
  <conditionalFormatting sqref="AQ33:AT33">
    <cfRule type="expression" dxfId="56" priority="84">
      <formula>$AS33=MAX($I$33,$M$33,$Q$33,$U$33,$Y$33,$AC$33,$AG$33,$AK$33,$AO$33,$AS$33,$AW$33,$BA$33)</formula>
    </cfRule>
  </conditionalFormatting>
  <conditionalFormatting sqref="AU33:AX33">
    <cfRule type="expression" dxfId="55" priority="85">
      <formula>$AW33=MAX($I$33,$M$33,$Q$33,$U$33,$Y$33,$AC$33,$AG$33,$AK$33,$AO$33,$AS$33,$AW$33,$BA$33)</formula>
    </cfRule>
  </conditionalFormatting>
  <conditionalFormatting sqref="AY33:BB33">
    <cfRule type="expression" dxfId="54" priority="197">
      <formula>$BA33=MAX($I$33,$M$33,$Q$33,$U$33,$Y$33,$AC$33,$AG$33,$AK$33,$AO$33,$AS$33,$AW$33,$BA$33)</formula>
    </cfRule>
  </conditionalFormatting>
  <conditionalFormatting sqref="BI33:BL33">
    <cfRule type="expression" dxfId="53" priority="217">
      <formula>$BK33=MAX($I$33,$M$33,$Q$33,$U$33,$Y$33,$AC$33,$AG$33,$AK$33,$AO$33,$AS$33,$AW$33,$BA$33)</formula>
    </cfRule>
  </conditionalFormatting>
  <conditionalFormatting sqref="G3:J3">
    <cfRule type="expression" dxfId="52" priority="41">
      <formula>$I3=1</formula>
    </cfRule>
  </conditionalFormatting>
  <conditionalFormatting sqref="K3:N3">
    <cfRule type="expression" dxfId="51" priority="42">
      <formula>$M3=1</formula>
    </cfRule>
  </conditionalFormatting>
  <conditionalFormatting sqref="O3:R3">
    <cfRule type="expression" dxfId="50" priority="43">
      <formula>$Q3=1</formula>
    </cfRule>
  </conditionalFormatting>
  <conditionalFormatting sqref="S3:V3">
    <cfRule type="expression" dxfId="49" priority="44">
      <formula>$U3=1</formula>
    </cfRule>
  </conditionalFormatting>
  <conditionalFormatting sqref="W3:Z3">
    <cfRule type="expression" dxfId="48" priority="45">
      <formula>$Y3=1</formula>
    </cfRule>
  </conditionalFormatting>
  <conditionalFormatting sqref="AA3:AD3">
    <cfRule type="expression" dxfId="47" priority="46">
      <formula>$AC3=1</formula>
    </cfRule>
  </conditionalFormatting>
  <conditionalFormatting sqref="AE3:AH3">
    <cfRule type="expression" dxfId="46" priority="47">
      <formula>$AG3=1</formula>
    </cfRule>
  </conditionalFormatting>
  <conditionalFormatting sqref="AI3:AL3">
    <cfRule type="expression" dxfId="45" priority="48">
      <formula>$AK3=1</formula>
    </cfRule>
  </conditionalFormatting>
  <conditionalFormatting sqref="AM3:AP3">
    <cfRule type="expression" dxfId="44" priority="49">
      <formula>$AO3=1</formula>
    </cfRule>
  </conditionalFormatting>
  <conditionalFormatting sqref="AQ3:AT3">
    <cfRule type="expression" dxfId="43" priority="50">
      <formula>$AS3=1</formula>
    </cfRule>
  </conditionalFormatting>
  <conditionalFormatting sqref="AU3:AX3">
    <cfRule type="expression" dxfId="42" priority="51">
      <formula>$AW3=1</formula>
    </cfRule>
  </conditionalFormatting>
  <conditionalFormatting sqref="AY3:BB3">
    <cfRule type="expression" dxfId="41" priority="52">
      <formula>$BA3=1</formula>
    </cfRule>
  </conditionalFormatting>
  <conditionalFormatting sqref="BI3:BL3">
    <cfRule type="expression" dxfId="40" priority="53">
      <formula>$BK3=1</formula>
    </cfRule>
  </conditionalFormatting>
  <conditionalFormatting sqref="G19:J19">
    <cfRule type="expression" dxfId="39" priority="28">
      <formula>$I19=1</formula>
    </cfRule>
  </conditionalFormatting>
  <conditionalFormatting sqref="K19:N19">
    <cfRule type="expression" dxfId="38" priority="29">
      <formula>$M19=1</formula>
    </cfRule>
  </conditionalFormatting>
  <conditionalFormatting sqref="O19:R19">
    <cfRule type="expression" dxfId="37" priority="30">
      <formula>$Q19=1</formula>
    </cfRule>
  </conditionalFormatting>
  <conditionalFormatting sqref="S19:V19">
    <cfRule type="expression" dxfId="36" priority="31">
      <formula>$U19=1</formula>
    </cfRule>
  </conditionalFormatting>
  <conditionalFormatting sqref="W19:Z19">
    <cfRule type="expression" dxfId="35" priority="32">
      <formula>$Y19=1</formula>
    </cfRule>
  </conditionalFormatting>
  <conditionalFormatting sqref="AA19:AD19">
    <cfRule type="expression" dxfId="34" priority="33">
      <formula>$AC19=1</formula>
    </cfRule>
  </conditionalFormatting>
  <conditionalFormatting sqref="AE19:AH19">
    <cfRule type="expression" dxfId="33" priority="34">
      <formula>$AG19=1</formula>
    </cfRule>
  </conditionalFormatting>
  <conditionalFormatting sqref="AI19:AL19">
    <cfRule type="expression" dxfId="32" priority="35">
      <formula>$AK19=1</formula>
    </cfRule>
  </conditionalFormatting>
  <conditionalFormatting sqref="AM19:AP19">
    <cfRule type="expression" dxfId="31" priority="36">
      <formula>$AO19=1</formula>
    </cfRule>
  </conditionalFormatting>
  <conditionalFormatting sqref="AQ19:AT19">
    <cfRule type="expression" dxfId="30" priority="37">
      <formula>$AS19=1</formula>
    </cfRule>
  </conditionalFormatting>
  <conditionalFormatting sqref="AU19:AX19">
    <cfRule type="expression" dxfId="29" priority="38">
      <formula>$AW19=1</formula>
    </cfRule>
  </conditionalFormatting>
  <conditionalFormatting sqref="AY19:BB19">
    <cfRule type="expression" dxfId="28" priority="39">
      <formula>$BA19=1</formula>
    </cfRule>
  </conditionalFormatting>
  <conditionalFormatting sqref="BI19:BL19">
    <cfRule type="expression" dxfId="27" priority="40">
      <formula>$BK19=1</formula>
    </cfRule>
  </conditionalFormatting>
  <conditionalFormatting sqref="G25:J25">
    <cfRule type="expression" dxfId="26" priority="15">
      <formula>$I25=1</formula>
    </cfRule>
  </conditionalFormatting>
  <conditionalFormatting sqref="K25:N25">
    <cfRule type="expression" dxfId="25" priority="16">
      <formula>$M25=1</formula>
    </cfRule>
  </conditionalFormatting>
  <conditionalFormatting sqref="O25:R25">
    <cfRule type="expression" dxfId="24" priority="17">
      <formula>$Q25=1</formula>
    </cfRule>
  </conditionalFormatting>
  <conditionalFormatting sqref="S25:V25">
    <cfRule type="expression" dxfId="23" priority="18">
      <formula>$U25=1</formula>
    </cfRule>
  </conditionalFormatting>
  <conditionalFormatting sqref="W25:Z25">
    <cfRule type="expression" dxfId="22" priority="19">
      <formula>$Y25=1</formula>
    </cfRule>
  </conditionalFormatting>
  <conditionalFormatting sqref="AA25:AD25">
    <cfRule type="expression" dxfId="21" priority="20">
      <formula>$AC25=1</formula>
    </cfRule>
  </conditionalFormatting>
  <conditionalFormatting sqref="AE25:AH25">
    <cfRule type="expression" dxfId="20" priority="21">
      <formula>$AG25=1</formula>
    </cfRule>
  </conditionalFormatting>
  <conditionalFormatting sqref="AI25:AL25">
    <cfRule type="expression" dxfId="19" priority="22">
      <formula>$AK25=1</formula>
    </cfRule>
  </conditionalFormatting>
  <conditionalFormatting sqref="AM25:AP25">
    <cfRule type="expression" dxfId="18" priority="23">
      <formula>$AO25=1</formula>
    </cfRule>
  </conditionalFormatting>
  <conditionalFormatting sqref="AQ25:AT25">
    <cfRule type="expression" dxfId="17" priority="24">
      <formula>$AS25=1</formula>
    </cfRule>
  </conditionalFormatting>
  <conditionalFormatting sqref="AU25:AX25">
    <cfRule type="expression" dxfId="16" priority="25">
      <formula>$AW25=1</formula>
    </cfRule>
  </conditionalFormatting>
  <conditionalFormatting sqref="AY25:BB25">
    <cfRule type="expression" dxfId="15" priority="26">
      <formula>$BA25=1</formula>
    </cfRule>
  </conditionalFormatting>
  <conditionalFormatting sqref="BI25:BL25">
    <cfRule type="expression" dxfId="14" priority="27">
      <formula>$BK25=1</formula>
    </cfRule>
  </conditionalFormatting>
  <conditionalFormatting sqref="G30:J30">
    <cfRule type="expression" dxfId="13" priority="2">
      <formula>$I30=1</formula>
    </cfRule>
  </conditionalFormatting>
  <conditionalFormatting sqref="K30:N30">
    <cfRule type="expression" dxfId="12" priority="3">
      <formula>$M30=1</formula>
    </cfRule>
  </conditionalFormatting>
  <conditionalFormatting sqref="O30:R30">
    <cfRule type="expression" dxfId="11" priority="4">
      <formula>$Q30=1</formula>
    </cfRule>
  </conditionalFormatting>
  <conditionalFormatting sqref="S30:V30">
    <cfRule type="expression" dxfId="10" priority="5">
      <formula>$U30=1</formula>
    </cfRule>
  </conditionalFormatting>
  <conditionalFormatting sqref="W30:Z30">
    <cfRule type="expression" dxfId="9" priority="6">
      <formula>$Y30=1</formula>
    </cfRule>
  </conditionalFormatting>
  <conditionalFormatting sqref="AA30:AD30">
    <cfRule type="expression" dxfId="8" priority="7">
      <formula>$AC30=1</formula>
    </cfRule>
  </conditionalFormatting>
  <conditionalFormatting sqref="AE30:AH30">
    <cfRule type="expression" dxfId="7" priority="8">
      <formula>$AG30=1</formula>
    </cfRule>
  </conditionalFormatting>
  <conditionalFormatting sqref="AI30:AL30">
    <cfRule type="expression" dxfId="6" priority="9">
      <formula>$AK30=1</formula>
    </cfRule>
  </conditionalFormatting>
  <conditionalFormatting sqref="AM30:AP30">
    <cfRule type="expression" dxfId="5" priority="10">
      <formula>$AO30=1</formula>
    </cfRule>
  </conditionalFormatting>
  <conditionalFormatting sqref="AQ30:AT30">
    <cfRule type="expression" dxfId="4" priority="11">
      <formula>$AS30=1</formula>
    </cfRule>
  </conditionalFormatting>
  <conditionalFormatting sqref="AU30:AX30">
    <cfRule type="expression" dxfId="3" priority="12">
      <formula>$AW30=1</formula>
    </cfRule>
  </conditionalFormatting>
  <conditionalFormatting sqref="AY30:BB30">
    <cfRule type="expression" dxfId="2" priority="13">
      <formula>$BA30=1</formula>
    </cfRule>
  </conditionalFormatting>
  <conditionalFormatting sqref="BI30:BL30">
    <cfRule type="expression" dxfId="1" priority="14">
      <formula>$BK30=1</formula>
    </cfRule>
  </conditionalFormatting>
  <conditionalFormatting sqref="J5:J8 N5:N8 R5:R8 V5:V8 Z5:Z8 AD5:AD8 AH5:AH8 AL5:AL8 AP5:AP8 AT5:AT8 AX5:AX8 BB5:BB8 J13:J16 N13:N16 R13:R16 V13:V16 Z13:Z16 AD13:AD16 AH13:AH16 AL13:AL16 AP13:AP16 AT13:AT16 AX13:AX16 BB13:BB16 J21:J22 N21:N22 R21:R22 V21:V22 Z21:Z22 AD21:AD22 AH21:AH22 AL21:AL22 AP21:AP22 AT21:AT22 AX21:AX22 BB21:BB22 J27 N27 R27 V27 Z27 AD27 AH27 AL27 AP27 AT27 AX27 BB27">
    <cfRule type="expression" dxfId="0" priority="1">
      <formula>G5&lt;&gt;$BD5</formula>
    </cfRule>
  </conditionalFormatting>
  <dataValidations count="5">
    <dataValidation type="whole" operator="greaterThanOrEqual" allowBlank="1" showErrorMessage="1" errorTitle="Home team score" error="The score for the home team must be greater than or equal to zero._x000a_" sqref="F5:F8 F21:F22 F13:F16 F27" xr:uid="{00000000-0002-0000-0000-000000000000}">
      <formula1>0</formula1>
    </dataValidation>
    <dataValidation type="whole" allowBlank="1" showErrorMessage="1" errorTitle="Predicted margin of victory" error="Enter a number between 1 and 99 for the predicted margin of victory._x000a_" sqref="AW27 AS27 AO27 AK27 AG27 AC27 Y27 U27 Q27 M27 BA21:BA22 I27 M13:M16 Q13:Q16 U13:U16 Y13:Y16 AC13:AC16 AG13:AG16 AK13:AK16 AO13:AO16 AS13:AS16 AW13:AW16 BA13:BA16 BA27 AW21:AW22 AS21:AS22 AO21:AO22 AK21:AK22 AG21:AG22 AC21:AC22 Y21:Y22 U21:U22 Q21:Q22 M21:M22 I21:I22 I13:I16" xr:uid="{00000000-0002-0000-0000-000001000000}">
      <formula1>1</formula1>
      <formula2>99</formula2>
    </dataValidation>
    <dataValidation type="whole" operator="greaterThanOrEqual" allowBlank="1" showErrorMessage="1" errorTitle="Visiting team score" error="The score for the visiting team must be greater than or equal to zero._x000a_" sqref="B5:B8 B21:B22 B13:B16 B27" xr:uid="{00000000-0002-0000-0000-000002000000}">
      <formula1>0</formula1>
    </dataValidation>
    <dataValidation type="whole" operator="greaterThan" allowBlank="1" showErrorMessage="1" errorTitle="Total Points Prediction" error="The Total Points Prediction for the last game of this playoff week must be greater than or equal to zero._x000a_" sqref="I28 M28 Q28 U28 Y28 AC28 AG28 AK28 AO28 AS28 AW28 BA28 I17 M17 Q17 U17 Y17 AC17 AG17 AK17 AO17 AS17 AW17 BA17 I23 M23 Q23 U23 Y23 AC23 AG23 AK23 AO23 AS23 AW23 BA23" xr:uid="{00000000-0002-0000-0000-000003000000}">
      <formula1>0</formula1>
    </dataValidation>
    <dataValidation type="list" allowBlank="1" showErrorMessage="1" errorTitle="Pick" error="Please pick a winner._x000a__x000a_Enter &quot;H&quot; for the home team or &quot;V&quot; for the visiting team._x000a_" sqref="AU13:AU16 AY27 AY13:AY16 G21:G22 AY21:AY22 AU27 AU21:AU22 AQ27 AQ21:AQ22 AM27 AM21:AM22 AI27 AI21:AI22 AE27 AE21:AE22 AA27 AA21:AA22 W27 W21:W22 S27 S21:S22 O27 K27 O21:O22 K21:K22 G27 G13:G16 K13:K16 O13:O16 S13:S16 W13:W16 AA13:AA16 AE13:AE16 AI13:AI16 AM13:AM16 AQ13:AQ16" xr:uid="{00000000-0002-0000-0000-000004000000}">
      <formula1>$B$36:$C$36</formula1>
    </dataValidation>
  </dataValidations>
  <printOptions horizontalCentered="1" verticalCentered="1"/>
  <pageMargins left="0.25" right="0.25" top="0.25" bottom="0.25" header="0" footer="0"/>
  <pageSetup scale="67" orientation="landscape" horizontalDpi="0" verticalDpi="0" r:id="rId1"/>
  <headerFooter alignWithMargins="0"/>
  <ignoredErrors>
    <ignoredError sqref="BB10 G10:H10 J10:L10 N10:P10 R10:T10 V10:X10 Z10:AB10 AD10:AF10 AH10:AJ10 AL10:AN10 AP10:AR10 AT10:AV10 AX10" formulaRange="1"/>
  </ignoredErrors>
  <webPublishItems count="4">
    <webPublishItem id="17112" divId="Post_Season_Results_1" sourceType="range" sourceRef="CB67:CH80" destinationFile="D:\Football Pool\Web Pages\2019 Football Pool Page\fp_results.html"/>
    <webPublishItem id="14120" divId="Final_Post_Season_Results" sourceType="range" sourceRef="CF67:CS80" destinationFile="C:\Users\Jerry\Desktop\Test\fp_results_2016.html"/>
    <webPublishItem id="17125" divId="Post_Season_Results_2" sourceType="range" sourceRef="CJ67:CS80" destinationFile="D:\Football Pool\Web Pages\2019 Football Pool Page\fp_results.html"/>
    <webPublishItem id="8105" divId="Final_Football_Pool_Results" sourceType="range" sourceRef="CU82:DJ97" destinationFile="C:\Users\Jerry\Desktop\Test\fp_results_2016.html"/>
  </webPublishItem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NFL Post Season</vt:lpstr>
      <vt:lpstr>'NFL Post Season'!Print_Area</vt:lpstr>
      <vt:lpstr>'NFL Post Season'!Print_Titles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2016-09-15T01:50:14Z</cp:lastPrinted>
  <dcterms:created xsi:type="dcterms:W3CDTF">1996-10-14T23:33:28Z</dcterms:created>
  <dcterms:modified xsi:type="dcterms:W3CDTF">2020-01-06T00:38:08Z</dcterms:modified>
</cp:coreProperties>
</file>