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D:\Football Pool\Web Pages\2022 Football Pool Page\"/>
    </mc:Choice>
  </mc:AlternateContent>
  <xr:revisionPtr revIDLastSave="0" documentId="8_{1400F117-61FE-45D2-AD0D-2DCA45D7BBFD}" xr6:coauthVersionLast="47" xr6:coauthVersionMax="47"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Season'!$CP$72:$CQ$72</definedName>
    <definedName name="best_total_range_end">'NFL Post Season'!$CQ$72</definedName>
    <definedName name="best_total_range_start">'NFL Post Season'!$CP$72</definedName>
    <definedName name="current_home_teams">'NFL Post Season'!$DO$9</definedName>
    <definedName name="current_visiting_teams">'NFL Post Season'!$DO$8</definedName>
    <definedName name="current_week">'NFL Post Season'!$BO$43</definedName>
    <definedName name="current_week_results">'NFL Post Season'!$CB$71:$CH$84</definedName>
    <definedName name="current_week_winnings">'NFL Post Season'!$CJ$71:$CS$84</definedName>
    <definedName name="current_year">'NFL Post Season'!$Z$1</definedName>
    <definedName name="final_football_pool_results_data">'NFL Post Season'!$CU$90:$DJ$101</definedName>
    <definedName name="final_football_pool_results_players">'NFL Post Season'!$CU$90:$CU$101</definedName>
    <definedName name="final_football_pool_results_table">'NFL Post Season'!$CU$86:$DJ$101</definedName>
    <definedName name="final_football_pool_results_winnings">'NFL Post Season'!$CV$90:$CV$101</definedName>
    <definedName name="final_post_season_results_table">'NFL Post Season'!$CF$71:$CS$84</definedName>
    <definedName name="home">'NFL Post Season'!$B$2</definedName>
    <definedName name="number_of_regular_season_weeks">'NFL Post Season'!$BS$50</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Season'!$CB$72:$CD$84</definedName>
    <definedName name="scores_table_player_header">'NFL Post Season'!$CC$72</definedName>
    <definedName name="scores_table_rank_header">'NFL Post Season'!$CB$72</definedName>
    <definedName name="second_best_total_range">'NFL Post Season'!$CR$72:$CS$72</definedName>
    <definedName name="second_best_total_range_end">'NFL Post Season'!$CS$72</definedName>
    <definedName name="second_best_total_range_start">'NFL Post Season'!$CR$72</definedName>
    <definedName name="sort_post_season_results_home">'NFL Post Season'!$CT$85</definedName>
    <definedName name="sort_results_home">'NFL Post Season'!$CA$70</definedName>
    <definedName name="total_scores_table">'NFL Post Season'!$CF$72:$CH$84</definedName>
    <definedName name="total_scores_table_player_header">'NFL Post Season'!$CG$72</definedName>
    <definedName name="total_scores_table_rank_header">'NFL Post Season'!$CF$72</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Season'!$CN$72:$CO$72</definedName>
    <definedName name="weeks_won_range_end">'NFL Post Season'!$CO$72</definedName>
    <definedName name="weeks_won_range_start">'NFL Post Season'!$CN$72</definedName>
    <definedName name="winnings_table">'NFL Post Season'!$CJ$72:$CS$84</definedName>
    <definedName name="winnings_table_player_header">'NFL Post Season'!$CK$72</definedName>
    <definedName name="winnings_table_rank_header">'NFL Post Season'!$CJ$72</definedName>
  </definedNames>
  <calcPr calcId="181029"/>
  <webPublishObjects count="4">
    <webPublishObject id="15171" divId="Post_Season_Results_1" sourceObject="current_week_results" destinationFile="D:\Football Pool\Web Pages\2022 Football Pool Page\fp_results.html"/>
    <webPublishObject id="15187" divId="Post_Season_Results_2" sourceObject="current_week_winnings" destinationFile="D:\Football Pool\Web Pages\2022 Football Pool Page\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workbook>
</file>

<file path=xl/calcChain.xml><?xml version="1.0" encoding="utf-8"?>
<calcChain xmlns="http://schemas.openxmlformats.org/spreadsheetml/2006/main">
  <c r="E30" i="1" l="1"/>
  <c r="E25" i="1"/>
  <c r="E19" i="1"/>
  <c r="E11" i="1"/>
  <c r="DO10" i="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AT6" i="1" s="1"/>
  <c r="BB6" i="1"/>
  <c r="AL6" i="1"/>
  <c r="AH6" i="1"/>
  <c r="AD6" i="1"/>
  <c r="Z6" i="1"/>
  <c r="V6" i="1"/>
  <c r="R6" i="1"/>
  <c r="N6" i="1"/>
  <c r="J6" i="1"/>
  <c r="BH5" i="1"/>
  <c r="BI5" i="1" s="1"/>
  <c r="BF5" i="1"/>
  <c r="BD5" i="1"/>
  <c r="AT5" i="1" s="1"/>
  <c r="J5" i="1"/>
  <c r="AP6" i="1" l="1"/>
  <c r="AX6" i="1"/>
  <c r="R5" i="1"/>
  <c r="V5" i="1"/>
  <c r="N5" i="1"/>
  <c r="Z5" i="1"/>
  <c r="AH5" i="1"/>
  <c r="AP5" i="1"/>
  <c r="AD5" i="1"/>
  <c r="AX5" i="1"/>
  <c r="AL5" i="1"/>
  <c r="BB5" i="1"/>
  <c r="AQ48" i="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F9" i="1"/>
  <c r="BD9" i="1"/>
  <c r="BH8" i="1"/>
  <c r="BI8" i="1" s="1"/>
  <c r="BF8" i="1"/>
  <c r="BD8" i="1"/>
  <c r="BH7" i="1"/>
  <c r="BI7" i="1" s="1"/>
  <c r="BK7" i="1" s="1"/>
  <c r="BF7" i="1"/>
  <c r="BD7" i="1"/>
  <c r="BL9" i="1" l="1"/>
  <c r="BL7" i="1"/>
  <c r="AY50" i="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70"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6" i="1" l="1"/>
  <c r="DD88" i="1"/>
  <c r="CU96" i="1"/>
  <c r="DD96" i="1" s="1"/>
  <c r="CU90" i="1"/>
  <c r="CU100" i="1"/>
  <c r="DD100" i="1" s="1"/>
  <c r="CU94" i="1"/>
  <c r="DD94" i="1" s="1"/>
  <c r="CU101" i="1"/>
  <c r="DD101" i="1" s="1"/>
  <c r="CU91" i="1"/>
  <c r="CU98" i="1"/>
  <c r="DD98" i="1" s="1"/>
  <c r="CU99" i="1"/>
  <c r="DD99" i="1" s="1"/>
  <c r="CU97" i="1"/>
  <c r="DD97" i="1" s="1"/>
  <c r="CU92" i="1"/>
  <c r="CU95" i="1"/>
  <c r="DD95" i="1" s="1"/>
  <c r="CU93" i="1"/>
  <c r="DD93" i="1" s="1"/>
  <c r="DD92" i="1" l="1"/>
  <c r="DD90" i="1"/>
  <c r="DD91" i="1"/>
  <c r="DT17" i="1" l="1"/>
  <c r="DO17" i="1"/>
  <c r="DT16" i="1"/>
  <c r="DO16" i="1"/>
  <c r="DT15" i="1"/>
  <c r="DO15" i="1"/>
  <c r="CK84" i="1"/>
  <c r="CM84" i="1" s="1"/>
  <c r="CK83" i="1"/>
  <c r="CM83" i="1" s="1"/>
  <c r="CK82" i="1"/>
  <c r="CM82" i="1" s="1"/>
  <c r="CK74" i="1"/>
  <c r="CM74" i="1" s="1"/>
  <c r="CK81" i="1"/>
  <c r="CM81" i="1" s="1"/>
  <c r="CK80" i="1"/>
  <c r="CM80" i="1" s="1"/>
  <c r="CK79" i="1"/>
  <c r="CM79" i="1" s="1"/>
  <c r="CK78" i="1"/>
  <c r="CM78" i="1" s="1"/>
  <c r="CK77" i="1"/>
  <c r="CM77" i="1" s="1"/>
  <c r="CK76" i="1"/>
  <c r="CM76" i="1" s="1"/>
  <c r="CK73" i="1"/>
  <c r="CM73" i="1" s="1"/>
  <c r="CK75" i="1"/>
  <c r="CM75"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N7" i="1"/>
  <c r="R7" i="1"/>
  <c r="V7" i="1"/>
  <c r="Z7" i="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9" i="1"/>
  <c r="H69" i="1"/>
  <c r="I69" i="1"/>
  <c r="J69" i="1"/>
  <c r="K69" i="1"/>
  <c r="L69" i="1"/>
  <c r="M69" i="1"/>
  <c r="N69" i="1"/>
  <c r="O69" i="1"/>
  <c r="P69" i="1"/>
  <c r="Q69" i="1"/>
  <c r="R69"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N12" i="1" l="1"/>
  <c r="N39" i="1" s="1"/>
  <c r="AP12" i="1"/>
  <c r="BB12" i="1"/>
  <c r="BB39" i="1" s="1"/>
  <c r="R12" i="1"/>
  <c r="R39" i="1" s="1"/>
  <c r="AD12" i="1"/>
  <c r="AL12" i="1"/>
  <c r="J12" i="1"/>
  <c r="AX12" i="1"/>
  <c r="AH12" i="1"/>
  <c r="Z12" i="1"/>
  <c r="V12" i="1"/>
  <c r="AT12" i="1"/>
  <c r="AL64" i="1"/>
  <c r="AL19" i="1" s="1"/>
  <c r="AH64" i="1"/>
  <c r="AH19" i="1" s="1"/>
  <c r="R64" i="1"/>
  <c r="R19" i="1" s="1"/>
  <c r="N64" i="1"/>
  <c r="N19" i="1" s="1"/>
  <c r="J64" i="1"/>
  <c r="J19" i="1" s="1"/>
  <c r="AP64" i="1"/>
  <c r="AP19" i="1" s="1"/>
  <c r="Z64" i="1"/>
  <c r="Z19" i="1" s="1"/>
  <c r="V64" i="1"/>
  <c r="V19" i="1" s="1"/>
  <c r="BB64" i="1"/>
  <c r="BB19" i="1" s="1"/>
  <c r="AX64" i="1"/>
  <c r="AX19" i="1" s="1"/>
  <c r="AT64" i="1"/>
  <c r="AT19" i="1" s="1"/>
  <c r="AD64" i="1"/>
  <c r="AD19" i="1" s="1"/>
  <c r="AP68" i="1"/>
  <c r="AP30" i="1" s="1"/>
  <c r="Z68" i="1"/>
  <c r="Z30" i="1" s="1"/>
  <c r="R68" i="1"/>
  <c r="R30" i="1" s="1"/>
  <c r="J68" i="1"/>
  <c r="J30" i="1" s="1"/>
  <c r="BB68" i="1"/>
  <c r="BB30" i="1" s="1"/>
  <c r="AX68" i="1"/>
  <c r="AX30" i="1" s="1"/>
  <c r="AT68" i="1"/>
  <c r="AT30" i="1" s="1"/>
  <c r="AD68" i="1"/>
  <c r="AD30" i="1" s="1"/>
  <c r="AL68" i="1"/>
  <c r="AL30" i="1" s="1"/>
  <c r="V68" i="1"/>
  <c r="V30" i="1" s="1"/>
  <c r="AH68" i="1"/>
  <c r="AH30" i="1" s="1"/>
  <c r="N68" i="1"/>
  <c r="N30" i="1" s="1"/>
  <c r="BB66" i="1"/>
  <c r="BB25" i="1" s="1"/>
  <c r="AX66" i="1"/>
  <c r="AX25" i="1" s="1"/>
  <c r="AT66" i="1"/>
  <c r="AT25" i="1" s="1"/>
  <c r="AD66" i="1"/>
  <c r="AD25" i="1" s="1"/>
  <c r="AL66" i="1"/>
  <c r="AL25" i="1" s="1"/>
  <c r="Z66" i="1"/>
  <c r="Z25" i="1" s="1"/>
  <c r="AH66" i="1"/>
  <c r="AH25" i="1" s="1"/>
  <c r="R66" i="1"/>
  <c r="R25" i="1" s="1"/>
  <c r="N66" i="1"/>
  <c r="N25" i="1" s="1"/>
  <c r="J66" i="1"/>
  <c r="J25" i="1" s="1"/>
  <c r="AP66" i="1"/>
  <c r="AP25" i="1" s="1"/>
  <c r="V66" i="1"/>
  <c r="V25" i="1" s="1"/>
  <c r="AH40" i="1"/>
  <c r="AT40" i="1"/>
  <c r="AD40" i="1"/>
  <c r="N40" i="1"/>
  <c r="R40" i="1"/>
  <c r="AP40" i="1"/>
  <c r="Z40" i="1"/>
  <c r="BB40" i="1"/>
  <c r="AL40" i="1"/>
  <c r="V40" i="1"/>
  <c r="W60" i="1"/>
  <c r="W58" i="1"/>
  <c r="AY57" i="1"/>
  <c r="AL41" i="1"/>
  <c r="AI53" i="1"/>
  <c r="G54" i="1"/>
  <c r="O57" i="1"/>
  <c r="AA57" i="1"/>
  <c r="AA59" i="1"/>
  <c r="BB41" i="1"/>
  <c r="AA53" i="1"/>
  <c r="BI53" i="1"/>
  <c r="AQ53" i="1"/>
  <c r="S58" i="1"/>
  <c r="R45" i="1"/>
  <c r="AQ57" i="1"/>
  <c r="AU57" i="1"/>
  <c r="K57" i="1"/>
  <c r="AY53" i="1"/>
  <c r="AM53" i="1"/>
  <c r="Y26" i="1"/>
  <c r="Z42" i="1" s="1"/>
  <c r="AI59" i="1"/>
  <c r="W55" i="1"/>
  <c r="K58" i="1"/>
  <c r="AQ59" i="1"/>
  <c r="AE58" i="1"/>
  <c r="AH43" i="1"/>
  <c r="G59" i="1"/>
  <c r="O58" i="1"/>
  <c r="AD41" i="1"/>
  <c r="K59" i="1"/>
  <c r="AU58" i="1"/>
  <c r="AE60" i="1"/>
  <c r="N45" i="1"/>
  <c r="AA55" i="1"/>
  <c r="G55" i="1"/>
  <c r="O60" i="1"/>
  <c r="BO46" i="1"/>
  <c r="AY59" i="1"/>
  <c r="AU60" i="1"/>
  <c r="O55" i="1"/>
  <c r="AI60" i="1"/>
  <c r="S60" i="1"/>
  <c r="BB43" i="1"/>
  <c r="AP43" i="1"/>
  <c r="AA60" i="1"/>
  <c r="AA56" i="1"/>
  <c r="K60" i="1"/>
  <c r="N43" i="1"/>
  <c r="J39" i="1"/>
  <c r="AT41" i="1"/>
  <c r="AT45" i="1"/>
  <c r="AG31" i="1"/>
  <c r="AH44" i="1" s="1"/>
  <c r="Z45" i="1"/>
  <c r="J45" i="1"/>
  <c r="AL45" i="1"/>
  <c r="AP45" i="1"/>
  <c r="BI55" i="1"/>
  <c r="AY58" i="1"/>
  <c r="Z41" i="1"/>
  <c r="S59" i="1"/>
  <c r="O56" i="1"/>
  <c r="BL30" i="1"/>
  <c r="BB45" i="1"/>
  <c r="AI58" i="1"/>
  <c r="BI59" i="1"/>
  <c r="AM58" i="1"/>
  <c r="AE59" i="1"/>
  <c r="AU55" i="1"/>
  <c r="AA58" i="1"/>
  <c r="AU59" i="1"/>
  <c r="AM55" i="1"/>
  <c r="BI58" i="1"/>
  <c r="G58" i="1"/>
  <c r="W59" i="1"/>
  <c r="AQ55" i="1"/>
  <c r="BO43" i="1"/>
  <c r="V45" i="1"/>
  <c r="R41" i="1"/>
  <c r="AE55" i="1"/>
  <c r="R43" i="1"/>
  <c r="BL19" i="1"/>
  <c r="AW20" i="1"/>
  <c r="BI60" i="1"/>
  <c r="AQ60" i="1"/>
  <c r="AK31" i="1"/>
  <c r="AL44" i="1" s="1"/>
  <c r="AX45" i="1"/>
  <c r="J41" i="1"/>
  <c r="BL25" i="1"/>
  <c r="AD45" i="1"/>
  <c r="AM60" i="1"/>
  <c r="G60" i="1"/>
  <c r="AY55" i="1"/>
  <c r="S55" i="1"/>
  <c r="AP41" i="1"/>
  <c r="AI57" i="1"/>
  <c r="O54" i="1"/>
  <c r="AX43" i="1"/>
  <c r="AY60" i="1"/>
  <c r="AI55" i="1"/>
  <c r="V43" i="1"/>
  <c r="BL11" i="1"/>
  <c r="AK26" i="1"/>
  <c r="AH41" i="1"/>
  <c r="AE54" i="1"/>
  <c r="AD43" i="1"/>
  <c r="S54" i="1"/>
  <c r="AA54" i="1"/>
  <c r="AM56" i="1"/>
  <c r="K56" i="1"/>
  <c r="BO9" i="1"/>
  <c r="AS26" i="1"/>
  <c r="AT42" i="1" s="1"/>
  <c r="CB71" i="1"/>
  <c r="BL20" i="1"/>
  <c r="BK20" i="1" s="1"/>
  <c r="AM54" i="1"/>
  <c r="AQ56" i="1"/>
  <c r="AU54" i="1"/>
  <c r="BI54" i="1"/>
  <c r="K54" i="1"/>
  <c r="BO45" i="1"/>
  <c r="W56" i="1"/>
  <c r="AY56" i="1"/>
  <c r="N41" i="1"/>
  <c r="AI56" i="1"/>
  <c r="BL26" i="1"/>
  <c r="BK26" i="1" s="1"/>
  <c r="BL31" i="1"/>
  <c r="BK31" i="1" s="1"/>
  <c r="AE56" i="1"/>
  <c r="BI56" i="1"/>
  <c r="V41" i="1"/>
  <c r="AI54" i="1"/>
  <c r="G56" i="1"/>
  <c r="AU56" i="1"/>
  <c r="J43" i="1"/>
  <c r="AP39" i="1" l="1"/>
  <c r="AH39" i="1"/>
  <c r="AD39" i="1"/>
  <c r="AL39" i="1"/>
  <c r="AX39" i="1"/>
  <c r="Z39" i="1"/>
  <c r="V39" i="1"/>
  <c r="R62" i="1" s="1"/>
  <c r="AT39" i="1"/>
  <c r="AP65" i="1"/>
  <c r="AH65" i="1"/>
  <c r="AT65" i="1"/>
  <c r="AH67" i="1"/>
  <c r="AT67" i="1"/>
  <c r="R67" i="1"/>
  <c r="AT63" i="1"/>
  <c r="Z63" i="1"/>
  <c r="R63" i="1"/>
  <c r="R65" i="1"/>
  <c r="AD67" i="1"/>
  <c r="AD63" i="1"/>
  <c r="N63" i="1"/>
  <c r="J65" i="1"/>
  <c r="Z65" i="1"/>
  <c r="AX65" i="1"/>
  <c r="V67" i="1"/>
  <c r="AX67" i="1"/>
  <c r="Z67" i="1"/>
  <c r="AX63" i="1"/>
  <c r="AP63" i="1"/>
  <c r="AH63" i="1"/>
  <c r="V65" i="1"/>
  <c r="AD65" i="1"/>
  <c r="N67" i="1"/>
  <c r="J67" i="1"/>
  <c r="V63" i="1"/>
  <c r="N65" i="1"/>
  <c r="AL65" i="1"/>
  <c r="BB65" i="1"/>
  <c r="AL67" i="1"/>
  <c r="BB67" i="1"/>
  <c r="AP67" i="1"/>
  <c r="BB63" i="1"/>
  <c r="J63" i="1"/>
  <c r="AL63" i="1"/>
  <c r="AX40" i="1"/>
  <c r="BO22" i="1" s="1"/>
  <c r="DO8" i="1"/>
  <c r="DO9" i="1"/>
  <c r="BO33" i="1"/>
  <c r="BO48" i="1"/>
  <c r="BL34" i="1" s="1"/>
  <c r="BL40" i="1"/>
  <c r="BL41" i="1"/>
  <c r="BL44" i="1"/>
  <c r="BL45" i="1"/>
  <c r="BL39" i="1"/>
  <c r="AL42" i="1"/>
  <c r="BO28" i="1" s="1"/>
  <c r="BL42" i="1"/>
  <c r="BL43" i="1"/>
  <c r="AX62" i="1" l="1"/>
  <c r="AX11" i="1" s="1"/>
  <c r="AP62" i="1"/>
  <c r="AT62" i="1"/>
  <c r="Z62" i="1"/>
  <c r="Z11" i="1" s="1"/>
  <c r="AL62" i="1"/>
  <c r="AL11" i="1" s="1"/>
  <c r="V62" i="1"/>
  <c r="V11" i="1" s="1"/>
  <c r="AX61" i="1"/>
  <c r="AP11" i="1"/>
  <c r="AP61" i="1"/>
  <c r="AT11" i="1"/>
  <c r="AT61" i="1"/>
  <c r="R11" i="1"/>
  <c r="R61" i="1"/>
  <c r="N62" i="1"/>
  <c r="V61" i="1"/>
  <c r="AH62" i="1"/>
  <c r="AD62" i="1"/>
  <c r="BB62" i="1"/>
  <c r="J62" i="1"/>
  <c r="AC12" i="1"/>
  <c r="AD38" i="1" s="1"/>
  <c r="AK12" i="1"/>
  <c r="AL38" i="1" s="1"/>
  <c r="I12" i="1"/>
  <c r="Q12" i="1"/>
  <c r="AW12" i="1"/>
  <c r="AX38" i="1" s="1"/>
  <c r="BK12" i="1"/>
  <c r="BL38" i="1" s="1"/>
  <c r="AG12" i="1"/>
  <c r="AH38" i="1" s="1"/>
  <c r="Y12" i="1"/>
  <c r="Z38" i="1" s="1"/>
  <c r="U12" i="1"/>
  <c r="CN77" i="1" s="1"/>
  <c r="CO77" i="1" s="1"/>
  <c r="AO12" i="1"/>
  <c r="AP38" i="1" s="1"/>
  <c r="AS12" i="1"/>
  <c r="AT38" i="1" s="1"/>
  <c r="BA12" i="1"/>
  <c r="BB38" i="1" s="1"/>
  <c r="M12" i="1"/>
  <c r="CN73" i="1" s="1"/>
  <c r="BK35" i="1"/>
  <c r="BL35" i="1" s="1"/>
  <c r="J34" i="1"/>
  <c r="CD76" i="1" s="1"/>
  <c r="CC76" i="1" s="1"/>
  <c r="AT34" i="1"/>
  <c r="CH84" i="1" s="1"/>
  <c r="CG84" i="1" s="1"/>
  <c r="Z34" i="1"/>
  <c r="R34" i="1"/>
  <c r="CH77" i="1" s="1"/>
  <c r="CG77" i="1" s="1"/>
  <c r="V34" i="1"/>
  <c r="AP34" i="1"/>
  <c r="AH34" i="1"/>
  <c r="AL34" i="1"/>
  <c r="AD34" i="1"/>
  <c r="N34" i="1"/>
  <c r="N47" i="1" s="1"/>
  <c r="AX34" i="1"/>
  <c r="BB34" i="1"/>
  <c r="CN82" i="1"/>
  <c r="CO82" i="1" s="1"/>
  <c r="BP39" i="1"/>
  <c r="B2" i="1" s="1"/>
  <c r="CN79" i="1"/>
  <c r="CO79" i="1" s="1"/>
  <c r="CN75" i="1"/>
  <c r="CO75" i="1" s="1"/>
  <c r="CN78" i="1"/>
  <c r="CO78" i="1" s="1"/>
  <c r="CN83" i="1"/>
  <c r="CO83" i="1" s="1"/>
  <c r="DE97" i="1"/>
  <c r="DF97" i="1" s="1"/>
  <c r="CN80" i="1"/>
  <c r="CO80" i="1" s="1"/>
  <c r="DE96" i="1"/>
  <c r="DF96" i="1" s="1"/>
  <c r="CN81" i="1"/>
  <c r="CO81" i="1" s="1"/>
  <c r="DE90" i="1"/>
  <c r="DE92" i="1"/>
  <c r="DF92" i="1" s="1"/>
  <c r="DE91" i="1"/>
  <c r="DF91" i="1" s="1"/>
  <c r="DE100" i="1"/>
  <c r="DF100" i="1" s="1"/>
  <c r="CN76" i="1"/>
  <c r="CO76" i="1" s="1"/>
  <c r="DE93" i="1"/>
  <c r="DF93" i="1" s="1"/>
  <c r="DE98" i="1"/>
  <c r="DF98" i="1" s="1"/>
  <c r="CN84" i="1"/>
  <c r="CO84" i="1" s="1"/>
  <c r="DE101" i="1"/>
  <c r="DF101" i="1" s="1"/>
  <c r="DE94" i="1"/>
  <c r="DF94" i="1" s="1"/>
  <c r="DE95" i="1" l="1"/>
  <c r="DF95" i="1" s="1"/>
  <c r="DE99" i="1"/>
  <c r="DF99" i="1" s="1"/>
  <c r="CN74" i="1"/>
  <c r="CO74" i="1" s="1"/>
  <c r="AL61" i="1"/>
  <c r="Z61" i="1"/>
  <c r="BB11" i="1"/>
  <c r="BB61" i="1"/>
  <c r="N11" i="1"/>
  <c r="N61" i="1"/>
  <c r="AD11" i="1"/>
  <c r="AD61" i="1"/>
  <c r="J11" i="1"/>
  <c r="J61" i="1"/>
  <c r="AH11" i="1"/>
  <c r="AH61" i="1"/>
  <c r="J38" i="1"/>
  <c r="R38" i="1"/>
  <c r="V38" i="1"/>
  <c r="N38" i="1"/>
  <c r="CH76" i="1"/>
  <c r="CG76" i="1" s="1"/>
  <c r="J47" i="1"/>
  <c r="AK35" i="1"/>
  <c r="AL35" i="1" s="1"/>
  <c r="Y35" i="1"/>
  <c r="Z35" i="1" s="1"/>
  <c r="CD74" i="1"/>
  <c r="CC74" i="1" s="1"/>
  <c r="AO35" i="1"/>
  <c r="AP35" i="1" s="1"/>
  <c r="AS35" i="1"/>
  <c r="AT35" i="1" s="1"/>
  <c r="AP47" i="1"/>
  <c r="CH81" i="1"/>
  <c r="CG81" i="1" s="1"/>
  <c r="BA35" i="1"/>
  <c r="BB35" i="1" s="1"/>
  <c r="Q35" i="1"/>
  <c r="R35" i="1" s="1"/>
  <c r="AW35" i="1"/>
  <c r="AX35" i="1" s="1"/>
  <c r="CH80" i="1"/>
  <c r="CG80" i="1" s="1"/>
  <c r="AG35" i="1"/>
  <c r="AH35" i="1" s="1"/>
  <c r="M35" i="1"/>
  <c r="N35" i="1" s="1"/>
  <c r="CH74" i="1"/>
  <c r="CG74" i="1" s="1"/>
  <c r="AC35" i="1"/>
  <c r="AD35" i="1" s="1"/>
  <c r="U35" i="1"/>
  <c r="V35" i="1" s="1"/>
  <c r="I35" i="1"/>
  <c r="J35" i="1" s="1"/>
  <c r="BB47" i="1"/>
  <c r="CD81" i="1"/>
  <c r="CC81" i="1" s="1"/>
  <c r="CD77" i="1"/>
  <c r="CC77" i="1" s="1"/>
  <c r="CH75" i="1"/>
  <c r="CG75" i="1" s="1"/>
  <c r="CH82" i="1"/>
  <c r="CG82" i="1" s="1"/>
  <c r="Z47" i="1"/>
  <c r="AT47" i="1"/>
  <c r="CD75" i="1"/>
  <c r="CC75" i="1" s="1"/>
  <c r="AX47" i="1"/>
  <c r="CD79" i="1"/>
  <c r="CC79" i="1" s="1"/>
  <c r="CD84" i="1"/>
  <c r="CC84" i="1" s="1"/>
  <c r="CH73" i="1"/>
  <c r="CG73" i="1" s="1"/>
  <c r="CH79" i="1"/>
  <c r="CG79" i="1" s="1"/>
  <c r="V47" i="1"/>
  <c r="AL47" i="1"/>
  <c r="CD73" i="1"/>
  <c r="CC73" i="1" s="1"/>
  <c r="CD82" i="1"/>
  <c r="CC82" i="1" s="1"/>
  <c r="AH47" i="1"/>
  <c r="R47" i="1"/>
  <c r="CD80" i="1"/>
  <c r="CC80" i="1" s="1"/>
  <c r="CD78" i="1"/>
  <c r="CC78" i="1" s="1"/>
  <c r="CH78" i="1"/>
  <c r="CG78" i="1" s="1"/>
  <c r="AD47" i="1"/>
  <c r="CD83" i="1"/>
  <c r="CC83" i="1" s="1"/>
  <c r="BL47" i="1"/>
  <c r="CH83" i="1"/>
  <c r="CG83" i="1" s="1"/>
  <c r="BO14" i="1" l="1"/>
  <c r="BK34" i="1"/>
  <c r="BL46" i="1" s="1"/>
  <c r="AC34" i="1"/>
  <c r="CF84" i="1"/>
  <c r="BA34" i="1"/>
  <c r="I34" i="1"/>
  <c r="AS34" i="1"/>
  <c r="AO34" i="1"/>
  <c r="CF80" i="1"/>
  <c r="CF75" i="1"/>
  <c r="CF77" i="1"/>
  <c r="U34" i="1"/>
  <c r="AG34" i="1"/>
  <c r="M34" i="1"/>
  <c r="AK34" i="1"/>
  <c r="AW34" i="1"/>
  <c r="Q34" i="1"/>
  <c r="Y34" i="1"/>
  <c r="CF82" i="1"/>
  <c r="CF83" i="1"/>
  <c r="CF81" i="1"/>
  <c r="CF78" i="1"/>
  <c r="CF79" i="1"/>
  <c r="CF76" i="1"/>
  <c r="CF74" i="1"/>
  <c r="CF73" i="1"/>
  <c r="CO73" i="1" l="1"/>
  <c r="DF90" i="1"/>
  <c r="AP46" i="1"/>
  <c r="CB79" i="1"/>
  <c r="CB84" i="1"/>
  <c r="CB83" i="1"/>
  <c r="DG94" i="1"/>
  <c r="Z46" i="1"/>
  <c r="DG90" i="1"/>
  <c r="CR75" i="1"/>
  <c r="CS75" i="1" s="1"/>
  <c r="CB82" i="1"/>
  <c r="DG100" i="1"/>
  <c r="CR80" i="1"/>
  <c r="CS80" i="1" s="1"/>
  <c r="CP84" i="1"/>
  <c r="DG92" i="1"/>
  <c r="CB76" i="1"/>
  <c r="DI91" i="1"/>
  <c r="DJ91" i="1" s="1"/>
  <c r="CP79" i="1"/>
  <c r="CR83" i="1"/>
  <c r="CS83" i="1" s="1"/>
  <c r="CP82" i="1"/>
  <c r="CP73" i="1"/>
  <c r="DI96" i="1"/>
  <c r="DJ96" i="1" s="1"/>
  <c r="CP75" i="1"/>
  <c r="J46" i="1"/>
  <c r="DG96" i="1"/>
  <c r="DI90" i="1"/>
  <c r="DG101" i="1"/>
  <c r="AD46" i="1"/>
  <c r="CB75" i="1"/>
  <c r="CR73" i="1"/>
  <c r="CB73" i="1"/>
  <c r="N46" i="1"/>
  <c r="CR81" i="1"/>
  <c r="CP78" i="1"/>
  <c r="DG91" i="1"/>
  <c r="AL46" i="1"/>
  <c r="CR79" i="1"/>
  <c r="CS79" i="1" s="1"/>
  <c r="DI100" i="1"/>
  <c r="CB77" i="1"/>
  <c r="DI93" i="1"/>
  <c r="DJ93" i="1" s="1"/>
  <c r="CB78" i="1"/>
  <c r="DI99" i="1"/>
  <c r="DI98" i="1"/>
  <c r="DJ98" i="1" s="1"/>
  <c r="AH46" i="1"/>
  <c r="CB80" i="1"/>
  <c r="CR84" i="1"/>
  <c r="CS84" i="1" s="1"/>
  <c r="BB46" i="1"/>
  <c r="CB81" i="1"/>
  <c r="CP76" i="1"/>
  <c r="DG98" i="1"/>
  <c r="AX46" i="1"/>
  <c r="R46" i="1"/>
  <c r="CR76" i="1"/>
  <c r="DG93" i="1"/>
  <c r="CR77" i="1"/>
  <c r="CS77" i="1" s="1"/>
  <c r="CP80" i="1"/>
  <c r="DG97" i="1"/>
  <c r="CP74" i="1"/>
  <c r="DI97" i="1"/>
  <c r="DI92" i="1"/>
  <c r="DJ92" i="1" s="1"/>
  <c r="CB74" i="1"/>
  <c r="DI95" i="1"/>
  <c r="DJ95" i="1" s="1"/>
  <c r="CR74" i="1"/>
  <c r="AT46" i="1"/>
  <c r="CR82" i="1"/>
  <c r="CS82" i="1" s="1"/>
  <c r="DG95" i="1"/>
  <c r="DI94" i="1"/>
  <c r="DJ94" i="1" s="1"/>
  <c r="CP77" i="1"/>
  <c r="CP81" i="1"/>
  <c r="V46" i="1"/>
  <c r="CR78" i="1"/>
  <c r="DI101" i="1"/>
  <c r="CP83" i="1"/>
  <c r="DG99" i="1"/>
  <c r="CS78" i="1" l="1"/>
  <c r="BP35" i="1"/>
  <c r="CS81" i="1" s="1"/>
  <c r="BO35" i="1"/>
  <c r="CS74" i="1" l="1"/>
  <c r="DJ97" i="1"/>
  <c r="DJ101" i="1"/>
  <c r="DJ90" i="1"/>
  <c r="CS73" i="1"/>
  <c r="DH97" i="1"/>
  <c r="CV97" i="1" s="1"/>
  <c r="BB2" i="1"/>
  <c r="DJ100" i="1"/>
  <c r="DJ99" i="1"/>
  <c r="AX2" i="1"/>
  <c r="R2" i="1"/>
  <c r="AP2" i="1"/>
  <c r="AT2" i="1"/>
  <c r="V2" i="1"/>
  <c r="N2" i="1"/>
  <c r="AH2" i="1"/>
  <c r="J2" i="1"/>
  <c r="AL2" i="1"/>
  <c r="AD2" i="1"/>
  <c r="Z2" i="1"/>
  <c r="CS76" i="1"/>
  <c r="CQ74" i="1"/>
  <c r="DH101" i="1"/>
  <c r="CV101" i="1" s="1"/>
  <c r="CQ77" i="1"/>
  <c r="CL77" i="1" s="1"/>
  <c r="DH95" i="1"/>
  <c r="CV95" i="1" s="1"/>
  <c r="DH96" i="1"/>
  <c r="CV96" i="1" s="1"/>
  <c r="CQ83" i="1"/>
  <c r="CL83" i="1" s="1"/>
  <c r="DH94" i="1"/>
  <c r="CV94" i="1" s="1"/>
  <c r="CQ73" i="1"/>
  <c r="CL73" i="1" s="1"/>
  <c r="CQ78" i="1"/>
  <c r="CL78" i="1" s="1"/>
  <c r="CQ84" i="1"/>
  <c r="CL84" i="1" s="1"/>
  <c r="DH100" i="1"/>
  <c r="DH90" i="1"/>
  <c r="CQ79" i="1"/>
  <c r="CL79" i="1" s="1"/>
  <c r="DH92" i="1"/>
  <c r="CV92" i="1" s="1"/>
  <c r="DH98" i="1"/>
  <c r="CV98" i="1" s="1"/>
  <c r="CQ80" i="1"/>
  <c r="CL80" i="1" s="1"/>
  <c r="CQ75" i="1"/>
  <c r="CL75" i="1" s="1"/>
  <c r="DH91" i="1"/>
  <c r="CV91" i="1" s="1"/>
  <c r="DH99" i="1"/>
  <c r="CQ82" i="1"/>
  <c r="CL82" i="1" s="1"/>
  <c r="DH93" i="1"/>
  <c r="CV93" i="1" s="1"/>
  <c r="CQ81" i="1"/>
  <c r="CL81" i="1" s="1"/>
  <c r="CQ76" i="1"/>
  <c r="CL74" i="1" l="1"/>
  <c r="CV100" i="1"/>
  <c r="CV90" i="1"/>
  <c r="CL76" i="1"/>
  <c r="CJ75" i="1" s="1"/>
  <c r="CV99" i="1"/>
  <c r="CJ81" i="1" l="1"/>
  <c r="CJ82" i="1"/>
  <c r="CJ79" i="1"/>
  <c r="CJ84" i="1"/>
  <c r="CJ76" i="1"/>
  <c r="CJ73" i="1"/>
  <c r="CJ77" i="1"/>
  <c r="CJ78" i="1"/>
  <c r="CJ80" i="1"/>
  <c r="CJ74" i="1"/>
  <c r="CJ83" i="1"/>
</calcChain>
</file>

<file path=xl/sharedStrings.xml><?xml version="1.0" encoding="utf-8"?>
<sst xmlns="http://schemas.openxmlformats.org/spreadsheetml/2006/main" count="1039" uniqueCount="223">
  <si>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</si>
  <si>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</si>
  <si>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</si>
  <si>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</si>
  <si>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</si>
  <si>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</si>
  <si>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</si>
  <si>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</si>
  <si>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</si>
  <si>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</si>
  <si>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</si>
  <si>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</si>
  <si>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</si>
  <si>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</si>
  <si>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</si>
  <si>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</si>
  <si>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</si>
  <si>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</si>
  <si>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</si>
  <si>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</si>
  <si>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</si>
  <si>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</si>
  <si>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</si>
  <si>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</si>
  <si>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</si>
  <si>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</si>
  <si>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</si>
  <si>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</si>
  <si>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</si>
  <si>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</si>
  <si>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</si>
  <si>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</si>
  <si>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</si>
  <si>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</si>
  <si>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</si>
  <si>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</si>
  <si>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</si>
  <si>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</si>
  <si>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</si>
  <si>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</si>
  <si>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</si>
  <si>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</si>
  <si>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</si>
  <si>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</si>
  <si>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</si>
  <si>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</si>
  <si>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</si>
  <si>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</si>
  <si>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</si>
  <si>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</si>
  <si>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</si>
  <si>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</si>
  <si>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</si>
  <si>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</si>
  <si>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</si>
  <si>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</si>
  <si>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</si>
  <si>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</si>
  <si>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</si>
  <si>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</si>
  <si>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</si>
  <si>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</si>
  <si>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</si>
  <si>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</si>
  <si>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</si>
  <si>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</si>
  <si>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</si>
  <si>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</si>
  <si>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</si>
  <si>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</si>
  <si>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</si>
  <si>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</si>
  <si>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</si>
  <si>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</si>
  <si>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</si>
  <si>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</si>
  <si>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</si>
  <si>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</si>
  <si>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</si>
  <si>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</si>
  <si>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</si>
  <si>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</si>
  <si>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</si>
  <si>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</si>
  <si>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</si>
  <si>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</si>
  <si>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</si>
  <si>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</si>
  <si>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</si>
  <si>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</si>
  <si>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</si>
  <si>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</si>
  <si>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</si>
  <si>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</si>
  <si>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</si>
  <si>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</si>
  <si>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</si>
  <si>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</si>
  <si>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</si>
  <si>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</si>
  <si>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</si>
  <si>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</si>
  <si>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</si>
  <si>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</si>
  <si>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</si>
  <si>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</si>
  <si>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</si>
  <si>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</si>
  <si>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</si>
  <si>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</si>
  <si>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</si>
  <si>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</si>
  <si>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</si>
  <si>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</si>
  <si>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</si>
  <si>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</si>
  <si>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</si>
  <si>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</si>
  <si>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</si>
  <si>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</si>
  <si>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</si>
  <si>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</si>
  <si>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</si>
  <si>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</si>
  <si>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</si>
  <si>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</si>
  <si>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</si>
  <si>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</si>
  <si>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</si>
  <si>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</si>
  <si>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</si>
  <si>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</si>
  <si>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</si>
  <si>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</si>
  <si>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</si>
  <si>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</si>
  <si>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</si>
  <si>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</si>
  <si>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</si>
  <si>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</si>
  <si>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</si>
  <si>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</si>
  <si>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</si>
  <si>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</si>
  <si>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</si>
  <si>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</si>
  <si>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</si>
  <si>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</si>
  <si>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</si>
  <si>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</si>
  <si>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</si>
  <si>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</si>
  <si>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</si>
  <si>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</si>
  <si>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</si>
  <si>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</si>
  <si>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</si>
  <si>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</si>
  <si>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</si>
  <si>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</si>
  <si>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</si>
  <si>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</si>
  <si>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</si>
  <si>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</si>
  <si>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</si>
  <si>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</si>
  <si>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</si>
  <si>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</si>
  <si>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</si>
  <si>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</si>
  <si>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</si>
  <si>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</si>
  <si>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</si>
  <si>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</si>
  <si>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</si>
  <si>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</si>
  <si>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</si>
  <si>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</si>
  <si>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</si>
  <si>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</si>
  <si>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</si>
  <si>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</si>
  <si>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</si>
  <si>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</si>
  <si>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</si>
  <si>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</si>
  <si>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</si>
  <si>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</si>
  <si>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</si>
  <si>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</si>
  <si>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</si>
  <si>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</si>
  <si>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</si>
  <si>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</si>
  <si>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</si>
  <si>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 xml:space="preserve">Number of regular season weeks:  </t>
  </si>
  <si>
    <t>BM</t>
  </si>
  <si>
    <t>CK</t>
  </si>
  <si>
    <t>CP</t>
  </si>
  <si>
    <t>DC</t>
  </si>
  <si>
    <t>DH</t>
  </si>
  <si>
    <t>JG</t>
  </si>
  <si>
    <t>JL</t>
  </si>
  <si>
    <t>KC</t>
  </si>
  <si>
    <t>KK</t>
  </si>
  <si>
    <t>MB</t>
  </si>
  <si>
    <t>RR</t>
  </si>
  <si>
    <t>TB</t>
  </si>
  <si>
    <t>2022 Football Pool</t>
  </si>
  <si>
    <t/>
  </si>
  <si>
    <t>✓</t>
  </si>
  <si>
    <t>Seahawks</t>
  </si>
  <si>
    <t>49ers</t>
  </si>
  <si>
    <t>Chargers</t>
  </si>
  <si>
    <t>Jaguars</t>
  </si>
  <si>
    <t>Dolphins</t>
  </si>
  <si>
    <t>Bills</t>
  </si>
  <si>
    <t>Giants</t>
  </si>
  <si>
    <t>Vikings</t>
  </si>
  <si>
    <t>Ravens</t>
  </si>
  <si>
    <t>Bengals</t>
  </si>
  <si>
    <t>Cowboys</t>
  </si>
  <si>
    <t>Buccaneers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</si>
</sst>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289">
    <xf numFmtId="0" fontId="0" fillId="0" borderId="0" xfId="0"/>
    <xf numFmtId="164" fontId="4" fillId="3" borderId="0" xfId="0" applyNumberFormat="1" applyFont="1" applyFill="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Font="1" applyAlignment="1">
      <alignment horizontal="center" vertical="center"/>
    </xf>
    <xf numFmtId="1" fontId="6" fillId="0" borderId="0" xfId="0" applyNumberFormat="1" applyFont="1" applyAlignment="1">
      <alignment horizontal="center" vertical="center"/>
    </xf>
    <xf numFmtId="0" fontId="6" fillId="0" borderId="0" xfId="0" applyFont="1" applyAlignment="1">
      <alignment vertical="center"/>
    </xf>
    <xf numFmtId="0" fontId="7" fillId="0" borderId="0" xfId="0" applyFont="1" applyAlignment="1">
      <alignment horizontal="center" vertical="center"/>
    </xf>
    <xf numFmtId="0" fontId="6" fillId="0" borderId="0" xfId="0" applyFont="1" applyAlignment="1">
      <alignment horizontal="left" vertical="center"/>
    </xf>
    <xf numFmtId="0" fontId="10"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11" fillId="0" borderId="0" xfId="0" applyFont="1" applyAlignment="1">
      <alignment horizontal="left" vertical="center"/>
    </xf>
    <xf numFmtId="0" fontId="9" fillId="0" borderId="0" xfId="0" applyFont="1" applyAlignment="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Font="1" applyAlignment="1">
      <alignment horizontal="center" vertical="center" wrapText="1"/>
    </xf>
    <xf numFmtId="0" fontId="15" fillId="0" borderId="0" xfId="1" applyNumberFormat="1" applyFont="1" applyAlignment="1" applyProtection="1">
      <alignment vertical="center"/>
    </xf>
    <xf numFmtId="0" fontId="8" fillId="0" borderId="0" xfId="0" applyFont="1" applyAlignment="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13" fillId="0" borderId="0" xfId="0" applyFont="1" applyAlignment="1">
      <alignment horizontal="center" vertical="center"/>
    </xf>
    <xf numFmtId="0" fontId="15"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5" fillId="0" borderId="0" xfId="0" applyFont="1" applyAlignment="1">
      <alignment horizontal="left" vertical="center"/>
    </xf>
    <xf numFmtId="0" fontId="15" fillId="0" borderId="0" xfId="0" applyFont="1" applyAlignment="1">
      <alignment horizontal="right" vertical="center"/>
    </xf>
    <xf numFmtId="0" fontId="6" fillId="0" borderId="0" xfId="0" applyFont="1" applyAlignment="1">
      <alignment horizontal="right" vertical="center"/>
    </xf>
    <xf numFmtId="1" fontId="15" fillId="0" borderId="0" xfId="0" applyNumberFormat="1" applyFont="1" applyAlignment="1">
      <alignment horizontal="center" vertical="center"/>
    </xf>
    <xf numFmtId="166" fontId="15" fillId="0" borderId="0" xfId="0" applyNumberFormat="1" applyFont="1" applyAlignment="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7" fillId="0" borderId="0" xfId="0" applyFont="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horizontal="left" vertical="center"/>
    </xf>
    <xf numFmtId="0" fontId="9" fillId="0" borderId="0" xfId="0" applyFont="1" applyAlignment="1">
      <alignment horizontal="left" vertical="center"/>
    </xf>
    <xf numFmtId="0" fontId="20" fillId="0" borderId="0" xfId="0" applyFont="1" applyAlignment="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lignment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lignment vertical="center"/>
    </xf>
    <xf numFmtId="0" fontId="28" fillId="0" borderId="0" xfId="0" applyFont="1" applyAlignment="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5" fillId="0" borderId="0" xfId="0" applyFont="1" applyAlignment="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Font="1" applyBorder="1" applyAlignment="1" applyProtection="1">
      <alignment horizontal="center" vertical="center"/>
    </xf>
    <xf numFmtId="9" fontId="26" fillId="0" borderId="96" xfId="1" applyFont="1" applyBorder="1" applyAlignment="1" applyProtection="1">
      <alignment horizontal="center" vertical="center"/>
    </xf>
    <xf numFmtId="0" fontId="31" fillId="0" borderId="0" xfId="0" applyFont="1" applyAlignment="1">
      <alignment horizontal="left" vertical="center"/>
    </xf>
    <xf numFmtId="0" fontId="32" fillId="0" borderId="0" xfId="0" applyFont="1" applyAlignment="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Alignment="1">
      <alignment horizontal="center" vertical="center"/>
    </xf>
    <xf numFmtId="0" fontId="19" fillId="0" borderId="0" xfId="0" applyFont="1" applyAlignment="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0" fontId="9" fillId="0" borderId="139" xfId="0" applyFont="1" applyBorder="1" applyAlignment="1">
      <alignment horizontal="center" vertical="center"/>
    </xf>
    <xf numFmtId="0" fontId="9" fillId="0" borderId="140" xfId="0" applyFont="1" applyBorder="1" applyAlignment="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1" fillId="0" borderId="0" xfId="0" applyFont="1" applyAlignment="1">
      <alignment horizontal="center" vertical="center"/>
    </xf>
    <xf numFmtId="0" fontId="22" fillId="0" borderId="0" xfId="0" applyFont="1" applyAlignment="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Font="1" applyFill="1" applyBorder="1" applyAlignment="1">
      <alignment horizontal="center" vertical="center"/>
    </xf>
    <xf numFmtId="0" fontId="33" fillId="2" borderId="27" xfId="0" applyFont="1" applyFill="1" applyBorder="1" applyAlignment="1">
      <alignment horizontal="center" vertical="center"/>
    </xf>
    <xf numFmtId="0" fontId="34" fillId="2" borderId="4" xfId="0" applyFont="1" applyFill="1" applyBorder="1" applyAlignment="1">
      <alignment horizontal="center" vertical="center"/>
    </xf>
    <xf numFmtId="0" fontId="33" fillId="2" borderId="2" xfId="0" applyFont="1" applyFill="1" applyBorder="1" applyAlignment="1">
      <alignment horizontal="center" vertical="center"/>
    </xf>
    <xf numFmtId="0" fontId="34" fillId="2" borderId="89" xfId="0" applyFont="1" applyFill="1" applyBorder="1" applyAlignment="1">
      <alignment horizontal="center" vertical="center"/>
    </xf>
    <xf numFmtId="164" fontId="37" fillId="4" borderId="1" xfId="0" applyNumberFormat="1" applyFont="1" applyFill="1" applyBorder="1" applyAlignment="1">
      <alignment horizontal="center" vertical="center"/>
    </xf>
    <xf numFmtId="164" fontId="37" fillId="4" borderId="88" xfId="0" applyNumberFormat="1" applyFont="1" applyFill="1" applyBorder="1" applyAlignment="1">
      <alignment horizontal="center" vertical="center"/>
    </xf>
    <xf numFmtId="0" fontId="6" fillId="0" borderId="141" xfId="0" applyFont="1" applyBorder="1" applyAlignment="1">
      <alignment horizontal="center" vertical="center" wrapText="1"/>
    </xf>
    <xf numFmtId="0" fontId="6" fillId="0" borderId="20" xfId="0" applyFont="1" applyBorder="1" applyAlignment="1">
      <alignment horizontal="left" vertical="center" wrapText="1"/>
    </xf>
    <xf numFmtId="0" fontId="26" fillId="0" borderId="16" xfId="1" applyNumberFormat="1" applyFont="1" applyBorder="1" applyAlignment="1" applyProtection="1">
      <alignment horizontal="left" vertical="center"/>
    </xf>
    <xf numFmtId="0" fontId="33" fillId="2" borderId="16" xfId="0" applyFont="1" applyFill="1" applyBorder="1" applyAlignment="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Font="1" applyBorder="1" applyAlignment="1">
      <alignment horizontal="left" vertical="center" wrapText="1"/>
    </xf>
    <xf numFmtId="0" fontId="6" fillId="0" borderId="17" xfId="0" applyFont="1" applyBorder="1" applyAlignment="1">
      <alignment horizontal="center" vertical="center"/>
    </xf>
    <xf numFmtId="0" fontId="6" fillId="0" borderId="140" xfId="0" applyFont="1" applyBorder="1" applyAlignment="1">
      <alignment horizontal="left" vertical="center"/>
    </xf>
    <xf numFmtId="0" fontId="6" fillId="0" borderId="19" xfId="0" applyFont="1" applyBorder="1" applyAlignment="1">
      <alignment horizontal="left" vertical="center"/>
    </xf>
    <xf numFmtId="0" fontId="6" fillId="0" borderId="19" xfId="0" applyFont="1" applyBorder="1" applyAlignment="1">
      <alignment horizontal="left" vertical="center" wrapText="1"/>
    </xf>
    <xf numFmtId="0" fontId="6" fillId="0" borderId="19" xfId="0" applyFont="1" applyBorder="1" applyAlignment="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0" fontId="21" fillId="0" borderId="41" xfId="1" applyNumberFormat="1" applyFont="1" applyBorder="1" applyAlignment="1" applyProtection="1">
      <alignment horizontal="center" vertical="center"/>
    </xf>
    <xf numFmtId="0" fontId="21" fillId="0" borderId="42" xfId="1" applyNumberFormat="1" applyFont="1" applyBorder="1" applyAlignment="1" applyProtection="1">
      <alignment horizontal="center" vertical="center"/>
    </xf>
    <xf numFmtId="0" fontId="21" fillId="0" borderId="42" xfId="1" applyNumberFormat="1" applyFont="1" applyBorder="1" applyAlignment="1" applyProtection="1">
      <alignment horizontal="right" vertical="center"/>
    </xf>
    <xf numFmtId="0" fontId="21" fillId="0" borderId="45" xfId="1" applyNumberFormat="1" applyFont="1" applyFill="1" applyBorder="1" applyAlignment="1" applyProtection="1">
      <alignment horizontal="right" vertical="center"/>
    </xf>
    <xf numFmtId="0" fontId="21" fillId="0" borderId="4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3"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93" xfId="1" applyNumberFormat="1" applyFont="1" applyBorder="1" applyAlignment="1" applyProtection="1">
      <alignment horizontal="center" vertical="center"/>
    </xf>
    <xf numFmtId="49" fontId="3" fillId="2" borderId="125" xfId="0" applyNumberFormat="1" applyFont="1" applyFill="1" applyBorder="1" applyAlignment="1">
      <alignment horizontal="center" vertical="center"/>
    </xf>
    <xf numFmtId="49" fontId="3" fillId="2" borderId="131" xfId="0" applyNumberFormat="1" applyFont="1" applyFill="1" applyBorder="1" applyAlignment="1">
      <alignment horizontal="center" vertical="center"/>
    </xf>
    <xf numFmtId="164" fontId="3" fillId="2" borderId="124" xfId="0" applyNumberFormat="1" applyFont="1" applyFill="1" applyBorder="1" applyAlignment="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xf numFmtId="0" fontId="3" fillId="2" borderId="16"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35" fillId="4" borderId="101" xfId="0" applyFont="1" applyFill="1" applyBorder="1" applyAlignment="1">
      <alignment horizontal="center" vertical="center"/>
    </xf>
    <xf numFmtId="0" fontId="35" fillId="4" borderId="99" xfId="0" applyFont="1" applyFill="1" applyBorder="1" applyAlignment="1">
      <alignment horizontal="center" vertical="center"/>
    </xf>
    <xf numFmtId="49" fontId="3" fillId="2" borderId="85"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98" xfId="0" applyFont="1" applyFill="1" applyBorder="1" applyAlignment="1">
      <alignment horizontal="center" vertical="center"/>
    </xf>
    <xf numFmtId="0" fontId="35" fillId="4" borderId="102" xfId="0" applyFont="1" applyFill="1" applyBorder="1" applyAlignment="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Font="1" applyFill="1" applyBorder="1" applyAlignment="1">
      <alignment horizontal="center" vertical="center"/>
    </xf>
    <xf numFmtId="0" fontId="24" fillId="4" borderId="99" xfId="0" applyFont="1" applyFill="1" applyBorder="1" applyAlignment="1">
      <alignment horizontal="center" vertical="center"/>
    </xf>
    <xf numFmtId="0" fontId="24" fillId="4" borderId="100" xfId="0" applyFont="1" applyFill="1" applyBorder="1" applyAlignment="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6" xfId="0" applyNumberFormat="1" applyFont="1" applyFill="1" applyBorder="1" applyAlignment="1">
      <alignment horizontal="center" vertical="center"/>
    </xf>
    <xf numFmtId="0" fontId="28" fillId="0" borderId="30"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xf>
    <xf numFmtId="0" fontId="28" fillId="0" borderId="24" xfId="1" applyNumberFormat="1" applyFont="1" applyFill="1" applyBorder="1" applyAlignment="1" applyProtection="1">
      <alignment horizontal="center" vertical="center"/>
    </xf>
    <xf numFmtId="0" fontId="28" fillId="0" borderId="5" xfId="1" applyNumberFormat="1" applyFont="1" applyFill="1" applyBorder="1" applyAlignment="1" applyProtection="1">
      <alignment horizontal="center" vertical="center"/>
    </xf>
    <xf numFmtId="0" fontId="28"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2" customWidth="1"/>
    <col min="2" max="2" width="3.7109375" style="22" customWidth="1"/>
    <col min="3" max="3" width="13.7109375" style="22" customWidth="1"/>
    <col min="4" max="4" width="2.7109375" style="22" customWidth="1"/>
    <col min="5" max="5" width="13.7109375" style="22" customWidth="1"/>
    <col min="6" max="6" width="3.7109375" style="22" customWidth="1"/>
    <col min="7" max="9" width="2.7109375" style="24" customWidth="1"/>
    <col min="10" max="10" width="5.7109375" style="24" customWidth="1"/>
    <col min="11" max="13" width="2.7109375" style="24" customWidth="1"/>
    <col min="14" max="14" width="5.7109375" style="24" customWidth="1"/>
    <col min="15" max="17" width="2.7109375" style="24" customWidth="1"/>
    <col min="18" max="18" width="5.7109375" style="24" customWidth="1"/>
    <col min="19" max="21" width="2.7109375" style="24" customWidth="1"/>
    <col min="22" max="22" width="5.7109375" style="24" customWidth="1"/>
    <col min="23" max="25" width="2.7109375" style="24" customWidth="1"/>
    <col min="26" max="26" width="5.7109375" style="24" customWidth="1"/>
    <col min="27" max="29" width="2.7109375" style="24" customWidth="1"/>
    <col min="30" max="30" width="5.7109375" style="24" customWidth="1"/>
    <col min="31" max="33" width="2.7109375" style="24" customWidth="1"/>
    <col min="34" max="34" width="5.7109375" style="24" customWidth="1"/>
    <col min="35" max="37" width="2.7109375" style="24" customWidth="1"/>
    <col min="38" max="38" width="5.7109375" style="24" customWidth="1"/>
    <col min="39" max="41" width="2.7109375" style="24" customWidth="1"/>
    <col min="42" max="42" width="5.7109375" style="24" customWidth="1"/>
    <col min="43" max="45" width="2.7109375" style="24" customWidth="1"/>
    <col min="46" max="46" width="5.7109375" style="24" customWidth="1"/>
    <col min="47" max="49" width="2.7109375" style="24" customWidth="1"/>
    <col min="50" max="50" width="5.7109375" style="24" customWidth="1"/>
    <col min="51" max="53" width="2.7109375" style="24" customWidth="1"/>
    <col min="54" max="54" width="5.7109375" style="24" customWidth="1"/>
    <col min="55" max="55" width="5.7109375" style="6" customWidth="1"/>
    <col min="56" max="58" width="2.7109375" style="6" customWidth="1"/>
    <col min="59" max="59" width="5.7109375" style="6" customWidth="1"/>
    <col min="60" max="60" width="5.7109375" style="34" hidden="1" customWidth="1"/>
    <col min="61" max="63" width="2.7109375" style="24" customWidth="1"/>
    <col min="64" max="64" width="5.7109375" style="24" customWidth="1"/>
    <col min="65" max="65" width="2.7109375" style="6" customWidth="1"/>
    <col min="66" max="66" width="5.7109375" style="6" customWidth="1"/>
    <col min="67" max="67" width="5.7109375" style="4" customWidth="1"/>
    <col min="68" max="68" width="5.7109375" style="8" customWidth="1"/>
    <col min="69" max="69" width="5.7109375" style="6" customWidth="1"/>
    <col min="70" max="78" width="5.7109375" style="6" hidden="1" customWidth="1"/>
    <col min="79" max="79" width="5.7109375" style="6" customWidth="1"/>
    <col min="80" max="80" width="5.7109375" style="24" customWidth="1"/>
    <col min="81" max="81" width="9.7109375" style="4" customWidth="1"/>
    <col min="82" max="82" width="9.7109375" style="24" customWidth="1"/>
    <col min="83" max="83" width="3.7109375" style="24" customWidth="1"/>
    <col min="84" max="84" width="5.7109375" style="24" customWidth="1"/>
    <col min="85" max="86" width="9.7109375" style="24" customWidth="1"/>
    <col min="87" max="87" width="3.7109375" style="24" customWidth="1"/>
    <col min="88" max="88" width="6.7109375" style="24" customWidth="1"/>
    <col min="89" max="90" width="9.7109375" style="24" customWidth="1"/>
    <col min="91" max="91" width="5.7109375" style="24" customWidth="1"/>
    <col min="92" max="97" width="6.7109375" style="24" customWidth="1"/>
    <col min="98" max="98" width="5.7109375" style="24" customWidth="1"/>
    <col min="99" max="99" width="8.7109375" style="22" customWidth="1"/>
    <col min="100" max="101" width="10.7109375" style="22" customWidth="1"/>
    <col min="102" max="107" width="5.7109375" style="22" customWidth="1"/>
    <col min="108" max="108" width="10.7109375" style="22" customWidth="1"/>
    <col min="109" max="114" width="5.7109375" style="22" customWidth="1"/>
    <col min="115" max="115" width="9.140625" style="24" customWidth="1"/>
    <col min="116" max="116" width="40.7109375" style="8" hidden="1" customWidth="1"/>
    <col min="117" max="117" width="9.140625" style="13" hidden="1" customWidth="1"/>
    <col min="118" max="118" width="9.140625" style="37" hidden="1" customWidth="1"/>
    <col min="119" max="119" width="9.140625" style="22" hidden="1" customWidth="1"/>
    <col min="120" max="123" width="9.140625" style="22"/>
    <col min="124" max="124" width="9.140625" style="22" hidden="1" customWidth="1"/>
    <col min="125" max="16384" width="9.140625" style="22"/>
  </cols>
  <sheetData>
    <row r="1" spans="1:124" s="6" customFormat="1" ht="48" customHeight="1" thickBot="1" x14ac:dyDescent="0.25">
      <c r="A1" s="4"/>
      <c r="B1" s="117"/>
      <c r="C1" s="4"/>
      <c r="D1" s="4"/>
      <c r="E1" s="4"/>
      <c r="F1" s="4"/>
      <c r="G1" s="5"/>
      <c r="H1" s="4"/>
      <c r="I1" s="4"/>
      <c r="J1" s="4"/>
      <c r="K1" s="4"/>
      <c r="L1" s="4"/>
      <c r="M1" s="4"/>
      <c r="N1" s="4"/>
      <c r="O1" s="4"/>
      <c r="P1" s="4"/>
      <c r="Q1" s="4"/>
      <c r="R1" s="4"/>
      <c r="S1" s="4"/>
      <c r="T1" s="4"/>
      <c r="U1" s="4"/>
      <c r="V1" s="4"/>
      <c r="W1" s="4"/>
      <c r="X1" s="4"/>
      <c r="Y1" s="4"/>
      <c r="Z1" s="118" t="s">
        <v>208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4"/>
      <c r="BP1" s="8"/>
      <c r="CB1" s="4"/>
      <c r="CC1" s="4"/>
      <c r="CD1" s="4"/>
      <c r="CE1" s="4"/>
      <c r="CF1" s="4"/>
      <c r="CG1" s="4"/>
      <c r="CH1" s="4"/>
      <c r="CI1" s="4"/>
      <c r="CJ1" s="4"/>
      <c r="CK1" s="4"/>
      <c r="CL1" s="4"/>
      <c r="CM1" s="4"/>
      <c r="CN1" s="4"/>
      <c r="CO1" s="4"/>
      <c r="CP1" s="4"/>
      <c r="CQ1" s="4"/>
      <c r="CR1" s="4"/>
      <c r="CS1" s="4"/>
      <c r="CT1" s="4"/>
      <c r="DK1" s="4"/>
      <c r="DL1" s="209"/>
      <c r="DM1" s="147"/>
      <c r="DN1" s="148"/>
    </row>
    <row r="2" spans="1:124" s="6" customFormat="1" ht="21" customHeight="1" thickTop="1" thickBot="1" x14ac:dyDescent="0.25">
      <c r="A2" s="9"/>
      <c r="B2" s="265" t="str">
        <f>$BP$39</f>
        <v>Week 1 Final</v>
      </c>
      <c r="C2" s="266"/>
      <c r="D2" s="266"/>
      <c r="E2" s="266"/>
      <c r="F2" s="267"/>
      <c r="G2" s="252" t="s">
        <v>196</v>
      </c>
      <c r="H2" s="252"/>
      <c r="I2" s="252"/>
      <c r="J2" s="174">
        <f>IF(G2="","",IF(AND(COUNTBLANK($BD$5:$BD$10)&lt;4,I12=1),$BO$8/$BO$14,0) + IF(AND(COUNTBLANK($BD$15:$BD$18)&lt;4,I20=1),$BO$8/$BO$22,0) + IF(AND(COUNTBLANK($BD$23:$BD$24)&lt;2,I26=1),$BO$8/$BO$28,0) + IF(AND(COUNTBLANK($BD$29:$BD$29)&lt;1,I31=1),$BO$8/$BO$33,0) + IF($BD$5="",0,IF(I34=2,$BO$10/$BP$35,0)) + IF($BD$5="",0,IF(I34=1,$BO$9/$BO$35,0)) + IF($BD$5="",0,IF(AND($BP$35=0,I34=1),$BO$10/$BO$35,0)) - $BO$6)</f>
        <v>-10</v>
      </c>
      <c r="K2" s="251" t="s">
        <v>197</v>
      </c>
      <c r="L2" s="252"/>
      <c r="M2" s="252"/>
      <c r="N2" s="174">
        <f>IF(K2="","",IF(AND(COUNTBLANK($BD$5:$BD$10)&lt;4,M12=1),$BO$8/$BO$14,0) + IF(AND(COUNTBLANK($BD$15:$BD$18)&lt;4,M20=1),$BO$8/$BO$22,0) + IF(AND(COUNTBLANK($BD$23:$BD$24)&lt;2,M26=1),$BO$8/$BO$28,0) + IF(AND(COUNTBLANK($BD$29:$BD$29)&lt;1,M31=1),$BO$8/$BO$33,0) + IF($BD$5="",0,IF(M34=2,$BO$10/$BP$35,0)) + IF($BD$5="",0,IF(M34=1,$BO$9/$BO$35,0)) + IF($BD$5="",0,IF(AND($BP$35=0,M34=1),$BO$10/$BO$35,0)) - $BO$6)</f>
        <v>60</v>
      </c>
      <c r="O2" s="251" t="s">
        <v>198</v>
      </c>
      <c r="P2" s="252"/>
      <c r="Q2" s="252"/>
      <c r="R2" s="174">
        <f>IF(O2="","",IF(AND(COUNTBLANK($BD$5:$BD$10)&lt;4,Q12=1),$BO$8/$BO$14,0) + IF(AND(COUNTBLANK($BD$15:$BD$18)&lt;4,Q20=1),$BO$8/$BO$22,0) + IF(AND(COUNTBLANK($BD$23:$BD$24)&lt;2,Q26=1),$BO$8/$BO$28,0) + IF(AND(COUNTBLANK($BD$29:$BD$29)&lt;1,Q31=1),$BO$8/$BO$33,0) + IF($BD$5="",0,IF(Q34=2,$BO$10/$BP$35,0)) + IF($BD$5="",0,IF(Q34=1,$BO$9/$BO$35,0)) + IF($BD$5="",0,IF(AND($BP$35=0,Q34=1),$BO$10/$BO$35,0)) - $BO$6)</f>
        <v>-10</v>
      </c>
      <c r="S2" s="251" t="s">
        <v>199</v>
      </c>
      <c r="T2" s="252"/>
      <c r="U2" s="252"/>
      <c r="V2" s="174">
        <f>IF(S2="","",IF(AND(COUNTBLANK($BD$5:$BD$10)&lt;4,U12=1),$BO$8/$BO$14,0) + IF(AND(COUNTBLANK($BD$15:$BD$18)&lt;4,U20=1),$BO$8/$BO$22,0) + IF(AND(COUNTBLANK($BD$23:$BD$24)&lt;2,U26=1),$BO$8/$BO$28,0) + IF(AND(COUNTBLANK($BD$29:$BD$29)&lt;1,U31=1),$BO$8/$BO$33,0) + IF($BD$5="",0,IF(U34=2,$BO$10/$BP$35,0)) + IF($BD$5="",0,IF(U34=1,$BO$9/$BO$35,0)) + IF($BD$5="",0,IF(AND($BP$35=0,U34=1),$BO$10/$BO$35,0)) - $BO$6)</f>
        <v>-10</v>
      </c>
      <c r="W2" s="251" t="s">
        <v>200</v>
      </c>
      <c r="X2" s="252"/>
      <c r="Y2" s="252"/>
      <c r="Z2" s="174">
        <f>IF(W2="","",IF(AND(COUNTBLANK($BD$5:$BD$10)&lt;4,Y12=1),$BO$8/$BO$14,0) + IF(AND(COUNTBLANK($BD$15:$BD$18)&lt;4,Y20=1),$BO$8/$BO$22,0) + IF(AND(COUNTBLANK($BD$23:$BD$24)&lt;2,Y26=1),$BO$8/$BO$28,0) + IF(AND(COUNTBLANK($BD$29:$BD$29)&lt;1,Y31=1),$BO$8/$BO$33,0) + IF($BD$5="",0,IF(Y34=2,$BO$10/$BP$35,0)) + IF($BD$5="",0,IF(Y34=1,$BO$9/$BO$35,0)) + IF($BD$5="",0,IF(AND($BP$35=0,Y34=1),$BO$10/$BO$35,0)) - $BO$6)</f>
        <v>-10</v>
      </c>
      <c r="AA2" s="251" t="s">
        <v>201</v>
      </c>
      <c r="AB2" s="252"/>
      <c r="AC2" s="252"/>
      <c r="AD2" s="174">
        <f>IF(AA2="","",IF(AND(COUNTBLANK($BD$5:$BD$10)&lt;4,AC12=1),$BO$8/$BO$14,0) + IF(AND(COUNTBLANK($BD$15:$BD$18)&lt;4,AC20=1),$BO$8/$BO$22,0) + IF(AND(COUNTBLANK($BD$23:$BD$24)&lt;2,AC26=1),$BO$8/$BO$28,0) + IF(AND(COUNTBLANK($BD$29:$BD$29)&lt;1,AC31=1),$BO$8/$BO$33,0) + IF($BD$5="",0,IF(AC34=2,$BO$10/$BP$35,0)) + IF($BD$5="",0,IF(AC34=1,$BO$9/$BO$35,0)) + IF($BD$5="",0,IF(AND($BP$35=0,AC34=1),$BO$10/$BO$35,0)) - $BO$6)</f>
        <v>-10</v>
      </c>
      <c r="AE2" s="251" t="s">
        <v>202</v>
      </c>
      <c r="AF2" s="252"/>
      <c r="AG2" s="252"/>
      <c r="AH2" s="174">
        <f>IF(AE2="","",IF(AND(COUNTBLANK($BD$5:$BD$10)&lt;4,AG12=1),$BO$8/$BO$14,0) + IF(AND(COUNTBLANK($BD$15:$BD$18)&lt;4,AG20=1),$BO$8/$BO$22,0) + IF(AND(COUNTBLANK($BD$23:$BD$24)&lt;2,AG26=1),$BO$8/$BO$28,0) + IF(AND(COUNTBLANK($BD$29:$BD$29)&lt;1,AG31=1),$BO$8/$BO$33,0) + IF($BD$5="",0,IF(AG34=2,$BO$10/$BP$35,0)) + IF($BD$5="",0,IF(AG34=1,$BO$9/$BO$35,0)) + IF($BD$5="",0,IF(AND($BP$35=0,AG34=1),$BO$10/$BO$35,0)) - $BO$6)</f>
        <v>-10</v>
      </c>
      <c r="AI2" s="251" t="s">
        <v>203</v>
      </c>
      <c r="AJ2" s="252"/>
      <c r="AK2" s="252"/>
      <c r="AL2" s="174">
        <f>IF(AI2="","",IF(AND(COUNTBLANK($BD$5:$BD$10)&lt;4,AK12=1),$BO$8/$BO$14,0) + IF(AND(COUNTBLANK($BD$15:$BD$18)&lt;4,AK20=1),$BO$8/$BO$22,0) + IF(AND(COUNTBLANK($BD$23:$BD$24)&lt;2,AK26=1),$BO$8/$BO$28,0) + IF(AND(COUNTBLANK($BD$29:$BD$29)&lt;1,AK31=1),$BO$8/$BO$33,0) + IF($BD$5="",0,IF(AK34=2,$BO$10/$BP$35,0)) + IF($BD$5="",0,IF(AK34=1,$BO$9/$BO$35,0)) + IF($BD$5="",0,IF(AND($BP$35=0,AK34=1),$BO$10/$BO$35,0)) - $BO$6)</f>
        <v>-10</v>
      </c>
      <c r="AM2" s="251" t="s">
        <v>204</v>
      </c>
      <c r="AN2" s="252"/>
      <c r="AO2" s="252"/>
      <c r="AP2" s="174">
        <f>IF(AM2="","",IF(AND(COUNTBLANK($BD$5:$BD$10)&lt;4,AO12=1),$BO$8/$BO$14,0) + IF(AND(COUNTBLANK($BD$15:$BD$18)&lt;4,AO20=1),$BO$8/$BO$22,0) + IF(AND(COUNTBLANK($BD$23:$BD$24)&lt;2,AO26=1),$BO$8/$BO$28,0) + IF(AND(COUNTBLANK($BD$29:$BD$29)&lt;1,AO31=1),$BO$8/$BO$33,0) + IF($BD$5="",0,IF(AO34=2,$BO$10/$BP$35,0)) + IF($BD$5="",0,IF(AO34=1,$BO$9/$BO$35,0)) + IF($BD$5="",0,IF(AND($BP$35=0,AO34=1),$BO$10/$BO$35,0)) - $BO$6)</f>
        <v>10</v>
      </c>
      <c r="AQ2" s="251" t="s">
        <v>205</v>
      </c>
      <c r="AR2" s="252"/>
      <c r="AS2" s="252"/>
      <c r="AT2" s="174">
        <f>IF(AQ2="","",IF(AND(COUNTBLANK($BD$5:$BD$10)&lt;4,AS12=1),$BO$8/$BO$14,0) + IF(AND(COUNTBLANK($BD$15:$BD$18)&lt;4,AS20=1),$BO$8/$BO$22,0) + IF(AND(COUNTBLANK($BD$23:$BD$24)&lt;2,AS26=1),$BO$8/$BO$28,0) + IF(AND(COUNTBLANK($BD$29:$BD$29)&lt;1,AS31=1),$BO$8/$BO$33,0) + IF($BD$5="",0,IF(AS34=2,$BO$10/$BP$35,0)) + IF($BD$5="",0,IF(AS34=1,$BO$9/$BO$35,0)) + IF($BD$5="",0,IF(AND($BP$35=0,AS34=1),$BO$10/$BO$35,0)) - $BO$6)</f>
        <v>-10</v>
      </c>
      <c r="AU2" s="251" t="s">
        <v>206</v>
      </c>
      <c r="AV2" s="252"/>
      <c r="AW2" s="252"/>
      <c r="AX2" s="174">
        <f>IF(AU2="","",IF(AND(COUNTBLANK($BD$5:$BD$10)&lt;4,AW12=1),$BO$8/$BO$14,0) + IF(AND(COUNTBLANK($BD$15:$BD$18)&lt;4,AW20=1),$BO$8/$BO$22,0) + IF(AND(COUNTBLANK($BD$23:$BD$24)&lt;2,AW26=1),$BO$8/$BO$28,0) + IF(AND(COUNTBLANK($BD$29:$BD$29)&lt;1,AW31=1),$BO$8/$BO$33,0) + IF($BD$5="",0,IF(AW34=2,$BO$10/$BP$35,0)) + IF($BD$5="",0,IF(AW34=1,$BO$9/$BO$35,0)) + IF($BD$5="",0,IF(AND($BP$35=0,AW34=1),$BO$10/$BO$35,0)) - $BO$6)</f>
        <v>-10</v>
      </c>
      <c r="AY2" s="251" t="s">
        <v>207</v>
      </c>
      <c r="AZ2" s="252"/>
      <c r="BA2" s="252"/>
      <c r="BB2" s="175">
        <f>IF(AY2="","",IF(AND(COUNTBLANK($BD$5:$BD$10)&lt;4,BA12=1),$BO$8/$BO$14,0) + IF(AND(COUNTBLANK($BD$15:$BD$18)&lt;4,BA20=1),$BO$8/$BO$22,0) + IF(AND(COUNTBLANK($BD$23:$BD$24)&lt;2,BA26=1),$BO$8/$BO$28,0) + IF(AND(COUNTBLANK($BD$29:$BD$29)&lt;1,BA31=1),$BO$8/$BO$33,0) + IF($BD$5="",0,IF(BA34=2,$BO$10/$BP$35,0)) + IF($BD$5="",0,IF(BA34=1,$BO$9/$BO$35,0)) + IF($BD$5="",0,IF(AND($BP$35=0,BA34=1),$BO$10/$BO$35,0)) - $BO$6)</f>
        <v>-10</v>
      </c>
      <c r="BC2" s="129"/>
      <c r="BD2" s="128"/>
      <c r="BE2" s="128"/>
      <c r="BF2" s="128"/>
      <c r="BG2" s="128"/>
      <c r="BH2" s="7"/>
      <c r="BI2" s="261" t="s">
        <v>59</v>
      </c>
      <c r="BJ2" s="252"/>
      <c r="BK2" s="252"/>
      <c r="BL2" s="262"/>
      <c r="BQ2" s="10"/>
      <c r="BR2" s="10"/>
      <c r="BS2" s="10"/>
      <c r="BT2" s="10"/>
      <c r="BU2" s="10"/>
      <c r="BV2" s="10"/>
      <c r="BW2" s="10"/>
      <c r="BX2" s="10"/>
      <c r="BY2" s="11"/>
      <c r="BZ2" s="11"/>
      <c r="CA2" s="12"/>
      <c r="CB2" s="4"/>
      <c r="CC2" s="4"/>
      <c r="CD2" s="4"/>
      <c r="CE2" s="4"/>
      <c r="CF2" s="4"/>
      <c r="CG2" s="4"/>
      <c r="CH2" s="4"/>
      <c r="CI2" s="4"/>
      <c r="CJ2" s="4"/>
      <c r="CK2" s="4"/>
      <c r="CL2" s="4"/>
      <c r="CM2" s="4"/>
      <c r="CN2" s="4"/>
      <c r="CO2" s="4"/>
      <c r="CP2" s="4"/>
      <c r="CQ2" s="4"/>
      <c r="CR2" s="4"/>
      <c r="CS2" s="4"/>
      <c r="CT2" s="4"/>
      <c r="DK2" s="4"/>
      <c r="DL2" s="210"/>
    </row>
    <row r="3" spans="1:124" s="6" customFormat="1" ht="8.1" customHeight="1" thickBot="1" x14ac:dyDescent="0.25">
      <c r="A3" s="9"/>
      <c r="B3" s="130"/>
      <c r="C3" s="63"/>
      <c r="D3" s="63"/>
      <c r="E3" s="122"/>
      <c r="F3" s="131"/>
      <c r="G3" s="126"/>
      <c r="H3" s="110"/>
      <c r="I3" s="126"/>
      <c r="J3" s="132"/>
      <c r="K3" s="126"/>
      <c r="L3" s="110"/>
      <c r="M3" s="126"/>
      <c r="N3" s="132"/>
      <c r="O3" s="126"/>
      <c r="P3" s="110"/>
      <c r="Q3" s="126"/>
      <c r="R3" s="132"/>
      <c r="S3" s="126"/>
      <c r="T3" s="110"/>
      <c r="U3" s="126"/>
      <c r="V3" s="132"/>
      <c r="W3" s="126"/>
      <c r="X3" s="110"/>
      <c r="Y3" s="126"/>
      <c r="Z3" s="132"/>
      <c r="AA3" s="126"/>
      <c r="AB3" s="110"/>
      <c r="AC3" s="126"/>
      <c r="AD3" s="132"/>
      <c r="AE3" s="126"/>
      <c r="AF3" s="110"/>
      <c r="AG3" s="126"/>
      <c r="AH3" s="132"/>
      <c r="AI3" s="126"/>
      <c r="AJ3" s="110"/>
      <c r="AK3" s="126"/>
      <c r="AL3" s="132"/>
      <c r="AM3" s="126"/>
      <c r="AN3" s="110"/>
      <c r="AO3" s="126"/>
      <c r="AP3" s="132"/>
      <c r="AQ3" s="126"/>
      <c r="AR3" s="110"/>
      <c r="AS3" s="126"/>
      <c r="AT3" s="132"/>
      <c r="AU3" s="126"/>
      <c r="AV3" s="110"/>
      <c r="AW3" s="126"/>
      <c r="AX3" s="132"/>
      <c r="AY3" s="126"/>
      <c r="AZ3" s="110"/>
      <c r="BA3" s="126"/>
      <c r="BB3" s="111"/>
      <c r="BC3" s="76"/>
      <c r="BD3" s="76"/>
      <c r="BE3" s="76"/>
      <c r="BF3" s="76"/>
      <c r="BG3" s="76"/>
      <c r="BH3" s="23"/>
      <c r="BI3" s="178"/>
      <c r="BJ3" s="110"/>
      <c r="BK3" s="126"/>
      <c r="BL3" s="111"/>
      <c r="BQ3" s="10"/>
      <c r="BR3" s="10"/>
      <c r="BS3" s="10"/>
      <c r="BT3" s="10"/>
      <c r="BU3" s="10"/>
      <c r="BV3" s="10"/>
      <c r="BW3" s="10"/>
      <c r="BX3" s="10"/>
      <c r="BY3" s="11"/>
      <c r="BZ3" s="11"/>
      <c r="CA3" s="12"/>
      <c r="CB3" s="4"/>
      <c r="CC3" s="4"/>
      <c r="CD3" s="4"/>
      <c r="CE3" s="4"/>
      <c r="CF3" s="4"/>
      <c r="CG3" s="4"/>
      <c r="CH3" s="4"/>
      <c r="CI3" s="4"/>
      <c r="CJ3" s="4"/>
      <c r="CK3" s="4"/>
      <c r="CL3" s="4"/>
      <c r="CM3" s="4"/>
      <c r="CN3" s="4"/>
      <c r="CO3" s="4"/>
      <c r="CP3" s="4"/>
      <c r="CQ3" s="4"/>
      <c r="CR3" s="4"/>
      <c r="CS3" s="4"/>
      <c r="CT3" s="4"/>
      <c r="DK3" s="4"/>
      <c r="DL3" s="8"/>
    </row>
    <row r="4" spans="1:124" s="6" customFormat="1" ht="18" customHeight="1" thickBot="1" x14ac:dyDescent="0.25">
      <c r="A4" s="13"/>
      <c r="B4" s="258" t="s">
        <v>121</v>
      </c>
      <c r="C4" s="259"/>
      <c r="D4" s="259"/>
      <c r="E4" s="259"/>
      <c r="F4" s="260"/>
      <c r="G4" s="169"/>
      <c r="H4" s="169" t="s">
        <v>125</v>
      </c>
      <c r="I4" s="170"/>
      <c r="J4" s="171" t="s">
        <v>1</v>
      </c>
      <c r="K4" s="172"/>
      <c r="L4" s="169" t="s">
        <v>125</v>
      </c>
      <c r="M4" s="170"/>
      <c r="N4" s="171" t="s">
        <v>1</v>
      </c>
      <c r="O4" s="172"/>
      <c r="P4" s="169" t="s">
        <v>125</v>
      </c>
      <c r="Q4" s="170"/>
      <c r="R4" s="171" t="s">
        <v>1</v>
      </c>
      <c r="S4" s="172"/>
      <c r="T4" s="169" t="s">
        <v>125</v>
      </c>
      <c r="U4" s="170"/>
      <c r="V4" s="171" t="s">
        <v>1</v>
      </c>
      <c r="W4" s="172"/>
      <c r="X4" s="169" t="s">
        <v>125</v>
      </c>
      <c r="Y4" s="170"/>
      <c r="Z4" s="171" t="s">
        <v>1</v>
      </c>
      <c r="AA4" s="172"/>
      <c r="AB4" s="169" t="s">
        <v>125</v>
      </c>
      <c r="AC4" s="170"/>
      <c r="AD4" s="171" t="s">
        <v>1</v>
      </c>
      <c r="AE4" s="172"/>
      <c r="AF4" s="169" t="s">
        <v>125</v>
      </c>
      <c r="AG4" s="170"/>
      <c r="AH4" s="171" t="s">
        <v>1</v>
      </c>
      <c r="AI4" s="172"/>
      <c r="AJ4" s="169" t="s">
        <v>125</v>
      </c>
      <c r="AK4" s="170"/>
      <c r="AL4" s="171" t="s">
        <v>1</v>
      </c>
      <c r="AM4" s="172"/>
      <c r="AN4" s="169" t="s">
        <v>125</v>
      </c>
      <c r="AO4" s="170"/>
      <c r="AP4" s="171" t="s">
        <v>1</v>
      </c>
      <c r="AQ4" s="172"/>
      <c r="AR4" s="169" t="s">
        <v>125</v>
      </c>
      <c r="AS4" s="170"/>
      <c r="AT4" s="171" t="s">
        <v>1</v>
      </c>
      <c r="AU4" s="172"/>
      <c r="AV4" s="169" t="s">
        <v>125</v>
      </c>
      <c r="AW4" s="170"/>
      <c r="AX4" s="171" t="s">
        <v>1</v>
      </c>
      <c r="AY4" s="172"/>
      <c r="AZ4" s="169" t="s">
        <v>125</v>
      </c>
      <c r="BA4" s="170"/>
      <c r="BB4" s="173" t="s">
        <v>1</v>
      </c>
      <c r="BC4" s="263" t="s">
        <v>117</v>
      </c>
      <c r="BD4" s="264"/>
      <c r="BE4" s="264"/>
      <c r="BF4" s="264"/>
      <c r="BG4" s="264"/>
      <c r="BH4" s="7"/>
      <c r="BI4" s="179"/>
      <c r="BJ4" s="169" t="s">
        <v>125</v>
      </c>
      <c r="BK4" s="170"/>
      <c r="BL4" s="173" t="s">
        <v>1</v>
      </c>
      <c r="BQ4" s="13"/>
      <c r="BR4" s="13"/>
      <c r="BS4" s="13"/>
      <c r="BT4" s="13"/>
      <c r="BU4" s="13"/>
      <c r="BV4" s="13"/>
      <c r="BW4" s="13"/>
      <c r="BX4" s="13"/>
      <c r="BY4" s="11"/>
      <c r="BZ4" s="11"/>
      <c r="CA4" s="4"/>
      <c r="CB4" s="4"/>
      <c r="CC4" s="4"/>
      <c r="CD4" s="4"/>
      <c r="CE4" s="4"/>
      <c r="CF4" s="4"/>
      <c r="CG4" s="4"/>
      <c r="CH4" s="4"/>
      <c r="CI4" s="4"/>
      <c r="CJ4" s="4"/>
      <c r="CK4" s="4"/>
      <c r="CL4" s="4"/>
      <c r="CM4" s="4"/>
      <c r="CN4" s="4"/>
      <c r="CO4" s="4"/>
      <c r="CP4" s="4"/>
      <c r="CQ4" s="4"/>
      <c r="CR4" s="4"/>
      <c r="CS4" s="4"/>
      <c r="CT4" s="4"/>
      <c r="DK4" s="4"/>
      <c r="DL4" s="176" t="s">
        <v>128</v>
      </c>
    </row>
    <row r="5" spans="1:124" s="6" customFormat="1" ht="15" customHeight="1" x14ac:dyDescent="0.2">
      <c r="A5" s="17"/>
      <c r="B5" s="283">
        <v>23</v>
      </c>
      <c r="C5" s="68" t="s">
        <v>211</v>
      </c>
      <c r="D5" s="68" t="s">
        <v>3</v>
      </c>
      <c r="E5" s="238" t="s">
        <v>212</v>
      </c>
      <c r="F5" s="286">
        <v>41</v>
      </c>
      <c r="G5" s="78" t="s">
        <v>9</v>
      </c>
      <c r="H5" s="78" t="s">
        <v>0</v>
      </c>
      <c r="I5" s="79">
        <v>11</v>
      </c>
      <c r="J5" s="74">
        <f t="shared" ref="J5:J10" si="0">IF(OR(G$2="",G5="",I5=""),"",IF($BD5="","",IF(G5=$BD5,ABS(I5-$BF5),ABS(I5+$BF5))+IF(G5&lt;&gt;$BD5,$BO$7,0)))</f>
        <v>7</v>
      </c>
      <c r="K5" s="241" t="s">
        <v>9</v>
      </c>
      <c r="L5" s="78" t="s">
        <v>0</v>
      </c>
      <c r="M5" s="79">
        <v>15</v>
      </c>
      <c r="N5" s="74">
        <f t="shared" ref="N5:N10" si="1">IF(OR(K$2="",K5="",M5=""),"",IF($BD5="","",IF(K5=$BD5,ABS(M5-$BF5),ABS(M5+$BF5))+IF(K5&lt;&gt;$BD5,$BO$7,0)))</f>
        <v>3</v>
      </c>
      <c r="O5" s="241" t="s">
        <v>9</v>
      </c>
      <c r="P5" s="78" t="s">
        <v>0</v>
      </c>
      <c r="Q5" s="79">
        <v>9</v>
      </c>
      <c r="R5" s="74">
        <f t="shared" ref="R5:R10" si="2">IF(OR(O$2="",O5="",Q5=""),"",IF($BD5="","",IF(O5=$BD5,ABS(Q5-$BF5),ABS(Q5+$BF5))+IF(O5&lt;&gt;$BD5,$BO$7,0)))</f>
        <v>9</v>
      </c>
      <c r="S5" s="241" t="s">
        <v>9</v>
      </c>
      <c r="T5" s="78" t="s">
        <v>0</v>
      </c>
      <c r="U5" s="79">
        <v>17</v>
      </c>
      <c r="V5" s="74">
        <f t="shared" ref="V5:V10" si="3">IF(OR(S$2="",S5="",U5=""),"",IF($BD5="","",IF(S5=$BD5,ABS(U5-$BF5),ABS(U5+$BF5))+IF(S5&lt;&gt;$BD5,$BO$7,0)))</f>
        <v>1</v>
      </c>
      <c r="W5" s="241" t="s">
        <v>9</v>
      </c>
      <c r="X5" s="78" t="s">
        <v>0</v>
      </c>
      <c r="Y5" s="79">
        <v>10</v>
      </c>
      <c r="Z5" s="74">
        <f t="shared" ref="Z5:Z10" si="4">IF(OR(W$2="",W5="",Y5=""),"",IF($BD5="","",IF(W5=$BD5,ABS(Y5-$BF5),ABS(Y5+$BF5))+IF(W5&lt;&gt;$BD5,$BO$7,0)))</f>
        <v>8</v>
      </c>
      <c r="AA5" s="241" t="s">
        <v>9</v>
      </c>
      <c r="AB5" s="78" t="s">
        <v>0</v>
      </c>
      <c r="AC5" s="79">
        <v>14</v>
      </c>
      <c r="AD5" s="74">
        <f t="shared" ref="AD5:AD10" si="5">IF(OR(AA$2="",AA5="",AC5=""),"",IF($BD5="","",IF(AA5=$BD5,ABS(AC5-$BF5),ABS(AC5+$BF5))+IF(AA5&lt;&gt;$BD5,$BO$7,0)))</f>
        <v>4</v>
      </c>
      <c r="AE5" s="241" t="s">
        <v>9</v>
      </c>
      <c r="AF5" s="78" t="s">
        <v>0</v>
      </c>
      <c r="AG5" s="79">
        <v>12</v>
      </c>
      <c r="AH5" s="74">
        <f t="shared" ref="AH5:AH10" si="6">IF(OR(AE$2="",AE5="",AG5=""),"",IF($BD5="","",IF(AE5=$BD5,ABS(AG5-$BF5),ABS(AG5+$BF5))+IF(AE5&lt;&gt;$BD5,$BO$7,0)))</f>
        <v>6</v>
      </c>
      <c r="AI5" s="241" t="s">
        <v>9</v>
      </c>
      <c r="AJ5" s="78" t="s">
        <v>0</v>
      </c>
      <c r="AK5" s="79">
        <v>9</v>
      </c>
      <c r="AL5" s="74">
        <f t="shared" ref="AL5:AL10" si="7">IF(OR(AI$2="",AI5="",AK5=""),"",IF($BD5="","",IF(AI5=$BD5,ABS(AK5-$BF5),ABS(AK5+$BF5))+IF(AI5&lt;&gt;$BD5,$BO$7,0)))</f>
        <v>9</v>
      </c>
      <c r="AM5" s="241" t="s">
        <v>9</v>
      </c>
      <c r="AN5" s="78" t="s">
        <v>0</v>
      </c>
      <c r="AO5" s="79">
        <v>14</v>
      </c>
      <c r="AP5" s="74">
        <f t="shared" ref="AP5:AP10" si="8">IF(OR(AM$2="",AM5="",AO5=""),"",IF($BD5="","",IF(AM5=$BD5,ABS(AO5-$BF5),ABS(AO5+$BF5))+IF(AM5&lt;&gt;$BD5,$BO$7,0)))</f>
        <v>4</v>
      </c>
      <c r="AQ5" s="241" t="s">
        <v>9</v>
      </c>
      <c r="AR5" s="78" t="s">
        <v>0</v>
      </c>
      <c r="AS5" s="79">
        <v>13</v>
      </c>
      <c r="AT5" s="74">
        <f t="shared" ref="AT5:AT10" si="9">IF(OR(AQ$2="",AQ5="",AS5=""),"",IF($BD5="","",IF(AQ5=$BD5,ABS(AS5-$BF5),ABS(AS5+$BF5))+IF(AQ5&lt;&gt;$BD5,$BO$7,0)))</f>
        <v>5</v>
      </c>
      <c r="AU5" s="241" t="s">
        <v>9</v>
      </c>
      <c r="AV5" s="78" t="s">
        <v>0</v>
      </c>
      <c r="AW5" s="79">
        <v>10</v>
      </c>
      <c r="AX5" s="74">
        <f t="shared" ref="AX5:AX10" si="10">IF(OR(AU$2="",AU5="",AW5=""),"",IF($BD5="","",IF(AU5=$BD5,ABS(AW5-$BF5),ABS(AW5+$BF5))+IF(AU5&lt;&gt;$BD5,$BO$7,0)))</f>
        <v>8</v>
      </c>
      <c r="AY5" s="241" t="s">
        <v>9</v>
      </c>
      <c r="AZ5" s="78" t="s">
        <v>0</v>
      </c>
      <c r="BA5" s="79">
        <v>6</v>
      </c>
      <c r="BB5" s="75">
        <f t="shared" ref="BB5:BB10" si="11">IF(OR(AY$2="",AY5="",BA5=""),"",IF($BD5="","",IF(AY5=$BD5,ABS(BA5-$BF5),ABS(BA5+$BF5))+IF(AY5&lt;&gt;$BD5,$BO$7,0)))</f>
        <v>12</v>
      </c>
      <c r="BC5" s="76"/>
      <c r="BD5" s="77" t="str">
        <f t="shared" ref="BD5:BD10" si="12">IF(OR(B5="",F5="",B5=F5),"",IF(B5&gt;F5,"V","H"))</f>
        <v>H</v>
      </c>
      <c r="BE5" s="77" t="s">
        <v>0</v>
      </c>
      <c r="BF5" s="77">
        <f t="shared" ref="BF5:BF10" si="13">IF(OR(B5="",F5="",B5=F5),"",ABS(B5-F5))</f>
        <v>18</v>
      </c>
      <c r="BG5" s="77"/>
      <c r="BH5" s="77">
        <f t="shared" ref="BH5:BH6" si="14">SUM(IF(G5="H",I5,-I5),IF(K5="H",M5,-M5),IF(O5="H",Q5,-Q5),IF(S5="H",U5,-U5),IF(W5="H",Y5,-Y5),IF(AA5="H",AC5,-AC5),IF(AE5="H",AG5,-AG5),IF(AI5="H",AK5,-AK5),IF(AM5="H",AO5,-AO5),IF(AQ5="H",AS5,-AS5),IF(AU5="H",AW5,-AW5),IF(AY5="H",BA5,-BA5))</f>
        <v>140</v>
      </c>
      <c r="BI5" s="180" t="str">
        <f t="shared" ref="BI5:BI10" si="15">IF(COUNTA(G5,K5,O5,S5,W5,AA5,AE5,AI5,AM5,AQ5,AU5,AY5)&gt;0,IF(BH5&lt;0,"V","H"),"")</f>
        <v>H</v>
      </c>
      <c r="BJ5" s="78" t="s">
        <v>0</v>
      </c>
      <c r="BK5" s="79">
        <f t="shared" ref="BK5:BK10" si="16">IF(BI5="","",IF(ABS(BH5)&lt;(COUNTA(G5,K5,O5,S5,W5,AA5,AE5,AI5,AM5,AQ5,AU5,AY5)/2),1,ROUND(ABS(BH5)/COUNTA(G5,K5,O5,S5,W5,AA5,AE5,AI5,AM5,AQ5,AU5,AY5),0)))</f>
        <v>12</v>
      </c>
      <c r="BL5" s="75">
        <f t="shared" ref="BL5:BL10" si="17">IF(OR(BI5="",BK5=""),"",IF($BD5="","",IF(BI5=$BD5,ABS(BK5-$BF5),ABS(BK5+$BF5))+IF(BI5&lt;&gt;$BD5,$BO$7,0)))</f>
        <v>6</v>
      </c>
      <c r="BM5" s="18"/>
      <c r="BO5" s="14"/>
      <c r="BP5" s="15"/>
      <c r="BQ5" s="19"/>
      <c r="BR5" s="19"/>
      <c r="BS5" s="19"/>
      <c r="BT5" s="19"/>
      <c r="BU5" s="19"/>
      <c r="BV5" s="19"/>
      <c r="BW5" s="19"/>
      <c r="BX5" s="19"/>
      <c r="BY5" s="11"/>
      <c r="BZ5" s="11"/>
      <c r="CA5" s="20"/>
      <c r="CB5" s="4"/>
      <c r="CC5" s="4"/>
      <c r="CD5" s="4"/>
      <c r="CE5" s="4"/>
      <c r="CF5" s="4"/>
      <c r="CG5" s="4"/>
      <c r="CH5" s="4"/>
      <c r="CI5" s="4"/>
      <c r="CJ5" s="4"/>
      <c r="CK5" s="4"/>
      <c r="CL5" s="4"/>
      <c r="CM5" s="4"/>
      <c r="CN5" s="4"/>
      <c r="CO5" s="4"/>
      <c r="CP5" s="4"/>
      <c r="CQ5" s="4"/>
      <c r="CR5" s="4"/>
      <c r="CS5" s="4"/>
      <c r="CT5" s="4"/>
      <c r="DK5" s="4"/>
      <c r="DL5" s="177" t="s">
        <v>193</v>
      </c>
      <c r="DM5" s="13" t="s">
        <v>24</v>
      </c>
      <c r="DN5" s="13" t="s">
        <v>25</v>
      </c>
    </row>
    <row r="6" spans="1:124" s="6" customFormat="1" ht="15" customHeight="1" x14ac:dyDescent="0.2">
      <c r="A6" s="17"/>
      <c r="B6" s="284">
        <v>30</v>
      </c>
      <c r="C6" s="78" t="s">
        <v>213</v>
      </c>
      <c r="D6" s="78" t="s">
        <v>3</v>
      </c>
      <c r="E6" s="239" t="s">
        <v>214</v>
      </c>
      <c r="F6" s="287">
        <v>31</v>
      </c>
      <c r="G6" s="78" t="s">
        <v>9</v>
      </c>
      <c r="H6" s="78" t="s">
        <v>0</v>
      </c>
      <c r="I6" s="85">
        <v>2</v>
      </c>
      <c r="J6" s="74">
        <f t="shared" si="0"/>
        <v>1</v>
      </c>
      <c r="K6" s="241" t="s">
        <v>9</v>
      </c>
      <c r="L6" s="78" t="s">
        <v>0</v>
      </c>
      <c r="M6" s="85">
        <v>7</v>
      </c>
      <c r="N6" s="74">
        <f t="shared" si="1"/>
        <v>6</v>
      </c>
      <c r="O6" s="241" t="s">
        <v>8</v>
      </c>
      <c r="P6" s="78" t="s">
        <v>0</v>
      </c>
      <c r="Q6" s="85">
        <v>2</v>
      </c>
      <c r="R6" s="74">
        <f t="shared" si="2"/>
        <v>10</v>
      </c>
      <c r="S6" s="241" t="s">
        <v>8</v>
      </c>
      <c r="T6" s="78" t="s">
        <v>0</v>
      </c>
      <c r="U6" s="85">
        <v>1</v>
      </c>
      <c r="V6" s="74">
        <f t="shared" si="3"/>
        <v>9</v>
      </c>
      <c r="W6" s="241" t="s">
        <v>9</v>
      </c>
      <c r="X6" s="78" t="s">
        <v>0</v>
      </c>
      <c r="Y6" s="85">
        <v>7</v>
      </c>
      <c r="Z6" s="74">
        <f t="shared" si="4"/>
        <v>6</v>
      </c>
      <c r="AA6" s="241" t="s">
        <v>8</v>
      </c>
      <c r="AB6" s="78" t="s">
        <v>0</v>
      </c>
      <c r="AC6" s="85">
        <v>3</v>
      </c>
      <c r="AD6" s="74">
        <f t="shared" si="5"/>
        <v>11</v>
      </c>
      <c r="AE6" s="241" t="s">
        <v>8</v>
      </c>
      <c r="AF6" s="78" t="s">
        <v>0</v>
      </c>
      <c r="AG6" s="85">
        <v>5</v>
      </c>
      <c r="AH6" s="74">
        <f t="shared" si="6"/>
        <v>13</v>
      </c>
      <c r="AI6" s="241" t="s">
        <v>8</v>
      </c>
      <c r="AJ6" s="78" t="s">
        <v>0</v>
      </c>
      <c r="AK6" s="85">
        <v>2</v>
      </c>
      <c r="AL6" s="74">
        <f t="shared" si="7"/>
        <v>10</v>
      </c>
      <c r="AM6" s="241" t="s">
        <v>8</v>
      </c>
      <c r="AN6" s="78" t="s">
        <v>0</v>
      </c>
      <c r="AO6" s="85">
        <v>7</v>
      </c>
      <c r="AP6" s="74">
        <f t="shared" si="8"/>
        <v>15</v>
      </c>
      <c r="AQ6" s="241" t="s">
        <v>9</v>
      </c>
      <c r="AR6" s="78" t="s">
        <v>0</v>
      </c>
      <c r="AS6" s="85">
        <v>7</v>
      </c>
      <c r="AT6" s="74">
        <f t="shared" si="9"/>
        <v>6</v>
      </c>
      <c r="AU6" s="241" t="s">
        <v>8</v>
      </c>
      <c r="AV6" s="78" t="s">
        <v>0</v>
      </c>
      <c r="AW6" s="85">
        <v>3</v>
      </c>
      <c r="AX6" s="74">
        <f t="shared" si="10"/>
        <v>11</v>
      </c>
      <c r="AY6" s="241" t="s">
        <v>9</v>
      </c>
      <c r="AZ6" s="78" t="s">
        <v>0</v>
      </c>
      <c r="BA6" s="85">
        <v>6</v>
      </c>
      <c r="BB6" s="84">
        <f t="shared" si="11"/>
        <v>5</v>
      </c>
      <c r="BC6" s="76"/>
      <c r="BD6" s="77" t="str">
        <f t="shared" si="12"/>
        <v>H</v>
      </c>
      <c r="BE6" s="77" t="s">
        <v>0</v>
      </c>
      <c r="BF6" s="77">
        <f t="shared" si="13"/>
        <v>1</v>
      </c>
      <c r="BG6" s="77"/>
      <c r="BH6" s="77">
        <f t="shared" si="14"/>
        <v>6</v>
      </c>
      <c r="BI6" s="180" t="str">
        <f t="shared" si="15"/>
        <v>H</v>
      </c>
      <c r="BJ6" s="78" t="s">
        <v>0</v>
      </c>
      <c r="BK6" s="85">
        <f t="shared" si="16"/>
        <v>1</v>
      </c>
      <c r="BL6" s="84">
        <f t="shared" si="17"/>
        <v>0</v>
      </c>
      <c r="BM6" s="18"/>
      <c r="BO6" s="14">
        <v>10</v>
      </c>
      <c r="BP6" s="15" t="s">
        <v>10</v>
      </c>
      <c r="BQ6" s="19"/>
      <c r="BR6" s="19"/>
      <c r="BS6" s="19"/>
      <c r="BT6" s="19"/>
      <c r="BU6" s="19"/>
      <c r="BV6" s="19"/>
      <c r="BW6" s="19"/>
      <c r="BX6" s="19"/>
      <c r="BY6" s="11"/>
      <c r="BZ6" s="11"/>
      <c r="CB6" s="4"/>
      <c r="CC6" s="4"/>
      <c r="CD6" s="4"/>
      <c r="CE6" s="4"/>
      <c r="CF6" s="4"/>
      <c r="CG6" s="4"/>
      <c r="CH6" s="4"/>
      <c r="CI6" s="4"/>
      <c r="CJ6" s="4"/>
      <c r="CK6" s="4"/>
      <c r="CL6" s="4"/>
      <c r="CM6" s="4"/>
      <c r="CN6" s="4"/>
      <c r="CO6" s="4"/>
      <c r="CP6" s="4"/>
      <c r="CQ6" s="4"/>
      <c r="CR6" s="4"/>
      <c r="CS6" s="4"/>
      <c r="CT6" s="4"/>
      <c r="DK6" s="4"/>
      <c r="DL6" s="211"/>
      <c r="DM6" s="16"/>
      <c r="DN6" s="16" t="s">
        <v>26</v>
      </c>
    </row>
    <row r="7" spans="1:124" s="6" customFormat="1" ht="15" customHeight="1" x14ac:dyDescent="0.2">
      <c r="A7" s="17"/>
      <c r="B7" s="284">
        <v>31</v>
      </c>
      <c r="C7" s="78" t="s">
        <v>215</v>
      </c>
      <c r="D7" s="78" t="s">
        <v>3</v>
      </c>
      <c r="E7" s="239" t="s">
        <v>216</v>
      </c>
      <c r="F7" s="287">
        <v>34</v>
      </c>
      <c r="G7" s="78" t="s">
        <v>9</v>
      </c>
      <c r="H7" s="78" t="s">
        <v>0</v>
      </c>
      <c r="I7" s="85">
        <v>17</v>
      </c>
      <c r="J7" s="74">
        <f t="shared" si="0"/>
        <v>14</v>
      </c>
      <c r="K7" s="241" t="s">
        <v>9</v>
      </c>
      <c r="L7" s="78" t="s">
        <v>0</v>
      </c>
      <c r="M7" s="85">
        <v>9</v>
      </c>
      <c r="N7" s="74">
        <f t="shared" si="1"/>
        <v>6</v>
      </c>
      <c r="O7" s="241" t="s">
        <v>9</v>
      </c>
      <c r="P7" s="78" t="s">
        <v>0</v>
      </c>
      <c r="Q7" s="85">
        <v>13</v>
      </c>
      <c r="R7" s="74">
        <f t="shared" si="2"/>
        <v>10</v>
      </c>
      <c r="S7" s="241" t="s">
        <v>9</v>
      </c>
      <c r="T7" s="78" t="s">
        <v>0</v>
      </c>
      <c r="U7" s="85">
        <v>17</v>
      </c>
      <c r="V7" s="74">
        <f t="shared" si="3"/>
        <v>14</v>
      </c>
      <c r="W7" s="241" t="s">
        <v>9</v>
      </c>
      <c r="X7" s="78" t="s">
        <v>0</v>
      </c>
      <c r="Y7" s="85">
        <v>10</v>
      </c>
      <c r="Z7" s="74">
        <f t="shared" si="4"/>
        <v>7</v>
      </c>
      <c r="AA7" s="241" t="s">
        <v>9</v>
      </c>
      <c r="AB7" s="78" t="s">
        <v>0</v>
      </c>
      <c r="AC7" s="85">
        <v>14</v>
      </c>
      <c r="AD7" s="74">
        <f t="shared" si="5"/>
        <v>11</v>
      </c>
      <c r="AE7" s="241" t="s">
        <v>9</v>
      </c>
      <c r="AF7" s="78" t="s">
        <v>0</v>
      </c>
      <c r="AG7" s="85">
        <v>15</v>
      </c>
      <c r="AH7" s="74">
        <f t="shared" si="6"/>
        <v>12</v>
      </c>
      <c r="AI7" s="241" t="s">
        <v>9</v>
      </c>
      <c r="AJ7" s="78" t="s">
        <v>0</v>
      </c>
      <c r="AK7" s="85">
        <v>13</v>
      </c>
      <c r="AL7" s="74">
        <f t="shared" si="7"/>
        <v>10</v>
      </c>
      <c r="AM7" s="241" t="s">
        <v>9</v>
      </c>
      <c r="AN7" s="78" t="s">
        <v>0</v>
      </c>
      <c r="AO7" s="85">
        <v>7</v>
      </c>
      <c r="AP7" s="74">
        <f t="shared" si="8"/>
        <v>4</v>
      </c>
      <c r="AQ7" s="241" t="s">
        <v>9</v>
      </c>
      <c r="AR7" s="78" t="s">
        <v>0</v>
      </c>
      <c r="AS7" s="85">
        <v>17</v>
      </c>
      <c r="AT7" s="74">
        <f t="shared" si="9"/>
        <v>14</v>
      </c>
      <c r="AU7" s="241" t="s">
        <v>9</v>
      </c>
      <c r="AV7" s="78" t="s">
        <v>0</v>
      </c>
      <c r="AW7" s="85">
        <v>7</v>
      </c>
      <c r="AX7" s="74">
        <f t="shared" si="10"/>
        <v>4</v>
      </c>
      <c r="AY7" s="241" t="s">
        <v>9</v>
      </c>
      <c r="AZ7" s="78" t="s">
        <v>0</v>
      </c>
      <c r="BA7" s="85">
        <v>12</v>
      </c>
      <c r="BB7" s="84">
        <f t="shared" si="11"/>
        <v>9</v>
      </c>
      <c r="BC7" s="76"/>
      <c r="BD7" s="77" t="str">
        <f t="shared" si="12"/>
        <v>H</v>
      </c>
      <c r="BE7" s="77" t="s">
        <v>0</v>
      </c>
      <c r="BF7" s="77">
        <f t="shared" si="13"/>
        <v>3</v>
      </c>
      <c r="BG7" s="77"/>
      <c r="BH7" s="77">
        <f t="shared" ref="BH7:BH10" si="18">SUM(IF(G7="H",I7,-I7),IF(K7="H",M7,-M7),IF(O7="H",Q7,-Q7),IF(S7="H",U7,-U7),IF(W7="H",Y7,-Y7),IF(AA7="H",AC7,-AC7),IF(AE7="H",AG7,-AG7),IF(AI7="H",AK7,-AK7),IF(AM7="H",AO7,-AO7),IF(AQ7="H",AS7,-AS7),IF(AU7="H",AW7,-AW7),IF(AY7="H",BA7,-BA7))</f>
        <v>151</v>
      </c>
      <c r="BI7" s="180" t="str">
        <f t="shared" si="15"/>
        <v>H</v>
      </c>
      <c r="BJ7" s="78" t="s">
        <v>0</v>
      </c>
      <c r="BK7" s="85">
        <f t="shared" si="16"/>
        <v>13</v>
      </c>
      <c r="BL7" s="84">
        <f t="shared" si="17"/>
        <v>10</v>
      </c>
      <c r="BM7" s="18"/>
      <c r="BO7" s="14">
        <v>7</v>
      </c>
      <c r="BP7" s="15" t="s">
        <v>23</v>
      </c>
      <c r="BQ7" s="19"/>
      <c r="BR7" s="19"/>
      <c r="BS7" s="19"/>
      <c r="BT7" s="19"/>
      <c r="BU7" s="19"/>
      <c r="BV7" s="19"/>
      <c r="BW7" s="19"/>
      <c r="BX7" s="19"/>
      <c r="BY7" s="11"/>
      <c r="BZ7" s="11"/>
      <c r="CA7" s="20"/>
      <c r="CB7" s="4"/>
      <c r="CC7" s="4"/>
      <c r="CD7" s="4"/>
      <c r="CE7" s="4"/>
      <c r="CF7" s="4"/>
      <c r="CG7" s="4"/>
      <c r="CH7" s="4"/>
      <c r="CI7" s="4"/>
      <c r="CJ7" s="4"/>
      <c r="CK7" s="4"/>
      <c r="CL7" s="4"/>
      <c r="CM7" s="4"/>
      <c r="CN7" s="4"/>
      <c r="CO7" s="4"/>
      <c r="CP7" s="4"/>
      <c r="CQ7" s="4"/>
      <c r="CR7" s="4"/>
      <c r="CS7" s="4"/>
      <c r="CT7" s="4"/>
      <c r="DK7" s="4"/>
      <c r="DL7" s="211" t="s">
        <v>27</v>
      </c>
      <c r="DM7" s="11"/>
      <c r="DN7" s="11"/>
    </row>
    <row r="8" spans="1:124" s="6" customFormat="1" ht="15" customHeight="1" x14ac:dyDescent="0.2">
      <c r="A8" s="17"/>
      <c r="B8" s="284">
        <v>31</v>
      </c>
      <c r="C8" s="78" t="s">
        <v>217</v>
      </c>
      <c r="D8" s="78" t="s">
        <v>3</v>
      </c>
      <c r="E8" s="239" t="s">
        <v>218</v>
      </c>
      <c r="F8" s="287">
        <v>24</v>
      </c>
      <c r="G8" s="78" t="s">
        <v>9</v>
      </c>
      <c r="H8" s="78" t="s">
        <v>0</v>
      </c>
      <c r="I8" s="85">
        <v>3</v>
      </c>
      <c r="J8" s="74">
        <f t="shared" si="0"/>
        <v>17</v>
      </c>
      <c r="K8" s="241" t="s">
        <v>8</v>
      </c>
      <c r="L8" s="78" t="s">
        <v>0</v>
      </c>
      <c r="M8" s="85">
        <v>3</v>
      </c>
      <c r="N8" s="74">
        <f t="shared" si="1"/>
        <v>4</v>
      </c>
      <c r="O8" s="241" t="s">
        <v>8</v>
      </c>
      <c r="P8" s="78" t="s">
        <v>0</v>
      </c>
      <c r="Q8" s="85">
        <v>3</v>
      </c>
      <c r="R8" s="74">
        <f t="shared" si="2"/>
        <v>4</v>
      </c>
      <c r="S8" s="241" t="s">
        <v>9</v>
      </c>
      <c r="T8" s="78" t="s">
        <v>0</v>
      </c>
      <c r="U8" s="85">
        <v>7</v>
      </c>
      <c r="V8" s="74">
        <f t="shared" si="3"/>
        <v>21</v>
      </c>
      <c r="W8" s="241" t="s">
        <v>9</v>
      </c>
      <c r="X8" s="78" t="s">
        <v>0</v>
      </c>
      <c r="Y8" s="85">
        <v>7</v>
      </c>
      <c r="Z8" s="74">
        <f t="shared" si="4"/>
        <v>21</v>
      </c>
      <c r="AA8" s="241" t="s">
        <v>9</v>
      </c>
      <c r="AB8" s="78" t="s">
        <v>0</v>
      </c>
      <c r="AC8" s="85">
        <v>3</v>
      </c>
      <c r="AD8" s="74">
        <f t="shared" si="5"/>
        <v>17</v>
      </c>
      <c r="AE8" s="241" t="s">
        <v>9</v>
      </c>
      <c r="AF8" s="78" t="s">
        <v>0</v>
      </c>
      <c r="AG8" s="85">
        <v>1</v>
      </c>
      <c r="AH8" s="74">
        <f t="shared" si="6"/>
        <v>15</v>
      </c>
      <c r="AI8" s="241" t="s">
        <v>9</v>
      </c>
      <c r="AJ8" s="78" t="s">
        <v>0</v>
      </c>
      <c r="AK8" s="85">
        <v>3</v>
      </c>
      <c r="AL8" s="74">
        <f t="shared" si="7"/>
        <v>17</v>
      </c>
      <c r="AM8" s="241" t="s">
        <v>9</v>
      </c>
      <c r="AN8" s="78" t="s">
        <v>0</v>
      </c>
      <c r="AO8" s="85">
        <v>7</v>
      </c>
      <c r="AP8" s="74">
        <f t="shared" si="8"/>
        <v>21</v>
      </c>
      <c r="AQ8" s="241" t="s">
        <v>9</v>
      </c>
      <c r="AR8" s="78" t="s">
        <v>0</v>
      </c>
      <c r="AS8" s="85">
        <v>10</v>
      </c>
      <c r="AT8" s="74">
        <f t="shared" si="9"/>
        <v>24</v>
      </c>
      <c r="AU8" s="241" t="s">
        <v>9</v>
      </c>
      <c r="AV8" s="78" t="s">
        <v>0</v>
      </c>
      <c r="AW8" s="85">
        <v>1</v>
      </c>
      <c r="AX8" s="74">
        <f t="shared" si="10"/>
        <v>15</v>
      </c>
      <c r="AY8" s="241" t="s">
        <v>9</v>
      </c>
      <c r="AZ8" s="78" t="s">
        <v>0</v>
      </c>
      <c r="BA8" s="85">
        <v>8</v>
      </c>
      <c r="BB8" s="84">
        <f t="shared" si="11"/>
        <v>22</v>
      </c>
      <c r="BC8" s="76"/>
      <c r="BD8" s="77" t="str">
        <f t="shared" si="12"/>
        <v>V</v>
      </c>
      <c r="BE8" s="77" t="s">
        <v>0</v>
      </c>
      <c r="BF8" s="77">
        <f t="shared" si="13"/>
        <v>7</v>
      </c>
      <c r="BG8" s="77"/>
      <c r="BH8" s="77">
        <f t="shared" si="18"/>
        <v>44</v>
      </c>
      <c r="BI8" s="180" t="str">
        <f t="shared" si="15"/>
        <v>H</v>
      </c>
      <c r="BJ8" s="78" t="s">
        <v>0</v>
      </c>
      <c r="BK8" s="85">
        <f t="shared" si="16"/>
        <v>4</v>
      </c>
      <c r="BL8" s="84">
        <f t="shared" si="17"/>
        <v>18</v>
      </c>
      <c r="BM8" s="21"/>
      <c r="BO8" s="14">
        <v>10</v>
      </c>
      <c r="BP8" s="15" t="s">
        <v>15</v>
      </c>
      <c r="BQ8" s="11"/>
      <c r="BR8" s="11"/>
      <c r="BS8" s="11"/>
      <c r="BT8" s="11"/>
      <c r="BU8" s="11"/>
      <c r="BV8" s="11"/>
      <c r="BW8" s="11"/>
      <c r="BX8" s="11"/>
      <c r="BY8" s="11"/>
      <c r="BZ8" s="11"/>
      <c r="CA8" s="20"/>
      <c r="CB8" s="4"/>
      <c r="CC8" s="4"/>
      <c r="CD8" s="4"/>
      <c r="CE8" s="4"/>
      <c r="CF8" s="4"/>
      <c r="CG8" s="4"/>
      <c r="CH8" s="4"/>
      <c r="CI8" s="4"/>
      <c r="CJ8" s="4"/>
      <c r="CK8" s="4"/>
      <c r="CL8" s="4"/>
      <c r="CM8" s="4"/>
      <c r="CN8" s="4"/>
      <c r="CO8" s="4"/>
      <c r="CP8" s="4"/>
      <c r="CQ8" s="4"/>
      <c r="CR8" s="4"/>
      <c r="CS8" s="4"/>
      <c r="CT8" s="4"/>
      <c r="DK8" s="4"/>
      <c r="DL8" s="211" t="str">
        <f>CONCATENATE($DM$5,$G$5,$DN$5)</f>
        <v xml:space="preserve">   "H",</v>
      </c>
      <c r="DM8" s="11"/>
      <c r="DN8" s="11"/>
      <c r="DO8" s="6" t="str">
        <f ca="1">CONCATENATE("var post_season_visiting_teams = [",OFFSET($DO$13,$BO$43,0),"];")</f>
        <v>var post_season_visiting_teams = ["Seahawks","Chargers","Dolphins","Giants","Ravens","Cowboys"];</v>
      </c>
    </row>
    <row r="9" spans="1:124" s="6" customFormat="1" ht="15" customHeight="1" x14ac:dyDescent="0.2">
      <c r="A9" s="17"/>
      <c r="B9" s="284">
        <v>17</v>
      </c>
      <c r="C9" s="78" t="s">
        <v>219</v>
      </c>
      <c r="D9" s="78" t="s">
        <v>3</v>
      </c>
      <c r="E9" s="239" t="s">
        <v>220</v>
      </c>
      <c r="F9" s="287">
        <v>24</v>
      </c>
      <c r="G9" s="78" t="s">
        <v>9</v>
      </c>
      <c r="H9" s="78" t="s">
        <v>0</v>
      </c>
      <c r="I9" s="85">
        <v>11</v>
      </c>
      <c r="J9" s="74">
        <f t="shared" si="0"/>
        <v>4</v>
      </c>
      <c r="K9" s="241" t="s">
        <v>9</v>
      </c>
      <c r="L9" s="78" t="s">
        <v>0</v>
      </c>
      <c r="M9" s="85">
        <v>10</v>
      </c>
      <c r="N9" s="74">
        <f t="shared" si="1"/>
        <v>3</v>
      </c>
      <c r="O9" s="241" t="s">
        <v>9</v>
      </c>
      <c r="P9" s="78" t="s">
        <v>0</v>
      </c>
      <c r="Q9" s="85">
        <v>8</v>
      </c>
      <c r="R9" s="74">
        <f t="shared" si="2"/>
        <v>1</v>
      </c>
      <c r="S9" s="241" t="s">
        <v>9</v>
      </c>
      <c r="T9" s="78" t="s">
        <v>0</v>
      </c>
      <c r="U9" s="85">
        <v>10</v>
      </c>
      <c r="V9" s="74">
        <f t="shared" si="3"/>
        <v>3</v>
      </c>
      <c r="W9" s="241" t="s">
        <v>9</v>
      </c>
      <c r="X9" s="78" t="s">
        <v>0</v>
      </c>
      <c r="Y9" s="85">
        <v>3</v>
      </c>
      <c r="Z9" s="74">
        <f t="shared" si="4"/>
        <v>4</v>
      </c>
      <c r="AA9" s="241" t="s">
        <v>9</v>
      </c>
      <c r="AB9" s="78" t="s">
        <v>0</v>
      </c>
      <c r="AC9" s="85">
        <v>7</v>
      </c>
      <c r="AD9" s="74">
        <f t="shared" si="5"/>
        <v>0</v>
      </c>
      <c r="AE9" s="241" t="s">
        <v>9</v>
      </c>
      <c r="AF9" s="78" t="s">
        <v>0</v>
      </c>
      <c r="AG9" s="85">
        <v>4</v>
      </c>
      <c r="AH9" s="74">
        <f t="shared" si="6"/>
        <v>3</v>
      </c>
      <c r="AI9" s="241" t="s">
        <v>9</v>
      </c>
      <c r="AJ9" s="78" t="s">
        <v>0</v>
      </c>
      <c r="AK9" s="85">
        <v>8</v>
      </c>
      <c r="AL9" s="74">
        <f t="shared" si="7"/>
        <v>1</v>
      </c>
      <c r="AM9" s="241" t="s">
        <v>9</v>
      </c>
      <c r="AN9" s="78" t="s">
        <v>0</v>
      </c>
      <c r="AO9" s="85">
        <v>10</v>
      </c>
      <c r="AP9" s="74">
        <f t="shared" si="8"/>
        <v>3</v>
      </c>
      <c r="AQ9" s="241" t="s">
        <v>9</v>
      </c>
      <c r="AR9" s="78" t="s">
        <v>0</v>
      </c>
      <c r="AS9" s="85">
        <v>8</v>
      </c>
      <c r="AT9" s="74">
        <f t="shared" si="9"/>
        <v>1</v>
      </c>
      <c r="AU9" s="241" t="s">
        <v>9</v>
      </c>
      <c r="AV9" s="78" t="s">
        <v>0</v>
      </c>
      <c r="AW9" s="85">
        <v>10</v>
      </c>
      <c r="AX9" s="74">
        <f t="shared" si="10"/>
        <v>3</v>
      </c>
      <c r="AY9" s="241" t="s">
        <v>9</v>
      </c>
      <c r="AZ9" s="78" t="s">
        <v>0</v>
      </c>
      <c r="BA9" s="85">
        <v>10</v>
      </c>
      <c r="BB9" s="84">
        <f t="shared" si="11"/>
        <v>3</v>
      </c>
      <c r="BC9" s="76"/>
      <c r="BD9" s="77" t="str">
        <f t="shared" si="12"/>
        <v>H</v>
      </c>
      <c r="BE9" s="77" t="s">
        <v>0</v>
      </c>
      <c r="BF9" s="77">
        <f t="shared" si="13"/>
        <v>7</v>
      </c>
      <c r="BG9" s="77"/>
      <c r="BH9" s="77">
        <f t="shared" si="18"/>
        <v>99</v>
      </c>
      <c r="BI9" s="180" t="str">
        <f t="shared" si="15"/>
        <v>H</v>
      </c>
      <c r="BJ9" s="78" t="s">
        <v>0</v>
      </c>
      <c r="BK9" s="85">
        <f t="shared" si="16"/>
        <v>8</v>
      </c>
      <c r="BL9" s="84">
        <f t="shared" si="17"/>
        <v>1</v>
      </c>
      <c r="BM9" s="21"/>
      <c r="BO9" s="14">
        <f>LOOKUP(COUNTIF((G69:R69),0),{0,1,2,3,4,5,6,7,8,9,10,11,12},{120,110,100,90,80,70,40,50,40,30,20,10}) - BO10 - 4*BO8</f>
        <v>60</v>
      </c>
      <c r="BP9" s="15" t="s">
        <v>17</v>
      </c>
      <c r="BQ9" s="19"/>
      <c r="BR9" s="19"/>
      <c r="BS9" s="19"/>
      <c r="BT9" s="19"/>
      <c r="BU9" s="19"/>
      <c r="BV9" s="19"/>
      <c r="BW9" s="19"/>
      <c r="BX9" s="19"/>
      <c r="BY9" s="19"/>
      <c r="BZ9" s="19"/>
      <c r="CA9" s="20"/>
      <c r="CB9" s="4"/>
      <c r="CC9" s="4"/>
      <c r="CD9" s="4"/>
      <c r="CE9" s="4"/>
      <c r="CF9" s="4"/>
      <c r="CG9" s="4"/>
      <c r="CH9" s="4"/>
      <c r="CI9" s="4"/>
      <c r="CJ9" s="4"/>
      <c r="CK9" s="4"/>
      <c r="CL9" s="4"/>
      <c r="CM9" s="4"/>
      <c r="CN9" s="4"/>
      <c r="CO9" s="4"/>
      <c r="CP9" s="4"/>
      <c r="CQ9" s="4"/>
      <c r="CR9" s="4"/>
      <c r="CS9" s="4"/>
      <c r="CT9" s="4"/>
      <c r="DK9" s="4"/>
      <c r="DL9" s="211" t="str">
        <f>CONCATENATE($DM$5,$G$6,$DN$5)</f>
        <v xml:space="preserve">   "H",</v>
      </c>
      <c r="DM9" s="11"/>
      <c r="DN9" s="11"/>
      <c r="DO9" s="6" t="str">
        <f ca="1">CONCATENATE("var post_season_home_teams     = [",OFFSET($DT$13,$BO$43,0),"];")</f>
        <v>var post_season_home_teams     = ["49ers","Jaguars","Bills","Vikings","Bengals","Buccaneers"];</v>
      </c>
    </row>
    <row r="10" spans="1:124" s="6" customFormat="1" ht="15" customHeight="1" x14ac:dyDescent="0.2">
      <c r="A10" s="17"/>
      <c r="B10" s="285">
        <v>31</v>
      </c>
      <c r="C10" s="88" t="s">
        <v>221</v>
      </c>
      <c r="D10" s="88" t="s">
        <v>3</v>
      </c>
      <c r="E10" s="240" t="s">
        <v>222</v>
      </c>
      <c r="F10" s="288">
        <v>14</v>
      </c>
      <c r="G10" s="88" t="s">
        <v>8</v>
      </c>
      <c r="H10" s="88" t="s">
        <v>0</v>
      </c>
      <c r="I10" s="95">
        <v>3</v>
      </c>
      <c r="J10" s="93">
        <f t="shared" si="0"/>
        <v>14</v>
      </c>
      <c r="K10" s="242" t="s">
        <v>9</v>
      </c>
      <c r="L10" s="88" t="s">
        <v>0</v>
      </c>
      <c r="M10" s="95">
        <v>4</v>
      </c>
      <c r="N10" s="93">
        <f t="shared" si="1"/>
        <v>28</v>
      </c>
      <c r="O10" s="242" t="s">
        <v>9</v>
      </c>
      <c r="P10" s="88" t="s">
        <v>0</v>
      </c>
      <c r="Q10" s="95">
        <v>2</v>
      </c>
      <c r="R10" s="93">
        <f t="shared" si="2"/>
        <v>26</v>
      </c>
      <c r="S10" s="242" t="s">
        <v>8</v>
      </c>
      <c r="T10" s="88" t="s">
        <v>0</v>
      </c>
      <c r="U10" s="95">
        <v>3</v>
      </c>
      <c r="V10" s="93">
        <f t="shared" si="3"/>
        <v>14</v>
      </c>
      <c r="W10" s="242" t="s">
        <v>8</v>
      </c>
      <c r="X10" s="88" t="s">
        <v>0</v>
      </c>
      <c r="Y10" s="95">
        <v>7</v>
      </c>
      <c r="Z10" s="93">
        <f t="shared" si="4"/>
        <v>10</v>
      </c>
      <c r="AA10" s="242" t="s">
        <v>9</v>
      </c>
      <c r="AB10" s="88" t="s">
        <v>0</v>
      </c>
      <c r="AC10" s="95">
        <v>3</v>
      </c>
      <c r="AD10" s="93">
        <f t="shared" si="5"/>
        <v>27</v>
      </c>
      <c r="AE10" s="242" t="s">
        <v>8</v>
      </c>
      <c r="AF10" s="88" t="s">
        <v>0</v>
      </c>
      <c r="AG10" s="95">
        <v>1</v>
      </c>
      <c r="AH10" s="93">
        <f t="shared" si="6"/>
        <v>16</v>
      </c>
      <c r="AI10" s="242" t="s">
        <v>8</v>
      </c>
      <c r="AJ10" s="88" t="s">
        <v>0</v>
      </c>
      <c r="AK10" s="95">
        <v>2</v>
      </c>
      <c r="AL10" s="93">
        <f t="shared" si="7"/>
        <v>15</v>
      </c>
      <c r="AM10" s="242" t="s">
        <v>8</v>
      </c>
      <c r="AN10" s="88" t="s">
        <v>0</v>
      </c>
      <c r="AO10" s="95">
        <v>10</v>
      </c>
      <c r="AP10" s="93">
        <f t="shared" si="8"/>
        <v>7</v>
      </c>
      <c r="AQ10" s="242" t="s">
        <v>9</v>
      </c>
      <c r="AR10" s="88" t="s">
        <v>0</v>
      </c>
      <c r="AS10" s="95">
        <v>4</v>
      </c>
      <c r="AT10" s="93">
        <f t="shared" si="9"/>
        <v>28</v>
      </c>
      <c r="AU10" s="242" t="s">
        <v>9</v>
      </c>
      <c r="AV10" s="88" t="s">
        <v>0</v>
      </c>
      <c r="AW10" s="95">
        <v>3</v>
      </c>
      <c r="AX10" s="93">
        <f t="shared" si="10"/>
        <v>27</v>
      </c>
      <c r="AY10" s="242" t="s">
        <v>8</v>
      </c>
      <c r="AZ10" s="88" t="s">
        <v>0</v>
      </c>
      <c r="BA10" s="95">
        <v>3</v>
      </c>
      <c r="BB10" s="94">
        <f t="shared" si="11"/>
        <v>14</v>
      </c>
      <c r="BC10" s="76"/>
      <c r="BD10" s="77" t="str">
        <f t="shared" si="12"/>
        <v>V</v>
      </c>
      <c r="BE10" s="77" t="s">
        <v>0</v>
      </c>
      <c r="BF10" s="77">
        <f t="shared" si="13"/>
        <v>17</v>
      </c>
      <c r="BG10" s="77"/>
      <c r="BH10" s="77">
        <f t="shared" si="18"/>
        <v>-13</v>
      </c>
      <c r="BI10" s="181" t="str">
        <f t="shared" si="15"/>
        <v>V</v>
      </c>
      <c r="BJ10" s="88" t="s">
        <v>0</v>
      </c>
      <c r="BK10" s="95">
        <f t="shared" si="16"/>
        <v>1</v>
      </c>
      <c r="BL10" s="94">
        <f t="shared" si="17"/>
        <v>16</v>
      </c>
      <c r="BM10" s="21"/>
      <c r="BO10" s="14">
        <v>20</v>
      </c>
      <c r="BP10" s="15" t="s">
        <v>16</v>
      </c>
      <c r="BQ10" s="19"/>
      <c r="BR10" s="19"/>
      <c r="BS10" s="19"/>
      <c r="BT10" s="19"/>
      <c r="BU10" s="19"/>
      <c r="BV10" s="19"/>
      <c r="BW10" s="19"/>
      <c r="BX10" s="11"/>
      <c r="BY10" s="11"/>
      <c r="BZ10" s="19"/>
      <c r="CA10" s="20"/>
      <c r="CB10" s="4"/>
      <c r="CC10" s="4"/>
      <c r="CD10" s="4"/>
      <c r="CE10" s="4"/>
      <c r="CF10" s="4"/>
      <c r="CG10" s="4"/>
      <c r="CH10" s="4"/>
      <c r="CI10" s="4"/>
      <c r="CJ10" s="4"/>
      <c r="CK10" s="4"/>
      <c r="CL10" s="4"/>
      <c r="CM10" s="4"/>
      <c r="CN10" s="4"/>
      <c r="CO10" s="4"/>
      <c r="CP10" s="4"/>
      <c r="CQ10" s="4"/>
      <c r="CR10" s="4"/>
      <c r="CS10" s="4"/>
      <c r="CT10" s="4"/>
      <c r="DK10" s="4"/>
      <c r="DL10" s="211" t="str">
        <f>CONCATENATE($DM$5,$G$7,$DN$5)</f>
        <v xml:space="preserve">   "H",</v>
      </c>
      <c r="DM10" s="11"/>
      <c r="DN10" s="11"/>
      <c r="DO10" s="6" t="str">
        <f>CONCATENATE("[", """",$G$2, """,","""",$K$2, """,","""",$O$2, """,","""",$S$2, """,","""",$W$2, """,","""",$AA$2, """,","""",$AE$2, """,","""",$AI$2, """,","""",$AM$2, """,","""",$AQ$2, """,","""",$AU$2, """,","""",$AY$2, """","]")</f>
        <v>["BM","CK","CP","DC","DH","JG","JL","KC","KK","MB","RR","TB"]</v>
      </c>
    </row>
    <row r="11" spans="1:124" s="6" customFormat="1" ht="15" customHeight="1" x14ac:dyDescent="0.2">
      <c r="A11" s="17"/>
      <c r="B11" s="224"/>
      <c r="C11" s="225"/>
      <c r="D11" s="226"/>
      <c r="E11" s="227" t="str">
        <f>IF(C10&lt;&gt;"",""""&amp;C10&amp;" at "&amp;E10&amp;""" Total Points:  ","Total Points:  ")</f>
        <v xml:space="preserve">"Cowboys at Buccaneers" Total Points:  </v>
      </c>
      <c r="F11" s="228">
        <f>IF(SUM(B10,F10)=0,"",SUM(B10,F10))</f>
        <v>45</v>
      </c>
      <c r="G11" s="243"/>
      <c r="H11" s="61" t="s">
        <v>61</v>
      </c>
      <c r="I11" s="62">
        <v>45</v>
      </c>
      <c r="J11" s="232" t="str">
        <f>IF(J62="","",IF(J62=0,"exact",IF(J62&lt;0,ABS(J62)&amp;" over",IF(J62&gt;0,ABS(J62)&amp;" under",""))))</f>
        <v/>
      </c>
      <c r="K11" s="244"/>
      <c r="L11" s="61" t="s">
        <v>61</v>
      </c>
      <c r="M11" s="62">
        <v>48</v>
      </c>
      <c r="N11" s="232" t="str">
        <f>IF(N62="","",IF(N62=0,"exact",IF(N62&lt;0,ABS(N62)&amp;" over",IF(N62&gt;0,ABS(N62)&amp;" under",""))))</f>
        <v/>
      </c>
      <c r="O11" s="244"/>
      <c r="P11" s="61" t="s">
        <v>61</v>
      </c>
      <c r="Q11" s="62">
        <v>45</v>
      </c>
      <c r="R11" s="232" t="str">
        <f>IF(R62="","",IF(R62=0,"exact",IF(R62&lt;0,ABS(R62)&amp;" over",IF(R62&gt;0,ABS(R62)&amp;" under",""))))</f>
        <v/>
      </c>
      <c r="S11" s="244"/>
      <c r="T11" s="61" t="s">
        <v>61</v>
      </c>
      <c r="U11" s="62">
        <v>40</v>
      </c>
      <c r="V11" s="232" t="str">
        <f>IF(V62="","",IF(V62=0,"exact",IF(V62&lt;0,ABS(V62)&amp;" over",IF(V62&gt;0,ABS(V62)&amp;" under",""))))</f>
        <v/>
      </c>
      <c r="W11" s="244"/>
      <c r="X11" s="61" t="s">
        <v>61</v>
      </c>
      <c r="Y11" s="62">
        <v>42</v>
      </c>
      <c r="Z11" s="232" t="str">
        <f>IF(Z62="","",IF(Z62=0,"exact",IF(Z62&lt;0,ABS(Z62)&amp;" over",IF(Z62&gt;0,ABS(Z62)&amp;" under",""))))</f>
        <v/>
      </c>
      <c r="AA11" s="244"/>
      <c r="AB11" s="61" t="s">
        <v>61</v>
      </c>
      <c r="AC11" s="62">
        <v>38</v>
      </c>
      <c r="AD11" s="232" t="str">
        <f>IF(AD62="","",IF(AD62=0,"exact",IF(AD62&lt;0,ABS(AD62)&amp;" over",IF(AD62&gt;0,ABS(AD62)&amp;" under",""))))</f>
        <v/>
      </c>
      <c r="AE11" s="244"/>
      <c r="AF11" s="61" t="s">
        <v>61</v>
      </c>
      <c r="AG11" s="62">
        <v>49</v>
      </c>
      <c r="AH11" s="232" t="str">
        <f>IF(AH62="","",IF(AH62=0,"exact",IF(AH62&lt;0,ABS(AH62)&amp;" over",IF(AH62&gt;0,ABS(AH62)&amp;" under",""))))</f>
        <v/>
      </c>
      <c r="AI11" s="244"/>
      <c r="AJ11" s="61" t="s">
        <v>61</v>
      </c>
      <c r="AK11" s="62">
        <v>46</v>
      </c>
      <c r="AL11" s="232" t="str">
        <f>IF(AL62="","",IF(AL62=0,"exact",IF(AL62&lt;0,ABS(AL62)&amp;" over",IF(AL62&gt;0,ABS(AL62)&amp;" under",""))))</f>
        <v/>
      </c>
      <c r="AM11" s="244"/>
      <c r="AN11" s="61" t="s">
        <v>61</v>
      </c>
      <c r="AO11" s="62">
        <v>42</v>
      </c>
      <c r="AP11" s="232" t="str">
        <f>IF(AP62="","",IF(AP62=0,"exact",IF(AP62&lt;0,ABS(AP62)&amp;" over",IF(AP62&gt;0,ABS(AP62)&amp;" under",""))))</f>
        <v/>
      </c>
      <c r="AQ11" s="244"/>
      <c r="AR11" s="61" t="s">
        <v>61</v>
      </c>
      <c r="AS11" s="62">
        <v>38</v>
      </c>
      <c r="AT11" s="232" t="str">
        <f>IF(AT62="","",IF(AT62=0,"exact",IF(AT62&lt;0,ABS(AT62)&amp;" over",IF(AT62&gt;0,ABS(AT62)&amp;" under",""))))</f>
        <v/>
      </c>
      <c r="AU11" s="244"/>
      <c r="AV11" s="61" t="s">
        <v>61</v>
      </c>
      <c r="AW11" s="62">
        <v>45</v>
      </c>
      <c r="AX11" s="232" t="str">
        <f>IF(AX62="","",IF(AX62=0,"exact",IF(AX62&lt;0,ABS(AX62)&amp;" over",IF(AX62&gt;0,ABS(AX62)&amp;" under",""))))</f>
        <v/>
      </c>
      <c r="AY11" s="244"/>
      <c r="AZ11" s="61" t="s">
        <v>61</v>
      </c>
      <c r="BA11" s="62">
        <v>39</v>
      </c>
      <c r="BB11" s="234" t="str">
        <f>IF(BB62="","",IF(BB62=0,"exact",IF(BB62&lt;0,ABS(BB62)&amp;" over",IF(BB62&gt;0,ABS(BB62)&amp;" under",""))))</f>
        <v/>
      </c>
      <c r="BC11" s="76"/>
      <c r="BD11" s="77"/>
      <c r="BE11" s="77"/>
      <c r="BF11" s="77"/>
      <c r="BG11" s="77"/>
      <c r="BH11" s="164"/>
      <c r="BI11" s="60"/>
      <c r="BJ11" s="61" t="s">
        <v>61</v>
      </c>
      <c r="BK11" s="62">
        <f>IF(SUM(I11,M11,Q11,U11,Y11,AC11,AG11,AK11,AO11,AS11,AW11,BA11)=0,"",ROUND(AVERAGE(I11,M11,Q11,U11,Y11,AC11,AG11,AK11,AO11,AS11,AW11,BA11),0))</f>
        <v>43</v>
      </c>
      <c r="BL11" s="65">
        <f>IF(OR($F11="",BK11=""),"",$F11-BK11)</f>
        <v>2</v>
      </c>
      <c r="BM11" s="21"/>
      <c r="BQ11" s="19"/>
      <c r="BR11" s="19"/>
      <c r="BS11" s="19"/>
      <c r="BT11" s="19"/>
      <c r="BU11" s="19"/>
      <c r="BV11" s="19"/>
      <c r="BW11" s="19"/>
      <c r="BX11" s="11"/>
      <c r="BY11" s="11"/>
      <c r="BZ11" s="19"/>
      <c r="CA11" s="20"/>
      <c r="CB11" s="4"/>
      <c r="CC11" s="4"/>
      <c r="CD11" s="4"/>
      <c r="CE11" s="4"/>
      <c r="CF11" s="4"/>
      <c r="CG11" s="4"/>
      <c r="CH11" s="4"/>
      <c r="CI11" s="4"/>
      <c r="CJ11" s="4"/>
      <c r="CK11" s="4"/>
      <c r="CL11" s="4"/>
      <c r="CM11" s="4"/>
      <c r="CN11" s="4"/>
      <c r="CO11" s="4"/>
      <c r="CP11" s="4"/>
      <c r="CQ11" s="4"/>
      <c r="CR11" s="4"/>
      <c r="CS11" s="4"/>
      <c r="CT11" s="4"/>
      <c r="DK11" s="4"/>
      <c r="DL11" s="211" t="str">
        <f>CONCATENATE($DM$5,$G$8,$DN$5)</f>
        <v xml:space="preserve">   "H",</v>
      </c>
      <c r="DM11" s="11"/>
      <c r="DN11" s="11"/>
    </row>
    <row r="12" spans="1:124" s="6" customFormat="1" ht="18" customHeight="1" thickBot="1" x14ac:dyDescent="0.25">
      <c r="A12" s="17"/>
      <c r="B12" s="120"/>
      <c r="C12" s="119"/>
      <c r="D12" s="119"/>
      <c r="E12" s="121"/>
      <c r="F12" s="168" t="s">
        <v>75</v>
      </c>
      <c r="G12" s="125"/>
      <c r="H12" s="105" t="s">
        <v>2</v>
      </c>
      <c r="I12" s="106">
        <f>IF(J12="","",IF(OR(RANK(J39,$J39:$BB39,1)&gt;1,AND(RANK(J39,$J39:$BB39,1)=1,COUNTIF($J39:$BB39,J39)=1)),RANK(J39,$J39:$BB39,1),IF(MIN($J61:$BB61)=J61,1,COUNTIF($J61:$BB61,MIN($J61:$BB61))+1)))</f>
        <v>4</v>
      </c>
      <c r="J12" s="217">
        <f>IF(G$2="","",(IF(AND(COUNTBLANK(G5:G10)=0,COUNTBLANK(I5:I10)=0),(SUM(J5:J10))*$BO$12,"")))</f>
        <v>57</v>
      </c>
      <c r="K12" s="104"/>
      <c r="L12" s="105" t="s">
        <v>2</v>
      </c>
      <c r="M12" s="106">
        <f>IF(N12="","",IF(OR(RANK(N39,$J39:$BB39,1)&gt;1,AND(RANK(N39,$J39:$BB39,1)=1,COUNTIF($J39:$BB39,N39)=1)),RANK(N39,$J39:$BB39,1),IF(MIN($J61:$BB61)=N61,1,COUNTIF($J61:$BB61,MIN($J61:$BB61))+1)))</f>
        <v>1</v>
      </c>
      <c r="N12" s="217">
        <f>IF(K$2="","",(IF(AND(COUNTBLANK(K5:K10)=0,COUNTBLANK(M5:M10)=0),(SUM(N5:N10))*$BO$12,"")))</f>
        <v>50</v>
      </c>
      <c r="O12" s="104"/>
      <c r="P12" s="105" t="s">
        <v>2</v>
      </c>
      <c r="Q12" s="106">
        <f>IF(R12="","",IF(OR(RANK(R39,$J39:$BB39,1)&gt;1,AND(RANK(R39,$J39:$BB39,1)=1,COUNTIF($J39:$BB39,R39)=1)),RANK(R39,$J39:$BB39,1),IF(MIN($J61:$BB61)=R61,1,COUNTIF($J61:$BB61,MIN($J61:$BB61))+1)))</f>
        <v>5</v>
      </c>
      <c r="R12" s="217">
        <f>IF(O$2="","",(IF(AND(COUNTBLANK(O5:O10)=0,COUNTBLANK(Q5:Q10)=0),(SUM(R5:R10))*$BO$12,"")))</f>
        <v>60</v>
      </c>
      <c r="S12" s="104"/>
      <c r="T12" s="105" t="s">
        <v>2</v>
      </c>
      <c r="U12" s="106">
        <f>IF(V12="","",IF(OR(RANK(V39,$J39:$BB39,1)&gt;1,AND(RANK(V39,$J39:$BB39,1)=1,COUNTIF($J39:$BB39,V39)=1)),RANK(V39,$J39:$BB39,1),IF(MIN($J61:$BB61)=V61,1,COUNTIF($J61:$BB61,MIN($J61:$BB61))+1)))</f>
        <v>6</v>
      </c>
      <c r="V12" s="217">
        <f>IF(S$2="","",(IF(AND(COUNTBLANK(S5:S10)=0,COUNTBLANK(U5:U10)=0),(SUM(V5:V10))*$BO$12,"")))</f>
        <v>62</v>
      </c>
      <c r="W12" s="104"/>
      <c r="X12" s="105" t="s">
        <v>2</v>
      </c>
      <c r="Y12" s="106">
        <f>IF(Z12="","",IF(OR(RANK(Z39,$J39:$BB39,1)&gt;1,AND(RANK(Z39,$J39:$BB39,1)=1,COUNTIF($J39:$BB39,Z39)=1)),RANK(Z39,$J39:$BB39,1),IF(MIN($J61:$BB61)=Z61,1,COUNTIF($J61:$BB61,MIN($J61:$BB61))+1)))</f>
        <v>3</v>
      </c>
      <c r="Z12" s="217">
        <f>IF(W$2="","",(IF(AND(COUNTBLANK(W5:W10)=0,COUNTBLANK(Y5:Y10)=0),(SUM(Z5:Z10))*$BO$12,"")))</f>
        <v>56</v>
      </c>
      <c r="AA12" s="104"/>
      <c r="AB12" s="105" t="s">
        <v>2</v>
      </c>
      <c r="AC12" s="106">
        <f>IF(AD12="","",IF(OR(RANK(AD39,$J39:$BB39,1)&gt;1,AND(RANK(AD39,$J39:$BB39,1)=1,COUNTIF($J39:$BB39,AD39)=1)),RANK(AD39,$J39:$BB39,1),IF(MIN($J61:$BB61)=AD61,1,COUNTIF($J61:$BB61,MIN($J61:$BB61))+1)))</f>
        <v>11</v>
      </c>
      <c r="AD12" s="217">
        <f>IF(AA$2="","",(IF(AND(COUNTBLANK(AA5:AA10)=0,COUNTBLANK(AC5:AC10)=0),(SUM(AD5:AD10))*$BO$12,"")))</f>
        <v>70</v>
      </c>
      <c r="AE12" s="104"/>
      <c r="AF12" s="105" t="s">
        <v>2</v>
      </c>
      <c r="AG12" s="106">
        <f>IF(AH12="","",IF(OR(RANK(AH39,$J39:$BB39,1)&gt;1,AND(RANK(AH39,$J39:$BB39,1)=1,COUNTIF($J39:$BB39,AH39)=1)),RANK(AH39,$J39:$BB39,1),IF(MIN($J61:$BB61)=AH61,1,COUNTIF($J61:$BB61,MIN($J61:$BB61))+1)))</f>
        <v>8</v>
      </c>
      <c r="AH12" s="217">
        <f>IF(AE$2="","",(IF(AND(COUNTBLANK(AE5:AE10)=0,COUNTBLANK(AG5:AG10)=0),(SUM(AH5:AH10))*$BO$12,"")))</f>
        <v>65</v>
      </c>
      <c r="AI12" s="104"/>
      <c r="AJ12" s="105" t="s">
        <v>2</v>
      </c>
      <c r="AK12" s="106">
        <f>IF(AL12="","",IF(OR(RANK(AL39,$J39:$BB39,1)&gt;1,AND(RANK(AL39,$J39:$BB39,1)=1,COUNTIF($J39:$BB39,AL39)=1)),RANK(AL39,$J39:$BB39,1),IF(MIN($J61:$BB61)=AL61,1,COUNTIF($J61:$BB61,MIN($J61:$BB61))+1)))</f>
        <v>6</v>
      </c>
      <c r="AL12" s="217">
        <f>IF(AI$2="","",(IF(AND(COUNTBLANK(AI5:AI10)=0,COUNTBLANK(AK5:AK10)=0),(SUM(AL5:AL10))*$BO$12,"")))</f>
        <v>62</v>
      </c>
      <c r="AM12" s="104"/>
      <c r="AN12" s="105" t="s">
        <v>2</v>
      </c>
      <c r="AO12" s="106">
        <f>IF(AP12="","",IF(OR(RANK(AP39,$J39:$BB39,1)&gt;1,AND(RANK(AP39,$J39:$BB39,1)=1,COUNTIF($J39:$BB39,AP39)=1)),RANK(AP39,$J39:$BB39,1),IF(MIN($J61:$BB61)=AP61,1,COUNTIF($J61:$BB61,MIN($J61:$BB61))+1)))</f>
        <v>2</v>
      </c>
      <c r="AP12" s="217">
        <f>IF(AM$2="","",(IF(AND(COUNTBLANK(AM5:AM10)=0,COUNTBLANK(AO5:AO10)=0),(SUM(AP5:AP10))*$BO$12,"")))</f>
        <v>54</v>
      </c>
      <c r="AQ12" s="104"/>
      <c r="AR12" s="105" t="s">
        <v>2</v>
      </c>
      <c r="AS12" s="106">
        <f>IF(AT12="","",IF(OR(RANK(AT39,$J39:$BB39,1)&gt;1,AND(RANK(AT39,$J39:$BB39,1)=1,COUNTIF($J39:$BB39,AT39)=1)),RANK(AT39,$J39:$BB39,1),IF(MIN($J61:$BB61)=AT61,1,COUNTIF($J61:$BB61,MIN($J61:$BB61))+1)))</f>
        <v>12</v>
      </c>
      <c r="AT12" s="217">
        <f>IF(AQ$2="","",(IF(AND(COUNTBLANK(AQ5:AQ10)=0,COUNTBLANK(AS5:AS10)=0),(SUM(AT5:AT10))*$BO$12,"")))</f>
        <v>78</v>
      </c>
      <c r="AU12" s="104"/>
      <c r="AV12" s="105" t="s">
        <v>2</v>
      </c>
      <c r="AW12" s="106">
        <f>IF(AX12="","",IF(OR(RANK(AX39,$J39:$BB39,1)&gt;1,AND(RANK(AX39,$J39:$BB39,1)=1,COUNTIF($J39:$BB39,AX39)=1)),RANK(AX39,$J39:$BB39,1),IF(MIN($J61:$BB61)=AX61,1,COUNTIF($J61:$BB61,MIN($J61:$BB61))+1)))</f>
        <v>10</v>
      </c>
      <c r="AX12" s="217">
        <f>IF(AU$2="","",(IF(AND(COUNTBLANK(AU5:AU10)=0,COUNTBLANK(AW5:AW10)=0),(SUM(AX5:AX10))*$BO$12,"")))</f>
        <v>68</v>
      </c>
      <c r="AY12" s="104"/>
      <c r="AZ12" s="105" t="s">
        <v>2</v>
      </c>
      <c r="BA12" s="106">
        <f>IF(BB12="","",IF(OR(RANK(BB39,$J39:$BB39,1)&gt;1,AND(RANK(BB39,$J39:$BB39,1)=1,COUNTIF($J39:$BB39,BB39)=1)),RANK(BB39,$J39:$BB39,1),IF(MIN($J61:$BB61)=BB61,1,COUNTIF($J61:$BB61,MIN($J61:$BB61))+1)))</f>
        <v>8</v>
      </c>
      <c r="BB12" s="218">
        <f>IF(AY$2="","",(IF(AND(COUNTBLANK(AY5:AY10)=0,COUNTBLANK(BA5:BA10)=0),(SUM(BB5:BB10))*$BO$12,"")))</f>
        <v>65</v>
      </c>
      <c r="BC12" s="76"/>
      <c r="BD12" s="76"/>
      <c r="BE12" s="76"/>
      <c r="BF12" s="76"/>
      <c r="BG12" s="76"/>
      <c r="BH12" s="164"/>
      <c r="BI12" s="182"/>
      <c r="BJ12" s="105" t="s">
        <v>2</v>
      </c>
      <c r="BK12" s="106">
        <f>IF(BL12="","",RANK(BL39,$J39:$BL39,1))</f>
        <v>2</v>
      </c>
      <c r="BL12" s="218">
        <f>IF(AND(COUNTBLANK(BI5:BI10)=0,COUNTBLANK(BK5:BK10)=0),(SUM(BL5:BL10))*$BO$12,"")</f>
        <v>51</v>
      </c>
      <c r="BO12" s="14">
        <v>1</v>
      </c>
      <c r="BP12" s="15" t="s">
        <v>14</v>
      </c>
      <c r="BQ12" s="19"/>
      <c r="BR12" s="19"/>
      <c r="BS12" s="19"/>
      <c r="BT12" s="19"/>
      <c r="BU12" s="19"/>
      <c r="BV12" s="19"/>
      <c r="BW12" s="19"/>
      <c r="BX12" s="11"/>
      <c r="CA12" s="20"/>
      <c r="CB12" s="4"/>
      <c r="CC12" s="4"/>
      <c r="CD12" s="4"/>
      <c r="CE12" s="4"/>
      <c r="CF12" s="4"/>
      <c r="CG12" s="4"/>
      <c r="CH12" s="4"/>
      <c r="CI12" s="4"/>
      <c r="CJ12" s="4"/>
      <c r="CK12" s="4"/>
      <c r="CL12" s="4"/>
      <c r="CM12" s="4"/>
      <c r="CN12" s="4"/>
      <c r="CO12" s="4"/>
      <c r="CP12" s="4"/>
      <c r="CQ12" s="4"/>
      <c r="CR12" s="4"/>
      <c r="CS12" s="4"/>
      <c r="CT12" s="4"/>
      <c r="DK12" s="4"/>
      <c r="DL12" s="211" t="str">
        <f>CONCATENATE($DM$5,$G$9,$DN$5)</f>
        <v xml:space="preserve">   "H",</v>
      </c>
      <c r="DM12" s="11"/>
      <c r="DN12" s="11"/>
    </row>
    <row r="13" spans="1:124" s="6" customFormat="1" ht="8.1" customHeight="1" thickBot="1" x14ac:dyDescent="0.25">
      <c r="A13" s="17"/>
      <c r="B13" s="130"/>
      <c r="C13" s="63"/>
      <c r="D13" s="63"/>
      <c r="E13" s="122"/>
      <c r="F13" s="131"/>
      <c r="G13" s="126"/>
      <c r="H13" s="110"/>
      <c r="I13" s="126"/>
      <c r="J13" s="132"/>
      <c r="K13" s="126"/>
      <c r="L13" s="110"/>
      <c r="M13" s="126"/>
      <c r="N13" s="132"/>
      <c r="O13" s="126"/>
      <c r="P13" s="110"/>
      <c r="Q13" s="126"/>
      <c r="R13" s="132"/>
      <c r="S13" s="126"/>
      <c r="T13" s="110"/>
      <c r="U13" s="126"/>
      <c r="V13" s="132"/>
      <c r="W13" s="126"/>
      <c r="X13" s="110"/>
      <c r="Y13" s="126"/>
      <c r="Z13" s="132"/>
      <c r="AA13" s="126"/>
      <c r="AB13" s="110"/>
      <c r="AC13" s="126"/>
      <c r="AD13" s="132"/>
      <c r="AE13" s="126"/>
      <c r="AF13" s="110"/>
      <c r="AG13" s="126"/>
      <c r="AH13" s="132"/>
      <c r="AI13" s="126"/>
      <c r="AJ13" s="110"/>
      <c r="AK13" s="126"/>
      <c r="AL13" s="132"/>
      <c r="AM13" s="126"/>
      <c r="AN13" s="110"/>
      <c r="AO13" s="126"/>
      <c r="AP13" s="132"/>
      <c r="AQ13" s="126"/>
      <c r="AR13" s="110"/>
      <c r="AS13" s="126"/>
      <c r="AT13" s="132"/>
      <c r="AU13" s="126"/>
      <c r="AV13" s="110"/>
      <c r="AW13" s="126"/>
      <c r="AX13" s="132"/>
      <c r="AY13" s="126"/>
      <c r="AZ13" s="110"/>
      <c r="BA13" s="126"/>
      <c r="BB13" s="111"/>
      <c r="BC13" s="76"/>
      <c r="BD13" s="76"/>
      <c r="BE13" s="76"/>
      <c r="BF13" s="76"/>
      <c r="BG13" s="76"/>
      <c r="BH13" s="165"/>
      <c r="BI13" s="178"/>
      <c r="BJ13" s="110"/>
      <c r="BK13" s="126"/>
      <c r="BL13" s="111"/>
      <c r="BO13" s="14"/>
      <c r="BP13" s="15"/>
      <c r="BQ13" s="19"/>
      <c r="BR13" s="19"/>
      <c r="BS13" s="19"/>
      <c r="BT13" s="19"/>
      <c r="BU13" s="19"/>
      <c r="BV13" s="19"/>
      <c r="BW13" s="19"/>
      <c r="BX13" s="11"/>
      <c r="CA13" s="20"/>
      <c r="CB13" s="4"/>
      <c r="CC13" s="4"/>
      <c r="CD13" s="4"/>
      <c r="CE13" s="4"/>
      <c r="CF13" s="4"/>
      <c r="CG13" s="4"/>
      <c r="CH13" s="4"/>
      <c r="CI13" s="4"/>
      <c r="CJ13" s="4"/>
      <c r="CK13" s="4"/>
      <c r="CL13" s="4"/>
      <c r="CM13" s="4"/>
      <c r="CN13" s="4"/>
      <c r="CO13" s="4"/>
      <c r="CP13" s="4"/>
      <c r="CQ13" s="4"/>
      <c r="CR13" s="4"/>
      <c r="CS13" s="4"/>
      <c r="CT13" s="4"/>
      <c r="DK13" s="4"/>
      <c r="DL13" s="211" t="str">
        <f>CONCATENATE($DM$5,$G$10,$DN$5)</f>
        <v xml:space="preserve">   "V",</v>
      </c>
      <c r="DM13" s="11"/>
      <c r="DN13" s="11"/>
    </row>
    <row r="14" spans="1:124" s="6" customFormat="1" ht="18" customHeight="1" thickBot="1" x14ac:dyDescent="0.25">
      <c r="A14" s="17"/>
      <c r="B14" s="258" t="s">
        <v>122</v>
      </c>
      <c r="C14" s="259"/>
      <c r="D14" s="259"/>
      <c r="E14" s="259"/>
      <c r="F14" s="260"/>
      <c r="G14" s="169"/>
      <c r="H14" s="169" t="s">
        <v>125</v>
      </c>
      <c r="I14" s="170"/>
      <c r="J14" s="171" t="s">
        <v>1</v>
      </c>
      <c r="K14" s="172"/>
      <c r="L14" s="169" t="s">
        <v>125</v>
      </c>
      <c r="M14" s="170"/>
      <c r="N14" s="171" t="s">
        <v>1</v>
      </c>
      <c r="O14" s="172"/>
      <c r="P14" s="169" t="s">
        <v>125</v>
      </c>
      <c r="Q14" s="170"/>
      <c r="R14" s="171" t="s">
        <v>1</v>
      </c>
      <c r="S14" s="172"/>
      <c r="T14" s="169" t="s">
        <v>125</v>
      </c>
      <c r="U14" s="170"/>
      <c r="V14" s="171" t="s">
        <v>1</v>
      </c>
      <c r="W14" s="172"/>
      <c r="X14" s="169" t="s">
        <v>125</v>
      </c>
      <c r="Y14" s="170"/>
      <c r="Z14" s="171" t="s">
        <v>1</v>
      </c>
      <c r="AA14" s="172"/>
      <c r="AB14" s="169" t="s">
        <v>125</v>
      </c>
      <c r="AC14" s="170"/>
      <c r="AD14" s="171" t="s">
        <v>1</v>
      </c>
      <c r="AE14" s="172"/>
      <c r="AF14" s="169" t="s">
        <v>125</v>
      </c>
      <c r="AG14" s="170"/>
      <c r="AH14" s="171" t="s">
        <v>1</v>
      </c>
      <c r="AI14" s="172"/>
      <c r="AJ14" s="169" t="s">
        <v>125</v>
      </c>
      <c r="AK14" s="170"/>
      <c r="AL14" s="171" t="s">
        <v>1</v>
      </c>
      <c r="AM14" s="172"/>
      <c r="AN14" s="169" t="s">
        <v>125</v>
      </c>
      <c r="AO14" s="170"/>
      <c r="AP14" s="171" t="s">
        <v>1</v>
      </c>
      <c r="AQ14" s="172"/>
      <c r="AR14" s="169" t="s">
        <v>125</v>
      </c>
      <c r="AS14" s="170"/>
      <c r="AT14" s="171" t="s">
        <v>1</v>
      </c>
      <c r="AU14" s="172"/>
      <c r="AV14" s="169" t="s">
        <v>125</v>
      </c>
      <c r="AW14" s="170"/>
      <c r="AX14" s="171" t="s">
        <v>1</v>
      </c>
      <c r="AY14" s="172"/>
      <c r="AZ14" s="169" t="s">
        <v>125</v>
      </c>
      <c r="BA14" s="170"/>
      <c r="BB14" s="173" t="s">
        <v>1</v>
      </c>
      <c r="BC14" s="76"/>
      <c r="BD14" s="103"/>
      <c r="BE14" s="103"/>
      <c r="BF14" s="103"/>
      <c r="BG14" s="103"/>
      <c r="BH14" s="165"/>
      <c r="BI14" s="179"/>
      <c r="BJ14" s="169" t="s">
        <v>125</v>
      </c>
      <c r="BK14" s="170"/>
      <c r="BL14" s="173" t="s">
        <v>1</v>
      </c>
      <c r="BM14" s="18"/>
      <c r="BO14" s="14">
        <f>COUNTIF(J38:BB38,1)</f>
        <v>1</v>
      </c>
      <c r="BP14" s="15" t="s">
        <v>18</v>
      </c>
      <c r="BQ14" s="19"/>
      <c r="BR14" s="19"/>
      <c r="BS14" s="19"/>
      <c r="BT14" s="19"/>
      <c r="BU14" s="19"/>
      <c r="BV14" s="19"/>
      <c r="BW14" s="19"/>
      <c r="BX14" s="11"/>
      <c r="BY14" s="11"/>
      <c r="BZ14" s="19"/>
      <c r="CA14" s="20"/>
      <c r="CB14" s="4"/>
      <c r="CC14" s="4"/>
      <c r="CD14" s="4"/>
      <c r="CE14" s="4"/>
      <c r="CF14" s="4"/>
      <c r="CG14" s="4"/>
      <c r="CH14" s="4"/>
      <c r="CI14" s="4"/>
      <c r="CJ14" s="4"/>
      <c r="CK14" s="4"/>
      <c r="CL14" s="4"/>
      <c r="CM14" s="4"/>
      <c r="CN14" s="4"/>
      <c r="CO14" s="4"/>
      <c r="CP14" s="4"/>
      <c r="CQ14" s="4"/>
      <c r="CR14" s="4"/>
      <c r="CS14" s="4"/>
      <c r="CT14" s="4"/>
      <c r="DK14" s="4"/>
      <c r="DL14" s="211" t="str">
        <f>CONCATENATE($DM$5,$G$15,$DN$5)</f>
        <v xml:space="preserve">   "",</v>
      </c>
      <c r="DM14" s="11"/>
      <c r="DN14" s="11"/>
      <c r="DO14" s="6" t="str">
        <f>CONCATENATE(CHAR(34),$C$5,CHAR(34),",",CHAR(34),$C$6,CHAR(34),",",CHAR(34),$C$7,CHAR(34),",",CHAR(34),$C$8,CHAR(34),",",CHAR(34),$C$9,CHAR(34),",",CHAR(34),$C$10,CHAR(34))</f>
        <v>"Seahawks","Chargers","Dolphins","Giants","Ravens","Cowboys"</v>
      </c>
      <c r="DT14" s="6" t="str">
        <f>CONCATENATE(CHAR(34),$E$5,CHAR(34),",",CHAR(34),$E$6,CHAR(34),",",CHAR(34),$E$7,CHAR(34),",",CHAR(34),$E$8,CHAR(34),",",CHAR(34),$E$9,CHAR(34),",",CHAR(34),$E$10,CHAR(34))</f>
        <v>"49ers","Jaguars","Bills","Vikings","Bengals","Buccaneers"</v>
      </c>
    </row>
    <row r="15" spans="1:124" s="6" customFormat="1" ht="15" customHeight="1" x14ac:dyDescent="0.2">
      <c r="A15" s="17"/>
      <c r="B15" s="66"/>
      <c r="C15" s="67"/>
      <c r="D15" s="68" t="s">
        <v>3</v>
      </c>
      <c r="E15" s="69"/>
      <c r="F15" s="70"/>
      <c r="G15" s="72"/>
      <c r="H15" s="72" t="s">
        <v>0</v>
      </c>
      <c r="I15" s="73"/>
      <c r="J15" s="74" t="str">
        <f>IF(OR(G$2="",G15="",I15=""),"",IF($BD15="","",IF(G15=$BD15,ABS(I15-$BF15),ABS(I15+$BF15))+IF(G15&lt;&gt;$BD15,$BO$7,0)))</f>
        <v/>
      </c>
      <c r="K15" s="71"/>
      <c r="L15" s="72" t="s">
        <v>0</v>
      </c>
      <c r="M15" s="73"/>
      <c r="N15" s="74" t="str">
        <f>IF(OR(K$2="",K15="",M15=""),"",IF($BD15="","",IF(K15=$BD15,ABS(M15-$BF15),ABS(M15+$BF15))+IF(K15&lt;&gt;$BD15,$BO$7,0)))</f>
        <v/>
      </c>
      <c r="O15" s="71"/>
      <c r="P15" s="72" t="s">
        <v>0</v>
      </c>
      <c r="Q15" s="73"/>
      <c r="R15" s="74" t="str">
        <f>IF(OR(O$2="",O15="",Q15=""),"",IF($BD15="","",IF(O15=$BD15,ABS(Q15-$BF15),ABS(Q15+$BF15))+IF(O15&lt;&gt;$BD15,$BO$7,0)))</f>
        <v/>
      </c>
      <c r="S15" s="71"/>
      <c r="T15" s="72" t="s">
        <v>0</v>
      </c>
      <c r="U15" s="73"/>
      <c r="V15" s="74" t="str">
        <f>IF(OR(S$2="",S15="",U15=""),"",IF($BD15="","",IF(S15=$BD15,ABS(U15-$BF15),ABS(U15+$BF15))+IF(S15&lt;&gt;$BD15,$BO$7,0)))</f>
        <v/>
      </c>
      <c r="W15" s="71"/>
      <c r="X15" s="72" t="s">
        <v>0</v>
      </c>
      <c r="Y15" s="73"/>
      <c r="Z15" s="74" t="str">
        <f>IF(OR(W$2="",W15="",Y15=""),"",IF($BD15="","",IF(W15=$BD15,ABS(Y15-$BF15),ABS(Y15+$BF15))+IF(W15&lt;&gt;$BD15,$BO$7,0)))</f>
        <v/>
      </c>
      <c r="AA15" s="71"/>
      <c r="AB15" s="72" t="s">
        <v>0</v>
      </c>
      <c r="AC15" s="73"/>
      <c r="AD15" s="74" t="str">
        <f>IF(OR(AA$2="",AA15="",AC15=""),"",IF($BD15="","",IF(AA15=$BD15,ABS(AC15-$BF15),ABS(AC15+$BF15))+IF(AA15&lt;&gt;$BD15,$BO$7,0)))</f>
        <v/>
      </c>
      <c r="AE15" s="71"/>
      <c r="AF15" s="72" t="s">
        <v>0</v>
      </c>
      <c r="AG15" s="73"/>
      <c r="AH15" s="74" t="str">
        <f>IF(OR(AE$2="",AE15="",AG15=""),"",IF($BD15="","",IF(AE15=$BD15,ABS(AG15-$BF15),ABS(AG15+$BF15))+IF(AE15&lt;&gt;$BD15,$BO$7,0)))</f>
        <v/>
      </c>
      <c r="AI15" s="71"/>
      <c r="AJ15" s="72" t="s">
        <v>0</v>
      </c>
      <c r="AK15" s="73"/>
      <c r="AL15" s="74" t="str">
        <f>IF(OR(AI$2="",AI15="",AK15=""),"",IF($BD15="","",IF(AI15=$BD15,ABS(AK15-$BF15),ABS(AK15+$BF15))+IF(AI15&lt;&gt;$BD15,$BO$7,0)))</f>
        <v/>
      </c>
      <c r="AM15" s="71"/>
      <c r="AN15" s="72" t="s">
        <v>0</v>
      </c>
      <c r="AO15" s="73"/>
      <c r="AP15" s="74" t="str">
        <f>IF(OR(AM$2="",AM15="",AO15=""),"",IF($BD15="","",IF(AM15=$BD15,ABS(AO15-$BF15),ABS(AO15+$BF15))+IF(AM15&lt;&gt;$BD15,$BO$7,0)))</f>
        <v/>
      </c>
      <c r="AQ15" s="71"/>
      <c r="AR15" s="72" t="s">
        <v>0</v>
      </c>
      <c r="AS15" s="73"/>
      <c r="AT15" s="74" t="str">
        <f>IF(OR(AQ$2="",AQ15="",AS15=""),"",IF($BD15="","",IF(AQ15=$BD15,ABS(AS15-$BF15),ABS(AS15+$BF15))+IF(AQ15&lt;&gt;$BD15,$BO$7,0)))</f>
        <v/>
      </c>
      <c r="AU15" s="71"/>
      <c r="AV15" s="72" t="s">
        <v>0</v>
      </c>
      <c r="AW15" s="73"/>
      <c r="AX15" s="74" t="str">
        <f>IF(OR(AU$2="",AU15="",AW15=""),"",IF($BD15="","",IF(AU15=$BD15,ABS(AW15-$BF15),ABS(AW15+$BF15))+IF(AU15&lt;&gt;$BD15,$BO$7,0)))</f>
        <v/>
      </c>
      <c r="AY15" s="71"/>
      <c r="AZ15" s="72" t="s">
        <v>0</v>
      </c>
      <c r="BA15" s="73"/>
      <c r="BB15" s="75" t="str">
        <f>IF(OR(AY$2="",AY15="",BA15=""),"",IF($BD15="","",IF(AY15=$BD15,ABS(BA15-$BF15),ABS(BA15+$BF15))+IF(AY15&lt;&gt;$BD15,$BO$7,0)))</f>
        <v/>
      </c>
      <c r="BC15" s="76"/>
      <c r="BD15" s="77" t="str">
        <f t="shared" ref="BD15:BD18" si="19">IF(OR(B15="",F15="",B15=F15),"",IF(B15&gt;F15,"V","H"))</f>
        <v/>
      </c>
      <c r="BE15" s="77" t="s">
        <v>0</v>
      </c>
      <c r="BF15" s="77" t="str">
        <f t="shared" ref="BF15:BF18" si="20">IF(OR(B15="",F15="",B15=F15),"",ABS(B15-F15))</f>
        <v/>
      </c>
      <c r="BG15" s="77"/>
      <c r="BH15" s="77">
        <f t="shared" ref="BH15:BH18" si="21">SUM(IF(G15="H",I15,-I15),IF(K15="H",M15,-M15),IF(O15="H",Q15,-Q15),IF(S15="H",U15,-U15),IF(W15="H",Y15,-Y15),IF(AA15="H",AC15,-AC15),IF(AE15="H",AG15,-AG15),IF(AI15="H",AK15,-AK15),IF(AM15="H",AO15,-AO15),IF(AQ15="H",AS15,-AS15),IF(AU15="H",AW15,-AW15),IF(AY15="H",BA15,-BA15))</f>
        <v>0</v>
      </c>
      <c r="BI15" s="180" t="str">
        <f t="shared" ref="BI15:BI18" si="22">IF(COUNTA(G15,K15,O15,S15,W15,AA15,AE15,AI15,AM15,AQ15,AU15,AY15)&gt;0,IF(BH15&lt;0,"V","H"),"")</f>
        <v/>
      </c>
      <c r="BJ15" s="78" t="s">
        <v>0</v>
      </c>
      <c r="BK15" s="79" t="str">
        <f t="shared" ref="BK15:BK18" si="23">IF(BI15="","",IF(ABS(BH15)&lt;(COUNTA(G15,K15,O15,S15,W15,AA15,AE15,AI15,AM15,AQ15,AU15,AY15)/2),1,ROUND(ABS(BH15)/COUNTA(G15,K15,O15,S15,W15,AA15,AE15,AI15,AM15,AQ15,AU15,AY15),0)))</f>
        <v/>
      </c>
      <c r="BL15" s="75" t="str">
        <f>IF(OR(BI15="",BK15=""),"",IF($BD15="","",IF(BI15=$BD15,ABS(BK15-$BF15),ABS(BK15+$BF15))+IF(BI15&lt;&gt;$BD15,$BO$7,0)))</f>
        <v/>
      </c>
      <c r="BM15" s="21"/>
      <c r="CA15" s="20"/>
      <c r="CB15" s="4"/>
      <c r="CC15" s="4"/>
      <c r="CD15" s="4"/>
      <c r="CE15" s="4"/>
      <c r="CF15" s="4"/>
      <c r="CG15" s="4"/>
      <c r="CH15" s="4"/>
      <c r="CI15" s="4"/>
      <c r="CJ15" s="4"/>
      <c r="CK15" s="4"/>
      <c r="CL15" s="4"/>
      <c r="CM15" s="4"/>
      <c r="CN15" s="4"/>
      <c r="CO15" s="4"/>
      <c r="CP15" s="4"/>
      <c r="CQ15" s="4"/>
      <c r="CR15" s="4"/>
      <c r="CS15" s="4"/>
      <c r="CT15" s="4"/>
      <c r="DK15" s="4"/>
      <c r="DL15" s="211" t="str">
        <f>CONCATENATE($DM$5,$G$16,$DN$5)</f>
        <v xml:space="preserve">   "",</v>
      </c>
      <c r="DM15" s="11"/>
      <c r="DN15" s="11"/>
      <c r="DO15" s="6" t="str">
        <f>CONCATENATE(CHAR(34),$C$15,CHAR(34),",",CHAR(34),$C$16,CHAR(34),",",CHAR(34),$C$17,CHAR(34),",",CHAR(34),$C$18,CHAR(34))</f>
        <v>"","","",""</v>
      </c>
      <c r="DT15" s="6" t="str">
        <f>CONCATENATE(CHAR(34),$E$15,CHAR(34),",",CHAR(34),$E$16,CHAR(34),",",CHAR(34),$E$17,CHAR(34),",",CHAR(34),$E$18,CHAR(34))</f>
        <v>"","","",""</v>
      </c>
    </row>
    <row r="16" spans="1:124" s="6" customFormat="1" ht="15" customHeight="1" x14ac:dyDescent="0.2">
      <c r="A16" s="17"/>
      <c r="B16" s="80"/>
      <c r="C16" s="72"/>
      <c r="D16" s="78" t="s">
        <v>3</v>
      </c>
      <c r="E16" s="81"/>
      <c r="F16" s="82"/>
      <c r="G16" s="72"/>
      <c r="H16" s="72" t="s">
        <v>0</v>
      </c>
      <c r="I16" s="83"/>
      <c r="J16" s="74" t="str">
        <f>IF(OR(G$2="",G16="",I16=""),"",IF($BD16="","",IF(G16=$BD16,ABS(I16-$BF16),ABS(I16+$BF16))+IF(G16&lt;&gt;$BD16,$BO$7,0)))</f>
        <v/>
      </c>
      <c r="K16" s="71"/>
      <c r="L16" s="72" t="s">
        <v>0</v>
      </c>
      <c r="M16" s="83"/>
      <c r="N16" s="74" t="str">
        <f>IF(OR(K$2="",K16="",M16=""),"",IF($BD16="","",IF(K16=$BD16,ABS(M16-$BF16),ABS(M16+$BF16))+IF(K16&lt;&gt;$BD16,$BO$7,0)))</f>
        <v/>
      </c>
      <c r="O16" s="71"/>
      <c r="P16" s="72" t="s">
        <v>0</v>
      </c>
      <c r="Q16" s="83"/>
      <c r="R16" s="74" t="str">
        <f>IF(OR(O$2="",O16="",Q16=""),"",IF($BD16="","",IF(O16=$BD16,ABS(Q16-$BF16),ABS(Q16+$BF16))+IF(O16&lt;&gt;$BD16,$BO$7,0)))</f>
        <v/>
      </c>
      <c r="S16" s="71"/>
      <c r="T16" s="72" t="s">
        <v>0</v>
      </c>
      <c r="U16" s="83"/>
      <c r="V16" s="74" t="str">
        <f>IF(OR(S$2="",S16="",U16=""),"",IF($BD16="","",IF(S16=$BD16,ABS(U16-$BF16),ABS(U16+$BF16))+IF(S16&lt;&gt;$BD16,$BO$7,0)))</f>
        <v/>
      </c>
      <c r="W16" s="71"/>
      <c r="X16" s="72" t="s">
        <v>0</v>
      </c>
      <c r="Y16" s="83"/>
      <c r="Z16" s="74" t="str">
        <f>IF(OR(W$2="",W16="",Y16=""),"",IF($BD16="","",IF(W16=$BD16,ABS(Y16-$BF16),ABS(Y16+$BF16))+IF(W16&lt;&gt;$BD16,$BO$7,0)))</f>
        <v/>
      </c>
      <c r="AA16" s="71"/>
      <c r="AB16" s="72" t="s">
        <v>0</v>
      </c>
      <c r="AC16" s="83"/>
      <c r="AD16" s="74" t="str">
        <f>IF(OR(AA$2="",AA16="",AC16=""),"",IF($BD16="","",IF(AA16=$BD16,ABS(AC16-$BF16),ABS(AC16+$BF16))+IF(AA16&lt;&gt;$BD16,$BO$7,0)))</f>
        <v/>
      </c>
      <c r="AE16" s="71"/>
      <c r="AF16" s="72" t="s">
        <v>0</v>
      </c>
      <c r="AG16" s="83"/>
      <c r="AH16" s="74" t="str">
        <f>IF(OR(AE$2="",AE16="",AG16=""),"",IF($BD16="","",IF(AE16=$BD16,ABS(AG16-$BF16),ABS(AG16+$BF16))+IF(AE16&lt;&gt;$BD16,$BO$7,0)))</f>
        <v/>
      </c>
      <c r="AI16" s="71"/>
      <c r="AJ16" s="72" t="s">
        <v>0</v>
      </c>
      <c r="AK16" s="83"/>
      <c r="AL16" s="74" t="str">
        <f>IF(OR(AI$2="",AI16="",AK16=""),"",IF($BD16="","",IF(AI16=$BD16,ABS(AK16-$BF16),ABS(AK16+$BF16))+IF(AI16&lt;&gt;$BD16,$BO$7,0)))</f>
        <v/>
      </c>
      <c r="AM16" s="71"/>
      <c r="AN16" s="72" t="s">
        <v>0</v>
      </c>
      <c r="AO16" s="83"/>
      <c r="AP16" s="74" t="str">
        <f>IF(OR(AM$2="",AM16="",AO16=""),"",IF($BD16="","",IF(AM16=$BD16,ABS(AO16-$BF16),ABS(AO16+$BF16))+IF(AM16&lt;&gt;$BD16,$BO$7,0)))</f>
        <v/>
      </c>
      <c r="AQ16" s="71"/>
      <c r="AR16" s="72" t="s">
        <v>0</v>
      </c>
      <c r="AS16" s="83"/>
      <c r="AT16" s="74" t="str">
        <f>IF(OR(AQ$2="",AQ16="",AS16=""),"",IF($BD16="","",IF(AQ16=$BD16,ABS(AS16-$BF16),ABS(AS16+$BF16))+IF(AQ16&lt;&gt;$BD16,$BO$7,0)))</f>
        <v/>
      </c>
      <c r="AU16" s="71"/>
      <c r="AV16" s="72" t="s">
        <v>0</v>
      </c>
      <c r="AW16" s="83"/>
      <c r="AX16" s="74" t="str">
        <f>IF(OR(AU$2="",AU16="",AW16=""),"",IF($BD16="","",IF(AU16=$BD16,ABS(AW16-$BF16),ABS(AW16+$BF16))+IF(AU16&lt;&gt;$BD16,$BO$7,0)))</f>
        <v/>
      </c>
      <c r="AY16" s="71"/>
      <c r="AZ16" s="72" t="s">
        <v>0</v>
      </c>
      <c r="BA16" s="83"/>
      <c r="BB16" s="84" t="str">
        <f>IF(OR(AY$2="",AY16="",BA16=""),"",IF($BD16="","",IF(AY16=$BD16,ABS(BA16-$BF16),ABS(BA16+$BF16))+IF(AY16&lt;&gt;$BD16,$BO$7,0)))</f>
        <v/>
      </c>
      <c r="BC16" s="76"/>
      <c r="BD16" s="77" t="str">
        <f t="shared" si="19"/>
        <v/>
      </c>
      <c r="BE16" s="77" t="s">
        <v>0</v>
      </c>
      <c r="BF16" s="77" t="str">
        <f t="shared" si="20"/>
        <v/>
      </c>
      <c r="BG16" s="77"/>
      <c r="BH16" s="77">
        <f t="shared" si="21"/>
        <v>0</v>
      </c>
      <c r="BI16" s="180" t="str">
        <f t="shared" si="22"/>
        <v/>
      </c>
      <c r="BJ16" s="78" t="s">
        <v>0</v>
      </c>
      <c r="BK16" s="85" t="str">
        <f t="shared" si="23"/>
        <v/>
      </c>
      <c r="BL16" s="84" t="str">
        <f>IF(OR(BI16="",BK16=""),"",IF($BD16="","",IF(BI16=$BD16,ABS(BK16-$BF16),ABS(BK16+$BF16))+IF(BI16&lt;&gt;$BD16,$BO$7,0)))</f>
        <v/>
      </c>
      <c r="BM16" s="21"/>
      <c r="BQ16" s="19"/>
      <c r="BR16" s="19"/>
      <c r="BS16" s="19"/>
      <c r="BT16" s="19"/>
      <c r="BU16" s="19"/>
      <c r="BV16" s="19"/>
      <c r="BW16" s="19"/>
      <c r="BX16" s="19"/>
      <c r="BY16" s="19"/>
      <c r="BZ16" s="19"/>
      <c r="CA16" s="20"/>
      <c r="CB16" s="4"/>
      <c r="CC16" s="4"/>
      <c r="CD16" s="4"/>
      <c r="CE16" s="4"/>
      <c r="CF16" s="4"/>
      <c r="CG16" s="4"/>
      <c r="CH16" s="4"/>
      <c r="CI16" s="4"/>
      <c r="CJ16" s="4"/>
      <c r="CK16" s="4"/>
      <c r="CL16" s="4"/>
      <c r="CM16" s="4"/>
      <c r="CN16" s="4"/>
      <c r="CO16" s="4"/>
      <c r="CP16" s="4"/>
      <c r="CQ16" s="4"/>
      <c r="CR16" s="4"/>
      <c r="CS16" s="4"/>
      <c r="CT16" s="4"/>
      <c r="DK16" s="4"/>
      <c r="DL16" s="211" t="str">
        <f>CONCATENATE($DM$5,$G$17,$DN$5)</f>
        <v xml:space="preserve">   "",</v>
      </c>
      <c r="DM16" s="11"/>
      <c r="DN16" s="11"/>
      <c r="DO16" s="6" t="str">
        <f>CONCATENATE(CHAR(34),$C$23,CHAR(34),",",CHAR(34),$C$24,CHAR(34))</f>
        <v>"",""</v>
      </c>
      <c r="DT16" s="6" t="str">
        <f>CONCATENATE(CHAR(34),$E$23,CHAR(34),",",CHAR(34),$E$24,CHAR(34))</f>
        <v>"",""</v>
      </c>
    </row>
    <row r="17" spans="1:124" s="6" customFormat="1" ht="15" customHeight="1" x14ac:dyDescent="0.2">
      <c r="A17" s="17"/>
      <c r="B17" s="80"/>
      <c r="C17" s="72"/>
      <c r="D17" s="78" t="s">
        <v>3</v>
      </c>
      <c r="E17" s="81"/>
      <c r="F17" s="82"/>
      <c r="G17" s="72"/>
      <c r="H17" s="72" t="s">
        <v>0</v>
      </c>
      <c r="I17" s="83"/>
      <c r="J17" s="74" t="str">
        <f>IF(OR(G$2="",G17="",I17=""),"",IF($BD17="","",IF(G17=$BD17,ABS(I17-$BF17),ABS(I17+$BF17))+IF(G17&lt;&gt;$BD17,$BO$7,0)))</f>
        <v/>
      </c>
      <c r="K17" s="71"/>
      <c r="L17" s="72" t="s">
        <v>0</v>
      </c>
      <c r="M17" s="83"/>
      <c r="N17" s="74" t="str">
        <f>IF(OR(K$2="",K17="",M17=""),"",IF($BD17="","",IF(K17=$BD17,ABS(M17-$BF17),ABS(M17+$BF17))+IF(K17&lt;&gt;$BD17,$BO$7,0)))</f>
        <v/>
      </c>
      <c r="O17" s="71"/>
      <c r="P17" s="72" t="s">
        <v>0</v>
      </c>
      <c r="Q17" s="83"/>
      <c r="R17" s="74" t="str">
        <f>IF(OR(O$2="",O17="",Q17=""),"",IF($BD17="","",IF(O17=$BD17,ABS(Q17-$BF17),ABS(Q17+$BF17))+IF(O17&lt;&gt;$BD17,$BO$7,0)))</f>
        <v/>
      </c>
      <c r="S17" s="71"/>
      <c r="T17" s="72" t="s">
        <v>0</v>
      </c>
      <c r="U17" s="83"/>
      <c r="V17" s="74" t="str">
        <f>IF(OR(S$2="",S17="",U17=""),"",IF($BD17="","",IF(S17=$BD17,ABS(U17-$BF17),ABS(U17+$BF17))+IF(S17&lt;&gt;$BD17,$BO$7,0)))</f>
        <v/>
      </c>
      <c r="W17" s="71"/>
      <c r="X17" s="72" t="s">
        <v>0</v>
      </c>
      <c r="Y17" s="83"/>
      <c r="Z17" s="74" t="str">
        <f>IF(OR(W$2="",W17="",Y17=""),"",IF($BD17="","",IF(W17=$BD17,ABS(Y17-$BF17),ABS(Y17+$BF17))+IF(W17&lt;&gt;$BD17,$BO$7,0)))</f>
        <v/>
      </c>
      <c r="AA17" s="71"/>
      <c r="AB17" s="72" t="s">
        <v>0</v>
      </c>
      <c r="AC17" s="83"/>
      <c r="AD17" s="74" t="str">
        <f>IF(OR(AA$2="",AA17="",AC17=""),"",IF($BD17="","",IF(AA17=$BD17,ABS(AC17-$BF17),ABS(AC17+$BF17))+IF(AA17&lt;&gt;$BD17,$BO$7,0)))</f>
        <v/>
      </c>
      <c r="AE17" s="71"/>
      <c r="AF17" s="72" t="s">
        <v>0</v>
      </c>
      <c r="AG17" s="83"/>
      <c r="AH17" s="74" t="str">
        <f>IF(OR(AE$2="",AE17="",AG17=""),"",IF($BD17="","",IF(AE17=$BD17,ABS(AG17-$BF17),ABS(AG17+$BF17))+IF(AE17&lt;&gt;$BD17,$BO$7,0)))</f>
        <v/>
      </c>
      <c r="AI17" s="71"/>
      <c r="AJ17" s="72" t="s">
        <v>0</v>
      </c>
      <c r="AK17" s="83"/>
      <c r="AL17" s="74" t="str">
        <f>IF(OR(AI$2="",AI17="",AK17=""),"",IF($BD17="","",IF(AI17=$BD17,ABS(AK17-$BF17),ABS(AK17+$BF17))+IF(AI17&lt;&gt;$BD17,$BO$7,0)))</f>
        <v/>
      </c>
      <c r="AM17" s="71"/>
      <c r="AN17" s="72" t="s">
        <v>0</v>
      </c>
      <c r="AO17" s="83"/>
      <c r="AP17" s="74" t="str">
        <f>IF(OR(AM$2="",AM17="",AO17=""),"",IF($BD17="","",IF(AM17=$BD17,ABS(AO17-$BF17),ABS(AO17+$BF17))+IF(AM17&lt;&gt;$BD17,$BO$7,0)))</f>
        <v/>
      </c>
      <c r="AQ17" s="71"/>
      <c r="AR17" s="72" t="s">
        <v>0</v>
      </c>
      <c r="AS17" s="83"/>
      <c r="AT17" s="74" t="str">
        <f>IF(OR(AQ$2="",AQ17="",AS17=""),"",IF($BD17="","",IF(AQ17=$BD17,ABS(AS17-$BF17),ABS(AS17+$BF17))+IF(AQ17&lt;&gt;$BD17,$BO$7,0)))</f>
        <v/>
      </c>
      <c r="AU17" s="71"/>
      <c r="AV17" s="72" t="s">
        <v>0</v>
      </c>
      <c r="AW17" s="83"/>
      <c r="AX17" s="74" t="str">
        <f>IF(OR(AU$2="",AU17="",AW17=""),"",IF($BD17="","",IF(AU17=$BD17,ABS(AW17-$BF17),ABS(AW17+$BF17))+IF(AU17&lt;&gt;$BD17,$BO$7,0)))</f>
        <v/>
      </c>
      <c r="AY17" s="71"/>
      <c r="AZ17" s="72" t="s">
        <v>0</v>
      </c>
      <c r="BA17" s="83"/>
      <c r="BB17" s="84" t="str">
        <f>IF(OR(AY$2="",AY17="",BA17=""),"",IF($BD17="","",IF(AY17=$BD17,ABS(BA17-$BF17),ABS(BA17+$BF17))+IF(AY17&lt;&gt;$BD17,$BO$7,0)))</f>
        <v/>
      </c>
      <c r="BC17" s="76"/>
      <c r="BD17" s="77" t="str">
        <f t="shared" si="19"/>
        <v/>
      </c>
      <c r="BE17" s="77" t="s">
        <v>0</v>
      </c>
      <c r="BF17" s="77" t="str">
        <f t="shared" si="20"/>
        <v/>
      </c>
      <c r="BG17" s="77"/>
      <c r="BH17" s="77">
        <f t="shared" si="21"/>
        <v>0</v>
      </c>
      <c r="BI17" s="180" t="str">
        <f t="shared" si="22"/>
        <v/>
      </c>
      <c r="BJ17" s="78" t="s">
        <v>0</v>
      </c>
      <c r="BK17" s="85" t="str">
        <f t="shared" si="23"/>
        <v/>
      </c>
      <c r="BL17" s="84" t="str">
        <f>IF(OR(BI17="",BK17=""),"",IF($BD17="","",IF(BI17=$BD17,ABS(BK17-$BF17),ABS(BK17+$BF17))+IF(BI17&lt;&gt;$BD17,$BO$7,0)))</f>
        <v/>
      </c>
      <c r="BM17" s="21"/>
      <c r="BO17" s="14"/>
      <c r="BP17" s="15"/>
      <c r="BQ17" s="19"/>
      <c r="BR17" s="19"/>
      <c r="BS17" s="19"/>
      <c r="BT17" s="19"/>
      <c r="BU17" s="19"/>
      <c r="BV17" s="19"/>
      <c r="BW17" s="19"/>
      <c r="BX17" s="19"/>
      <c r="BY17" s="19"/>
      <c r="BZ17" s="19"/>
      <c r="CA17" s="20"/>
      <c r="CB17" s="4"/>
      <c r="CC17" s="4"/>
      <c r="CD17" s="4"/>
      <c r="CE17" s="4"/>
      <c r="CF17" s="4"/>
      <c r="CG17" s="4"/>
      <c r="CH17" s="4"/>
      <c r="CI17" s="4"/>
      <c r="CJ17" s="4"/>
      <c r="CK17" s="4"/>
      <c r="CL17" s="4"/>
      <c r="CM17" s="4"/>
      <c r="CN17" s="4"/>
      <c r="CO17" s="4"/>
      <c r="CP17" s="4"/>
      <c r="CQ17" s="4"/>
      <c r="CR17" s="4"/>
      <c r="CS17" s="4"/>
      <c r="CT17" s="4"/>
      <c r="DK17" s="4"/>
      <c r="DL17" s="211" t="str">
        <f>CONCATENATE($DM$5,$G$18,$DN$5)</f>
        <v xml:space="preserve">   "",</v>
      </c>
      <c r="DM17" s="11"/>
      <c r="DN17" s="11"/>
      <c r="DO17" s="6" t="str">
        <f>CONCATENATE(CHAR(34),$C$29,CHAR(34))</f>
        <v>""</v>
      </c>
      <c r="DT17" s="6" t="str">
        <f>CONCATENATE(CHAR(34),$E$29,CHAR(34))</f>
        <v>""</v>
      </c>
    </row>
    <row r="18" spans="1:124" s="6" customFormat="1" ht="15" customHeight="1" x14ac:dyDescent="0.2">
      <c r="A18" s="17"/>
      <c r="B18" s="86"/>
      <c r="C18" s="87"/>
      <c r="D18" s="88" t="s">
        <v>3</v>
      </c>
      <c r="E18" s="89"/>
      <c r="F18" s="90"/>
      <c r="G18" s="87"/>
      <c r="H18" s="87" t="s">
        <v>0</v>
      </c>
      <c r="I18" s="92"/>
      <c r="J18" s="93" t="str">
        <f>IF(OR(G$2="",G18="",I18=""),"",IF($BD18="","",IF(G18=$BD18,ABS(I18-$BF18),ABS(I18+$BF18))+IF(G18&lt;&gt;$BD18,$BO$7,0)))</f>
        <v/>
      </c>
      <c r="K18" s="91"/>
      <c r="L18" s="87" t="s">
        <v>0</v>
      </c>
      <c r="M18" s="92"/>
      <c r="N18" s="93" t="str">
        <f>IF(OR(K$2="",K18="",M18=""),"",IF($BD18="","",IF(K18=$BD18,ABS(M18-$BF18),ABS(M18+$BF18))+IF(K18&lt;&gt;$BD18,$BO$7,0)))</f>
        <v/>
      </c>
      <c r="O18" s="91"/>
      <c r="P18" s="87" t="s">
        <v>0</v>
      </c>
      <c r="Q18" s="92"/>
      <c r="R18" s="93" t="str">
        <f>IF(OR(O$2="",O18="",Q18=""),"",IF($BD18="","",IF(O18=$BD18,ABS(Q18-$BF18),ABS(Q18+$BF18))+IF(O18&lt;&gt;$BD18,$BO$7,0)))</f>
        <v/>
      </c>
      <c r="S18" s="91"/>
      <c r="T18" s="87" t="s">
        <v>0</v>
      </c>
      <c r="U18" s="92"/>
      <c r="V18" s="93" t="str">
        <f>IF(OR(S$2="",S18="",U18=""),"",IF($BD18="","",IF(S18=$BD18,ABS(U18-$BF18),ABS(U18+$BF18))+IF(S18&lt;&gt;$BD18,$BO$7,0)))</f>
        <v/>
      </c>
      <c r="W18" s="91"/>
      <c r="X18" s="87" t="s">
        <v>0</v>
      </c>
      <c r="Y18" s="92"/>
      <c r="Z18" s="93" t="str">
        <f>IF(OR(W$2="",W18="",Y18=""),"",IF($BD18="","",IF(W18=$BD18,ABS(Y18-$BF18),ABS(Y18+$BF18))+IF(W18&lt;&gt;$BD18,$BO$7,0)))</f>
        <v/>
      </c>
      <c r="AA18" s="91"/>
      <c r="AB18" s="87" t="s">
        <v>0</v>
      </c>
      <c r="AC18" s="92"/>
      <c r="AD18" s="93" t="str">
        <f>IF(OR(AA$2="",AA18="",AC18=""),"",IF($BD18="","",IF(AA18=$BD18,ABS(AC18-$BF18),ABS(AC18+$BF18))+IF(AA18&lt;&gt;$BD18,$BO$7,0)))</f>
        <v/>
      </c>
      <c r="AE18" s="91"/>
      <c r="AF18" s="87" t="s">
        <v>0</v>
      </c>
      <c r="AG18" s="92"/>
      <c r="AH18" s="93" t="str">
        <f>IF(OR(AE$2="",AE18="",AG18=""),"",IF($BD18="","",IF(AE18=$BD18,ABS(AG18-$BF18),ABS(AG18+$BF18))+IF(AE18&lt;&gt;$BD18,$BO$7,0)))</f>
        <v/>
      </c>
      <c r="AI18" s="91"/>
      <c r="AJ18" s="87" t="s">
        <v>0</v>
      </c>
      <c r="AK18" s="92"/>
      <c r="AL18" s="93" t="str">
        <f>IF(OR(AI$2="",AI18="",AK18=""),"",IF($BD18="","",IF(AI18=$BD18,ABS(AK18-$BF18),ABS(AK18+$BF18))+IF(AI18&lt;&gt;$BD18,$BO$7,0)))</f>
        <v/>
      </c>
      <c r="AM18" s="91"/>
      <c r="AN18" s="87" t="s">
        <v>0</v>
      </c>
      <c r="AO18" s="92"/>
      <c r="AP18" s="93" t="str">
        <f>IF(OR(AM$2="",AM18="",AO18=""),"",IF($BD18="","",IF(AM18=$BD18,ABS(AO18-$BF18),ABS(AO18+$BF18))+IF(AM18&lt;&gt;$BD18,$BO$7,0)))</f>
        <v/>
      </c>
      <c r="AQ18" s="91"/>
      <c r="AR18" s="87" t="s">
        <v>0</v>
      </c>
      <c r="AS18" s="92"/>
      <c r="AT18" s="93" t="str">
        <f>IF(OR(AQ$2="",AQ18="",AS18=""),"",IF($BD18="","",IF(AQ18=$BD18,ABS(AS18-$BF18),ABS(AS18+$BF18))+IF(AQ18&lt;&gt;$BD18,$BO$7,0)))</f>
        <v/>
      </c>
      <c r="AU18" s="91"/>
      <c r="AV18" s="87" t="s">
        <v>0</v>
      </c>
      <c r="AW18" s="92"/>
      <c r="AX18" s="93" t="str">
        <f>IF(OR(AU$2="",AU18="",AW18=""),"",IF($BD18="","",IF(AU18=$BD18,ABS(AW18-$BF18),ABS(AW18+$BF18))+IF(AU18&lt;&gt;$BD18,$BO$7,0)))</f>
        <v/>
      </c>
      <c r="AY18" s="91"/>
      <c r="AZ18" s="87" t="s">
        <v>0</v>
      </c>
      <c r="BA18" s="92"/>
      <c r="BB18" s="94" t="str">
        <f>IF(OR(AY$2="",AY18="",BA18=""),"",IF($BD18="","",IF(AY18=$BD18,ABS(BA18-$BF18),ABS(BA18+$BF18))+IF(AY18&lt;&gt;$BD18,$BO$7,0)))</f>
        <v/>
      </c>
      <c r="BC18" s="76"/>
      <c r="BD18" s="77" t="str">
        <f t="shared" si="19"/>
        <v/>
      </c>
      <c r="BE18" s="77" t="s">
        <v>0</v>
      </c>
      <c r="BF18" s="77" t="str">
        <f t="shared" si="20"/>
        <v/>
      </c>
      <c r="BG18" s="77"/>
      <c r="BH18" s="77">
        <f t="shared" si="21"/>
        <v>0</v>
      </c>
      <c r="BI18" s="181" t="str">
        <f t="shared" si="22"/>
        <v/>
      </c>
      <c r="BJ18" s="88" t="s">
        <v>0</v>
      </c>
      <c r="BK18" s="95" t="str">
        <f t="shared" si="23"/>
        <v/>
      </c>
      <c r="BL18" s="94" t="str">
        <f>IF(OR(BI18="",BK18=""),"",IF($BD18="","",IF(BI18=$BD18,ABS(BK18-$BF18),ABS(BK18+$BF18))+IF(BI18&lt;&gt;$BD18,$BO$7,0)))</f>
        <v/>
      </c>
      <c r="BM18" s="21"/>
      <c r="BO18" s="14"/>
      <c r="BP18" s="15"/>
      <c r="BQ18" s="19"/>
      <c r="BR18" s="19"/>
      <c r="BS18" s="19"/>
      <c r="BT18" s="19"/>
      <c r="BU18" s="19"/>
      <c r="BV18" s="19"/>
      <c r="BW18" s="19"/>
      <c r="BX18" s="19"/>
      <c r="BY18" s="19"/>
      <c r="BZ18" s="19"/>
      <c r="CA18" s="20"/>
      <c r="CB18" s="4"/>
      <c r="CC18" s="4"/>
      <c r="CD18" s="4"/>
      <c r="CE18" s="4"/>
      <c r="CF18" s="4"/>
      <c r="CG18" s="4"/>
      <c r="CH18" s="4"/>
      <c r="CI18" s="4"/>
      <c r="CJ18" s="4"/>
      <c r="CK18" s="4"/>
      <c r="CL18" s="4"/>
      <c r="CM18" s="4"/>
      <c r="CN18" s="4"/>
      <c r="CO18" s="4"/>
      <c r="CP18" s="4"/>
      <c r="CQ18" s="4"/>
      <c r="CR18" s="4"/>
      <c r="CS18" s="4"/>
      <c r="CT18" s="4"/>
      <c r="DK18" s="4"/>
      <c r="DL18" s="211" t="str">
        <f>CONCATENATE($DM$5,$G$23,$DN$5)</f>
        <v xml:space="preserve">   "",</v>
      </c>
      <c r="DM18" s="11"/>
      <c r="DN18" s="11"/>
    </row>
    <row r="19" spans="1:124" s="6" customFormat="1" ht="15" customHeight="1" x14ac:dyDescent="0.2">
      <c r="A19" s="17"/>
      <c r="B19" s="224"/>
      <c r="C19" s="225"/>
      <c r="D19" s="226"/>
      <c r="E19" s="227" t="str">
        <f>IF(C18&lt;&gt;"",""""&amp;C18&amp;" at "&amp;E18&amp;""" Total Points:  ","Total Points:  ")</f>
        <v xml:space="preserve">Total Points:  </v>
      </c>
      <c r="F19" s="228" t="str">
        <f>IF(SUM(B18,F18)=0,"",SUM(B18,F18))</f>
        <v/>
      </c>
      <c r="G19" s="229"/>
      <c r="H19" s="230" t="s">
        <v>61</v>
      </c>
      <c r="I19" s="231"/>
      <c r="J19" s="232" t="str">
        <f>IF(J64="","",IF(J64=0,"exact",IF(J64&lt;0,ABS(J64)&amp;" over",IF(J64&gt;0,ABS(J64)&amp;" under",""))))</f>
        <v/>
      </c>
      <c r="K19" s="233"/>
      <c r="L19" s="230" t="s">
        <v>61</v>
      </c>
      <c r="M19" s="231"/>
      <c r="N19" s="232" t="str">
        <f>IF(N64="","",IF(N64=0,"exact",IF(N64&lt;0,ABS(N64)&amp;" over",IF(N64&gt;0,ABS(N64)&amp;" under",""))))</f>
        <v/>
      </c>
      <c r="O19" s="233"/>
      <c r="P19" s="230" t="s">
        <v>61</v>
      </c>
      <c r="Q19" s="231"/>
      <c r="R19" s="232" t="str">
        <f>IF(R64="","",IF(R64=0,"exact",IF(R64&lt;0,ABS(R64)&amp;" over",IF(R64&gt;0,ABS(R64)&amp;" under",""))))</f>
        <v/>
      </c>
      <c r="S19" s="233"/>
      <c r="T19" s="230" t="s">
        <v>61</v>
      </c>
      <c r="U19" s="231"/>
      <c r="V19" s="232" t="str">
        <f>IF(V64="","",IF(V64=0,"exact",IF(V64&lt;0,ABS(V64)&amp;" over",IF(V64&gt;0,ABS(V64)&amp;" under",""))))</f>
        <v/>
      </c>
      <c r="W19" s="233"/>
      <c r="X19" s="230" t="s">
        <v>61</v>
      </c>
      <c r="Y19" s="231"/>
      <c r="Z19" s="232" t="str">
        <f>IF(Z64="","",IF(Z64=0,"exact",IF(Z64&lt;0,ABS(Z64)&amp;" over",IF(Z64&gt;0,ABS(Z64)&amp;" under",""))))</f>
        <v/>
      </c>
      <c r="AA19" s="233"/>
      <c r="AB19" s="230" t="s">
        <v>61</v>
      </c>
      <c r="AC19" s="231"/>
      <c r="AD19" s="232" t="str">
        <f>IF(AD64="","",IF(AD64=0,"exact",IF(AD64&lt;0,ABS(AD64)&amp;" over",IF(AD64&gt;0,ABS(AD64)&amp;" under",""))))</f>
        <v/>
      </c>
      <c r="AE19" s="233"/>
      <c r="AF19" s="230" t="s">
        <v>61</v>
      </c>
      <c r="AG19" s="231"/>
      <c r="AH19" s="232" t="str">
        <f>IF(AH64="","",IF(AH64=0,"exact",IF(AH64&lt;0,ABS(AH64)&amp;" over",IF(AH64&gt;0,ABS(AH64)&amp;" under",""))))</f>
        <v/>
      </c>
      <c r="AI19" s="233"/>
      <c r="AJ19" s="230" t="s">
        <v>61</v>
      </c>
      <c r="AK19" s="231"/>
      <c r="AL19" s="232" t="str">
        <f>IF(AL64="","",IF(AL64=0,"exact",IF(AL64&lt;0,ABS(AL64)&amp;" over",IF(AL64&gt;0,ABS(AL64)&amp;" under",""))))</f>
        <v/>
      </c>
      <c r="AM19" s="233"/>
      <c r="AN19" s="230" t="s">
        <v>61</v>
      </c>
      <c r="AO19" s="231"/>
      <c r="AP19" s="232" t="str">
        <f>IF(AP64="","",IF(AP64=0,"exact",IF(AP64&lt;0,ABS(AP64)&amp;" over",IF(AP64&gt;0,ABS(AP64)&amp;" under",""))))</f>
        <v/>
      </c>
      <c r="AQ19" s="233"/>
      <c r="AR19" s="230" t="s">
        <v>61</v>
      </c>
      <c r="AS19" s="231"/>
      <c r="AT19" s="232" t="str">
        <f>IF(AT64="","",IF(AT64=0,"exact",IF(AT64&lt;0,ABS(AT64)&amp;" over",IF(AT64&gt;0,ABS(AT64)&amp;" under",""))))</f>
        <v/>
      </c>
      <c r="AU19" s="233"/>
      <c r="AV19" s="230" t="s">
        <v>61</v>
      </c>
      <c r="AW19" s="231"/>
      <c r="AX19" s="232" t="str">
        <f>IF(AX64="","",IF(AX64=0,"exact",IF(AX64&lt;0,ABS(AX64)&amp;" over",IF(AX64&gt;0,ABS(AX64)&amp;" under",""))))</f>
        <v/>
      </c>
      <c r="AY19" s="233"/>
      <c r="AZ19" s="230" t="s">
        <v>61</v>
      </c>
      <c r="BA19" s="231"/>
      <c r="BB19" s="234" t="str">
        <f>IF(BB64="","",IF(BB64=0,"exact",IF(BB64&lt;0,ABS(BB64)&amp;" over",IF(BB64&gt;0,ABS(BB64)&amp;" under",""))))</f>
        <v/>
      </c>
      <c r="BC19" s="76"/>
      <c r="BD19" s="77"/>
      <c r="BE19" s="77"/>
      <c r="BF19" s="77"/>
      <c r="BG19" s="77"/>
      <c r="BH19" s="164"/>
      <c r="BI19" s="60"/>
      <c r="BJ19" s="61" t="s">
        <v>61</v>
      </c>
      <c r="BK19" s="62" t="str">
        <f>IF(SUM(I19,M19,Q19,U19,Y19,AC19,AG19,AK19,AO19,AS19,AW19,BA19)=0,"",ROUND(AVERAGE(I19,M19,Q19,U19,Y19,AC19,AG19,AK19,AO19,AS19,AW19,BA19),0))</f>
        <v/>
      </c>
      <c r="BL19" s="65" t="str">
        <f>IF(OR($F19="",BK19=""),"",$F19-BK19)</f>
        <v/>
      </c>
      <c r="BQ19" s="19"/>
      <c r="BR19" s="19"/>
      <c r="BS19" s="19"/>
      <c r="BT19" s="19"/>
      <c r="BU19" s="19"/>
      <c r="BV19" s="19"/>
      <c r="BW19" s="19"/>
      <c r="BX19" s="19"/>
      <c r="CA19" s="20"/>
      <c r="CB19" s="4"/>
      <c r="CC19" s="4"/>
      <c r="CD19" s="4"/>
      <c r="CE19" s="4"/>
      <c r="CF19" s="4"/>
      <c r="CG19" s="4"/>
      <c r="CH19" s="4"/>
      <c r="CI19" s="4"/>
      <c r="CJ19" s="4"/>
      <c r="CK19" s="4"/>
      <c r="CL19" s="4"/>
      <c r="CM19" s="4"/>
      <c r="CN19" s="4"/>
      <c r="CO19" s="4"/>
      <c r="CP19" s="4"/>
      <c r="CQ19" s="4"/>
      <c r="CR19" s="4"/>
      <c r="CS19" s="4"/>
      <c r="CT19" s="4"/>
      <c r="DK19" s="4"/>
      <c r="DL19" s="211" t="str">
        <f>CONCATENATE($DM$5,$G$24,$DN$5)</f>
        <v xml:space="preserve">   "",</v>
      </c>
      <c r="DM19" s="11"/>
      <c r="DN19" s="11"/>
    </row>
    <row r="20" spans="1:124" s="6" customFormat="1" ht="18" customHeight="1" thickBot="1" x14ac:dyDescent="0.25">
      <c r="A20" s="17"/>
      <c r="B20" s="120"/>
      <c r="C20" s="119"/>
      <c r="D20" s="119"/>
      <c r="E20" s="121"/>
      <c r="F20" s="168" t="s">
        <v>77</v>
      </c>
      <c r="G20" s="125"/>
      <c r="H20" s="105" t="s">
        <v>2</v>
      </c>
      <c r="I20" s="106" t="str">
        <f>IF(J20="","",IF(OR(RANK(J41,$J41:$BB41,1)&gt;1,AND(RANK(J41,$J41:$BB41,1)=1,COUNTIF($J41:$BB41,J41)=1)),RANK(J41,$J41:$BB41,1),IF(MIN($J63:$BB63)=J63,1,COUNTIF($J63:$BB63,MIN($J63:$BB63))+1)))</f>
        <v/>
      </c>
      <c r="J20" s="220" t="str">
        <f>IF(G$2="","",(IF(AND(COUNTBLANK(G15:G18)=0,COUNTBLANK(I15:I18)=0),(SUM(J15:J18))*$BO$20,"")))</f>
        <v/>
      </c>
      <c r="K20" s="104"/>
      <c r="L20" s="105" t="s">
        <v>2</v>
      </c>
      <c r="M20" s="106" t="str">
        <f>IF(N20="","",IF(OR(RANK(N41,$J41:$BB41,1)&gt;1,AND(RANK(N41,$J41:$BB41,1)=1,COUNTIF($J41:$BB41,N41)=1)),RANK(N41,$J41:$BB41,1),IF(MIN($J63:$BB63)=N63,1,COUNTIF($J63:$BB63,MIN($J63:$BB63))+1)))</f>
        <v/>
      </c>
      <c r="N20" s="220" t="str">
        <f>IF(K$2="","",(IF(AND(COUNTBLANK(K15:K18)=0,COUNTBLANK(M15:M18)=0),(SUM(N15:N18))*$BO$20,"")))</f>
        <v/>
      </c>
      <c r="O20" s="104"/>
      <c r="P20" s="105" t="s">
        <v>2</v>
      </c>
      <c r="Q20" s="106" t="str">
        <f>IF(R20="","",IF(OR(RANK(R41,$J41:$BB41,1)&gt;1,AND(RANK(R41,$J41:$BB41,1)=1,COUNTIF($J41:$BB41,R41)=1)),RANK(R41,$J41:$BB41,1),IF(MIN($J63:$BB63)=R63,1,COUNTIF($J63:$BB63,MIN($J63:$BB63))+1)))</f>
        <v/>
      </c>
      <c r="R20" s="220" t="str">
        <f>IF(O$2="","",(IF(AND(COUNTBLANK(O15:O18)=0,COUNTBLANK(Q15:Q18)=0),(SUM(R15:R18))*$BO$20,"")))</f>
        <v/>
      </c>
      <c r="S20" s="104"/>
      <c r="T20" s="105" t="s">
        <v>2</v>
      </c>
      <c r="U20" s="106" t="str">
        <f>IF(V20="","",IF(OR(RANK(V41,$J41:$BB41,1)&gt;1,AND(RANK(V41,$J41:$BB41,1)=1,COUNTIF($J41:$BB41,V41)=1)),RANK(V41,$J41:$BB41,1),IF(MIN($J63:$BB63)=V63,1,COUNTIF($J63:$BB63,MIN($J63:$BB63))+1)))</f>
        <v/>
      </c>
      <c r="V20" s="220" t="str">
        <f>IF(S$2="","",(IF(AND(COUNTBLANK(S15:S18)=0,COUNTBLANK(U15:U18)=0),(SUM(V15:V18))*$BO$20,"")))</f>
        <v/>
      </c>
      <c r="W20" s="104"/>
      <c r="X20" s="105" t="s">
        <v>2</v>
      </c>
      <c r="Y20" s="106" t="str">
        <f>IF(Z20="","",IF(OR(RANK(Z41,$J41:$BB41,1)&gt;1,AND(RANK(Z41,$J41:$BB41,1)=1,COUNTIF($J41:$BB41,Z41)=1)),RANK(Z41,$J41:$BB41,1),IF(MIN($J63:$BB63)=Z63,1,COUNTIF($J63:$BB63,MIN($J63:$BB63))+1)))</f>
        <v/>
      </c>
      <c r="Z20" s="220" t="str">
        <f>IF(W$2="","",(IF(AND(COUNTBLANK(W15:W18)=0,COUNTBLANK(Y15:Y18)=0),(SUM(Z15:Z18))*$BO$20,"")))</f>
        <v/>
      </c>
      <c r="AA20" s="104"/>
      <c r="AB20" s="105" t="s">
        <v>2</v>
      </c>
      <c r="AC20" s="106" t="str">
        <f>IF(AD20="","",IF(OR(RANK(AD41,$J41:$BB41,1)&gt;1,AND(RANK(AD41,$J41:$BB41,1)=1,COUNTIF($J41:$BB41,AD41)=1)),RANK(AD41,$J41:$BB41,1),IF(MIN($J63:$BB63)=AD63,1,COUNTIF($J63:$BB63,MIN($J63:$BB63))+1)))</f>
        <v/>
      </c>
      <c r="AD20" s="220" t="str">
        <f>IF(AA$2="","",(IF(AND(COUNTBLANK(AA15:AA18)=0,COUNTBLANK(AC15:AC18)=0),(SUM(AD15:AD18))*$BO$20,"")))</f>
        <v/>
      </c>
      <c r="AE20" s="104"/>
      <c r="AF20" s="105" t="s">
        <v>2</v>
      </c>
      <c r="AG20" s="106" t="str">
        <f>IF(AH20="","",IF(OR(RANK(AH41,$J41:$BB41,1)&gt;1,AND(RANK(AH41,$J41:$BB41,1)=1,COUNTIF($J41:$BB41,AH41)=1)),RANK(AH41,$J41:$BB41,1),IF(MIN($J63:$BB63)=AH63,1,COUNTIF($J63:$BB63,MIN($J63:$BB63))+1)))</f>
        <v/>
      </c>
      <c r="AH20" s="220" t="str">
        <f>IF(AE$2="","",(IF(AND(COUNTBLANK(AE15:AE18)=0,COUNTBLANK(AG15:AG18)=0),(SUM(AH15:AH18))*$BO$20,"")))</f>
        <v/>
      </c>
      <c r="AI20" s="104"/>
      <c r="AJ20" s="105" t="s">
        <v>2</v>
      </c>
      <c r="AK20" s="106" t="str">
        <f>IF(AL20="","",IF(OR(RANK(AL41,$J41:$BB41,1)&gt;1,AND(RANK(AL41,$J41:$BB41,1)=1,COUNTIF($J41:$BB41,AL41)=1)),RANK(AL41,$J41:$BB41,1),IF(MIN($J63:$BB63)=AL63,1,COUNTIF($J63:$BB63,MIN($J63:$BB63))+1)))</f>
        <v/>
      </c>
      <c r="AL20" s="220" t="str">
        <f>IF(AI$2="","",(IF(AND(COUNTBLANK(AI15:AI18)=0,COUNTBLANK(AK15:AK18)=0),(SUM(AL15:AL18))*$BO$20,"")))</f>
        <v/>
      </c>
      <c r="AM20" s="104"/>
      <c r="AN20" s="105" t="s">
        <v>2</v>
      </c>
      <c r="AO20" s="106" t="str">
        <f>IF(AP20="","",IF(OR(RANK(AP41,$J41:$BB41,1)&gt;1,AND(RANK(AP41,$J41:$BB41,1)=1,COUNTIF($J41:$BB41,AP41)=1)),RANK(AP41,$J41:$BB41,1),IF(MIN($J63:$BB63)=AP63,1,COUNTIF($J63:$BB63,MIN($J63:$BB63))+1)))</f>
        <v/>
      </c>
      <c r="AP20" s="220" t="str">
        <f>IF(AM$2="","",(IF(AND(COUNTBLANK(AM15:AM18)=0,COUNTBLANK(AO15:AO18)=0),(SUM(AP15:AP18))*$BO$20,"")))</f>
        <v/>
      </c>
      <c r="AQ20" s="104"/>
      <c r="AR20" s="105" t="s">
        <v>2</v>
      </c>
      <c r="AS20" s="106" t="str">
        <f>IF(AT20="","",IF(OR(RANK(AT41,$J41:$BB41,1)&gt;1,AND(RANK(AT41,$J41:$BB41,1)=1,COUNTIF($J41:$BB41,AT41)=1)),RANK(AT41,$J41:$BB41,1),IF(MIN($J63:$BB63)=AT63,1,COUNTIF($J63:$BB63,MIN($J63:$BB63))+1)))</f>
        <v/>
      </c>
      <c r="AT20" s="220" t="str">
        <f>IF(AQ$2="","",(IF(AND(COUNTBLANK(AQ15:AQ18)=0,COUNTBLANK(AS15:AS18)=0),(SUM(AT15:AT18))*$BO$20,"")))</f>
        <v/>
      </c>
      <c r="AU20" s="104"/>
      <c r="AV20" s="105" t="s">
        <v>2</v>
      </c>
      <c r="AW20" s="106" t="str">
        <f>IF(AX20="","",IF(OR(RANK(AX41,$J41:$BB41,1)&gt;1,AND(RANK(AX41,$J41:$BB41,1)=1,COUNTIF($J41:$BB41,AX41)=1)),RANK(AX41,$J41:$BB41,1),IF(MIN($J63:$BB63)=AX63,1,COUNTIF($J63:$BB63,MIN($J63:$BB63))+1)))</f>
        <v/>
      </c>
      <c r="AX20" s="220" t="str">
        <f>IF(AU$2="","",(IF(AND(COUNTBLANK(AU15:AU18)=0,COUNTBLANK(AW15:AW18)=0),(SUM(AX15:AX18))*$BO$20,"")))</f>
        <v/>
      </c>
      <c r="AY20" s="109"/>
      <c r="AZ20" s="107" t="s">
        <v>2</v>
      </c>
      <c r="BA20" s="108" t="str">
        <f>IF(BB20="","",IF(OR(RANK(BB41,$J41:$BB41,1)&gt;1,AND(RANK(BB41,$J41:$BB41,1)=1,COUNTIF($J41:$BB41,BB41)=1)),RANK(BB41,$J41:$BB41,1),IF(MIN($J63:$BB63)=BB63,1,COUNTIF($J63:$BB63,MIN($J63:$BB63))+1)))</f>
        <v/>
      </c>
      <c r="BB20" s="219" t="str">
        <f>IF(AY$2="","",(IF(AND(COUNTBLANK(AY15:AY18)=0,COUNTBLANK(BA15:BA18)=0),(SUM(BB15:BB18))*$BO$20,"")))</f>
        <v/>
      </c>
      <c r="BC20" s="76"/>
      <c r="BD20" s="76"/>
      <c r="BE20" s="76"/>
      <c r="BF20" s="76"/>
      <c r="BG20" s="76"/>
      <c r="BH20" s="164"/>
      <c r="BI20" s="183"/>
      <c r="BJ20" s="107" t="s">
        <v>2</v>
      </c>
      <c r="BK20" s="108" t="str">
        <f>IF(BL20="","",RANK(BL41,$J41:$BL41,1))</f>
        <v/>
      </c>
      <c r="BL20" s="219" t="str">
        <f>IF(AND(COUNTBLANK(BI15:BI18)=0,COUNTBLANK(BK15:BK18)=0),(SUM(BL15:BL18))*$BO$20,"")</f>
        <v/>
      </c>
      <c r="BM20" s="18"/>
      <c r="BO20" s="14">
        <v>1.5</v>
      </c>
      <c r="BP20" s="15" t="s">
        <v>13</v>
      </c>
      <c r="BQ20" s="19"/>
      <c r="BR20" s="19"/>
      <c r="BS20" s="19"/>
      <c r="BT20" s="19"/>
      <c r="BU20" s="19"/>
      <c r="BV20" s="19"/>
      <c r="BW20" s="19"/>
      <c r="BX20" s="19"/>
      <c r="BY20" s="19"/>
      <c r="BZ20" s="19"/>
      <c r="CA20" s="20"/>
      <c r="CB20" s="4"/>
      <c r="CC20" s="4"/>
      <c r="CD20" s="4"/>
      <c r="CE20" s="4"/>
      <c r="CF20" s="4"/>
      <c r="CG20" s="4"/>
      <c r="CH20" s="4"/>
      <c r="CI20" s="4"/>
      <c r="CJ20" s="4"/>
      <c r="CK20" s="4"/>
      <c r="CL20" s="4"/>
      <c r="CM20" s="4"/>
      <c r="CN20" s="4"/>
      <c r="CO20" s="4"/>
      <c r="CP20" s="4"/>
      <c r="CQ20" s="4"/>
      <c r="CR20" s="4"/>
      <c r="CS20" s="4"/>
      <c r="CT20" s="4"/>
      <c r="DK20" s="4"/>
      <c r="DL20" s="211" t="str">
        <f>CONCATENATE($DM$5,$G$29,$DN$6)</f>
        <v xml:space="preserve">   ""</v>
      </c>
      <c r="DM20" s="11"/>
      <c r="DN20" s="11"/>
    </row>
    <row r="21" spans="1:124" s="6" customFormat="1" ht="8.1" customHeight="1" thickBot="1" x14ac:dyDescent="0.25">
      <c r="A21" s="17"/>
      <c r="B21" s="130"/>
      <c r="C21" s="63"/>
      <c r="D21" s="63"/>
      <c r="E21" s="122"/>
      <c r="F21" s="131"/>
      <c r="G21" s="126"/>
      <c r="H21" s="110"/>
      <c r="I21" s="126"/>
      <c r="J21" s="132"/>
      <c r="K21" s="126"/>
      <c r="L21" s="110"/>
      <c r="M21" s="126"/>
      <c r="N21" s="132"/>
      <c r="O21" s="126"/>
      <c r="P21" s="110"/>
      <c r="Q21" s="126"/>
      <c r="R21" s="132"/>
      <c r="S21" s="126"/>
      <c r="T21" s="110"/>
      <c r="U21" s="126"/>
      <c r="V21" s="132"/>
      <c r="W21" s="126"/>
      <c r="X21" s="110"/>
      <c r="Y21" s="126"/>
      <c r="Z21" s="132"/>
      <c r="AA21" s="126"/>
      <c r="AB21" s="110"/>
      <c r="AC21" s="126"/>
      <c r="AD21" s="132"/>
      <c r="AE21" s="126"/>
      <c r="AF21" s="110"/>
      <c r="AG21" s="126"/>
      <c r="AH21" s="132"/>
      <c r="AI21" s="126"/>
      <c r="AJ21" s="110"/>
      <c r="AK21" s="126"/>
      <c r="AL21" s="132"/>
      <c r="AM21" s="126"/>
      <c r="AN21" s="110"/>
      <c r="AO21" s="126"/>
      <c r="AP21" s="132"/>
      <c r="AQ21" s="126"/>
      <c r="AR21" s="110"/>
      <c r="AS21" s="126"/>
      <c r="AT21" s="132"/>
      <c r="AU21" s="126"/>
      <c r="AV21" s="110"/>
      <c r="AW21" s="126"/>
      <c r="AX21" s="132"/>
      <c r="AY21" s="126"/>
      <c r="AZ21" s="110"/>
      <c r="BA21" s="126"/>
      <c r="BB21" s="111"/>
      <c r="BC21" s="76"/>
      <c r="BD21" s="76"/>
      <c r="BE21" s="76"/>
      <c r="BF21" s="76"/>
      <c r="BG21" s="76"/>
      <c r="BH21" s="165"/>
      <c r="BI21" s="178"/>
      <c r="BJ21" s="110"/>
      <c r="BK21" s="126"/>
      <c r="BL21" s="111"/>
      <c r="BM21" s="18"/>
      <c r="BO21" s="14"/>
      <c r="BP21" s="15"/>
      <c r="BQ21" s="19"/>
      <c r="BR21" s="19"/>
      <c r="BS21" s="19"/>
      <c r="BT21" s="19"/>
      <c r="BU21" s="19"/>
      <c r="BV21" s="19"/>
      <c r="BW21" s="19"/>
      <c r="BX21" s="19"/>
      <c r="BY21" s="19"/>
      <c r="BZ21" s="19"/>
      <c r="CA21" s="20"/>
      <c r="CB21" s="4"/>
      <c r="CC21" s="4"/>
      <c r="CD21" s="4"/>
      <c r="CE21" s="4"/>
      <c r="CF21" s="4"/>
      <c r="CG21" s="4"/>
      <c r="CH21" s="4"/>
      <c r="CI21" s="4"/>
      <c r="CJ21" s="4"/>
      <c r="CK21" s="4"/>
      <c r="CL21" s="4"/>
      <c r="CM21" s="4"/>
      <c r="CN21" s="4"/>
      <c r="CO21" s="4"/>
      <c r="CP21" s="4"/>
      <c r="CQ21" s="4"/>
      <c r="CR21" s="4"/>
      <c r="CS21" s="4"/>
      <c r="CT21" s="4"/>
      <c r="DK21" s="4"/>
      <c r="DL21" s="211" t="s">
        <v>28</v>
      </c>
      <c r="DM21" s="11"/>
      <c r="DN21" s="11"/>
    </row>
    <row r="22" spans="1:124" s="6" customFormat="1" ht="18" customHeight="1" thickBot="1" x14ac:dyDescent="0.25">
      <c r="A22" s="17"/>
      <c r="B22" s="258" t="s">
        <v>123</v>
      </c>
      <c r="C22" s="259"/>
      <c r="D22" s="259"/>
      <c r="E22" s="259"/>
      <c r="F22" s="260"/>
      <c r="G22" s="169"/>
      <c r="H22" s="169" t="s">
        <v>125</v>
      </c>
      <c r="I22" s="170"/>
      <c r="J22" s="171" t="s">
        <v>1</v>
      </c>
      <c r="K22" s="172"/>
      <c r="L22" s="169" t="s">
        <v>125</v>
      </c>
      <c r="M22" s="170"/>
      <c r="N22" s="171" t="s">
        <v>1</v>
      </c>
      <c r="O22" s="172"/>
      <c r="P22" s="169" t="s">
        <v>125</v>
      </c>
      <c r="Q22" s="170"/>
      <c r="R22" s="171" t="s">
        <v>1</v>
      </c>
      <c r="S22" s="172"/>
      <c r="T22" s="169" t="s">
        <v>125</v>
      </c>
      <c r="U22" s="170"/>
      <c r="V22" s="171" t="s">
        <v>1</v>
      </c>
      <c r="W22" s="172"/>
      <c r="X22" s="169" t="s">
        <v>125</v>
      </c>
      <c r="Y22" s="170"/>
      <c r="Z22" s="171" t="s">
        <v>1</v>
      </c>
      <c r="AA22" s="172"/>
      <c r="AB22" s="169" t="s">
        <v>125</v>
      </c>
      <c r="AC22" s="170"/>
      <c r="AD22" s="171" t="s">
        <v>1</v>
      </c>
      <c r="AE22" s="172"/>
      <c r="AF22" s="169" t="s">
        <v>125</v>
      </c>
      <c r="AG22" s="170"/>
      <c r="AH22" s="171" t="s">
        <v>1</v>
      </c>
      <c r="AI22" s="172"/>
      <c r="AJ22" s="169" t="s">
        <v>125</v>
      </c>
      <c r="AK22" s="170"/>
      <c r="AL22" s="171" t="s">
        <v>1</v>
      </c>
      <c r="AM22" s="172"/>
      <c r="AN22" s="169" t="s">
        <v>125</v>
      </c>
      <c r="AO22" s="170"/>
      <c r="AP22" s="171" t="s">
        <v>1</v>
      </c>
      <c r="AQ22" s="172"/>
      <c r="AR22" s="169" t="s">
        <v>125</v>
      </c>
      <c r="AS22" s="170"/>
      <c r="AT22" s="171" t="s">
        <v>1</v>
      </c>
      <c r="AU22" s="172"/>
      <c r="AV22" s="169" t="s">
        <v>125</v>
      </c>
      <c r="AW22" s="170"/>
      <c r="AX22" s="171" t="s">
        <v>1</v>
      </c>
      <c r="AY22" s="172"/>
      <c r="AZ22" s="169" t="s">
        <v>125</v>
      </c>
      <c r="BA22" s="170"/>
      <c r="BB22" s="173" t="s">
        <v>1</v>
      </c>
      <c r="BC22" s="76"/>
      <c r="BD22" s="103"/>
      <c r="BE22" s="103"/>
      <c r="BF22" s="103"/>
      <c r="BG22" s="103"/>
      <c r="BH22" s="165"/>
      <c r="BI22" s="179"/>
      <c r="BJ22" s="169" t="s">
        <v>125</v>
      </c>
      <c r="BK22" s="170"/>
      <c r="BL22" s="173" t="s">
        <v>1</v>
      </c>
      <c r="BM22" s="21"/>
      <c r="BO22" s="14">
        <f>COUNTIF(J40:BB40,1)</f>
        <v>0</v>
      </c>
      <c r="BP22" s="15" t="s">
        <v>19</v>
      </c>
      <c r="BQ22" s="19"/>
      <c r="BR22" s="19"/>
      <c r="BS22" s="19"/>
      <c r="BT22" s="19"/>
      <c r="BU22" s="19"/>
      <c r="BV22" s="19"/>
      <c r="BW22" s="19"/>
      <c r="BX22" s="19"/>
      <c r="BY22" s="19"/>
      <c r="BZ22" s="19"/>
      <c r="CA22" s="20"/>
      <c r="CB22" s="4"/>
      <c r="CC22" s="4"/>
      <c r="CD22" s="4"/>
      <c r="CE22" s="4"/>
      <c r="CF22" s="4"/>
      <c r="CG22" s="4"/>
      <c r="CH22" s="4"/>
      <c r="CI22" s="4"/>
      <c r="CJ22" s="4"/>
      <c r="CK22" s="4"/>
      <c r="CL22" s="4"/>
      <c r="CM22" s="4"/>
      <c r="CN22" s="4"/>
      <c r="CO22" s="4"/>
      <c r="CP22" s="4"/>
      <c r="CQ22" s="4"/>
      <c r="CR22" s="4"/>
      <c r="CS22" s="4"/>
      <c r="CT22" s="4"/>
      <c r="DK22" s="4"/>
      <c r="DL22" s="211"/>
      <c r="DM22" s="11"/>
      <c r="DN22" s="11"/>
    </row>
    <row r="23" spans="1:124" s="6" customFormat="1" ht="15" customHeight="1" x14ac:dyDescent="0.2">
      <c r="A23" s="17"/>
      <c r="B23" s="66"/>
      <c r="C23" s="67"/>
      <c r="D23" s="68" t="s">
        <v>3</v>
      </c>
      <c r="E23" s="69"/>
      <c r="F23" s="82"/>
      <c r="G23" s="72"/>
      <c r="H23" s="72" t="s">
        <v>0</v>
      </c>
      <c r="I23" s="73"/>
      <c r="J23" s="74" t="str">
        <f>IF(OR(G$2="",G23="",I23=""),"",IF($BD23="","",IF(G23=$BD23,ABS(I23-$BF23),ABS(I23+$BF23))+IF(G23&lt;&gt;$BD23,$BO$7,0)))</f>
        <v/>
      </c>
      <c r="K23" s="71"/>
      <c r="L23" s="72" t="s">
        <v>0</v>
      </c>
      <c r="M23" s="73"/>
      <c r="N23" s="74" t="str">
        <f>IF(OR(K$2="",K23="",M23=""),"",IF($BD23="","",IF(K23=$BD23,ABS(M23-$BF23),ABS(M23+$BF23))+IF(K23&lt;&gt;$BD23,$BO$7,0)))</f>
        <v/>
      </c>
      <c r="O23" s="71"/>
      <c r="P23" s="72" t="s">
        <v>0</v>
      </c>
      <c r="Q23" s="73"/>
      <c r="R23" s="74" t="str">
        <f>IF(OR(O$2="",O23="",Q23=""),"",IF($BD23="","",IF(O23=$BD23,ABS(Q23-$BF23),ABS(Q23+$BF23))+IF(O23&lt;&gt;$BD23,$BO$7,0)))</f>
        <v/>
      </c>
      <c r="S23" s="71"/>
      <c r="T23" s="72" t="s">
        <v>0</v>
      </c>
      <c r="U23" s="73"/>
      <c r="V23" s="74" t="str">
        <f>IF(OR(S$2="",S23="",U23=""),"",IF($BD23="","",IF(S23=$BD23,ABS(U23-$BF23),ABS(U23+$BF23))+IF(S23&lt;&gt;$BD23,$BO$7,0)))</f>
        <v/>
      </c>
      <c r="W23" s="71"/>
      <c r="X23" s="72" t="s">
        <v>0</v>
      </c>
      <c r="Y23" s="73"/>
      <c r="Z23" s="74" t="str">
        <f>IF(OR(W$2="",W23="",Y23=""),"",IF($BD23="","",IF(W23=$BD23,ABS(Y23-$BF23),ABS(Y23+$BF23))+IF(W23&lt;&gt;$BD23,$BO$7,0)))</f>
        <v/>
      </c>
      <c r="AA23" s="71"/>
      <c r="AB23" s="72" t="s">
        <v>0</v>
      </c>
      <c r="AC23" s="73"/>
      <c r="AD23" s="74" t="str">
        <f>IF(OR(AA$2="",AA23="",AC23=""),"",IF($BD23="","",IF(AA23=$BD23,ABS(AC23-$BF23),ABS(AC23+$BF23))+IF(AA23&lt;&gt;$BD23,$BO$7,0)))</f>
        <v/>
      </c>
      <c r="AE23" s="71"/>
      <c r="AF23" s="72" t="s">
        <v>0</v>
      </c>
      <c r="AG23" s="73"/>
      <c r="AH23" s="74" t="str">
        <f>IF(OR(AE$2="",AE23="",AG23=""),"",IF($BD23="","",IF(AE23=$BD23,ABS(AG23-$BF23),ABS(AG23+$BF23))+IF(AE23&lt;&gt;$BD23,$BO$7,0)))</f>
        <v/>
      </c>
      <c r="AI23" s="71"/>
      <c r="AJ23" s="72" t="s">
        <v>0</v>
      </c>
      <c r="AK23" s="73"/>
      <c r="AL23" s="74" t="str">
        <f>IF(OR(AI$2="",AI23="",AK23=""),"",IF($BD23="","",IF(AI23=$BD23,ABS(AK23-$BF23),ABS(AK23+$BF23))+IF(AI23&lt;&gt;$BD23,$BO$7,0)))</f>
        <v/>
      </c>
      <c r="AM23" s="71"/>
      <c r="AN23" s="72" t="s">
        <v>0</v>
      </c>
      <c r="AO23" s="73"/>
      <c r="AP23" s="74" t="str">
        <f>IF(OR(AM$2="",AM23="",AO23=""),"",IF($BD23="","",IF(AM23=$BD23,ABS(AO23-$BF23),ABS(AO23+$BF23))+IF(AM23&lt;&gt;$BD23,$BO$7,0)))</f>
        <v/>
      </c>
      <c r="AQ23" s="71"/>
      <c r="AR23" s="72" t="s">
        <v>0</v>
      </c>
      <c r="AS23" s="73"/>
      <c r="AT23" s="74" t="str">
        <f>IF(OR(AQ$2="",AQ23="",AS23=""),"",IF($BD23="","",IF(AQ23=$BD23,ABS(AS23-$BF23),ABS(AS23+$BF23))+IF(AQ23&lt;&gt;$BD23,$BO$7,0)))</f>
        <v/>
      </c>
      <c r="AU23" s="71"/>
      <c r="AV23" s="72" t="s">
        <v>0</v>
      </c>
      <c r="AW23" s="73"/>
      <c r="AX23" s="74" t="str">
        <f>IF(OR(AU$2="",AU23="",AW23=""),"",IF($BD23="","",IF(AU23=$BD23,ABS(AW23-$BF23),ABS(AW23+$BF23))+IF(AU23&lt;&gt;$BD23,$BO$7,0)))</f>
        <v/>
      </c>
      <c r="AY23" s="71"/>
      <c r="AZ23" s="72" t="s">
        <v>0</v>
      </c>
      <c r="BA23" s="73"/>
      <c r="BB23" s="84" t="str">
        <f>IF(OR(AY$2="",AY23="",BA23=""),"",IF($BD23="","",IF(AY23=$BD23,ABS(BA23-$BF23),ABS(BA23+$BF23))+IF(AY23&lt;&gt;$BD23,$BO$7,0)))</f>
        <v/>
      </c>
      <c r="BC23" s="76"/>
      <c r="BD23" s="77" t="str">
        <f t="shared" ref="BD23:BD24" si="24">IF(OR(B23="",F23="",B23=F23),"",IF(B23&gt;F23,"V","H"))</f>
        <v/>
      </c>
      <c r="BE23" s="77" t="s">
        <v>0</v>
      </c>
      <c r="BF23" s="77" t="str">
        <f t="shared" ref="BF23:BF24" si="25">IF(OR(B23="",F23="",B23=F23),"",ABS(B23-F23))</f>
        <v/>
      </c>
      <c r="BG23" s="77"/>
      <c r="BH23" s="77">
        <f t="shared" ref="BH23:BH24" si="26">SUM(IF(G23="H",I23,-I23),IF(K23="H",M23,-M23),IF(O23="H",Q23,-Q23),IF(S23="H",U23,-U23),IF(W23="H",Y23,-Y23),IF(AA23="H",AC23,-AC23),IF(AE23="H",AG23,-AG23),IF(AI23="H",AK23,-AK23),IF(AM23="H",AO23,-AO23),IF(AQ23="H",AS23,-AS23),IF(AU23="H",AW23,-AW23),IF(AY23="H",BA23,-BA23))</f>
        <v>0</v>
      </c>
      <c r="BI23" s="180" t="str">
        <f t="shared" ref="BI23:BI24" si="27">IF(COUNTA(G23,K23,O23,S23,W23,AA23,AE23,AI23,AM23,AQ23,AU23,AY23)&gt;0,IF(BH23&lt;0,"V","H"),"")</f>
        <v/>
      </c>
      <c r="BJ23" s="78" t="s">
        <v>0</v>
      </c>
      <c r="BK23" s="79" t="str">
        <f t="shared" ref="BK23:BK24" si="28">IF(BI23="","",IF(ABS(BH23)&lt;(COUNTA(G23,K23,O23,S23,W23,AA23,AE23,AI23,AM23,AQ23,AU23,AY23)/2),1,ROUND(ABS(BH23)/COUNTA(G23,K23,O23,S23,W23,AA23,AE23,AI23,AM23,AQ23,AU23,AY23),0)))</f>
        <v/>
      </c>
      <c r="BL23" s="84" t="str">
        <f>IF(OR(BI23="",BK23=""),"",IF($BD23="","",IF(BI23=$BD23,ABS(BK23-$BF23),ABS(BK23+$BF23))+IF(BI23&lt;&gt;$BD23,$BO$7,0)))</f>
        <v/>
      </c>
      <c r="BM23" s="21"/>
      <c r="BO23" s="14"/>
      <c r="BP23" s="15"/>
      <c r="BQ23" s="19"/>
      <c r="BR23" s="19"/>
      <c r="BS23" s="19"/>
      <c r="BT23" s="19"/>
      <c r="BU23" s="19"/>
      <c r="BV23" s="19"/>
      <c r="BW23" s="19"/>
      <c r="BX23" s="19"/>
      <c r="BY23" s="19"/>
      <c r="BZ23" s="19"/>
      <c r="CA23" s="20"/>
      <c r="CB23" s="4"/>
      <c r="CC23" s="4"/>
      <c r="CD23" s="4"/>
      <c r="CE23" s="4"/>
      <c r="CF23" s="4"/>
      <c r="CG23" s="4"/>
      <c r="CH23" s="4"/>
      <c r="CI23" s="4"/>
      <c r="CJ23" s="4"/>
      <c r="CK23" s="4"/>
      <c r="CL23" s="4"/>
      <c r="CM23" s="4"/>
      <c r="CN23" s="4"/>
      <c r="CO23" s="4"/>
      <c r="CP23" s="4"/>
      <c r="CQ23" s="4"/>
      <c r="CR23" s="4"/>
      <c r="CS23" s="4"/>
      <c r="CT23" s="4"/>
      <c r="DK23" s="4"/>
      <c r="DL23" s="211" t="s">
        <v>29</v>
      </c>
      <c r="DM23" s="11"/>
      <c r="DN23" s="11"/>
    </row>
    <row r="24" spans="1:124" s="6" customFormat="1" ht="15" customHeight="1" x14ac:dyDescent="0.2">
      <c r="A24" s="17"/>
      <c r="B24" s="86"/>
      <c r="C24" s="87"/>
      <c r="D24" s="88" t="s">
        <v>3</v>
      </c>
      <c r="E24" s="89"/>
      <c r="F24" s="90"/>
      <c r="G24" s="87"/>
      <c r="H24" s="87" t="s">
        <v>0</v>
      </c>
      <c r="I24" s="92"/>
      <c r="J24" s="93" t="str">
        <f>IF(OR(G$2="",G24="",I24=""),"",IF($BD24="","",IF(G24=$BD24,ABS(I24-$BF24),ABS(I24+$BF24))+IF(G24&lt;&gt;$BD24,$BO$7,0)))</f>
        <v/>
      </c>
      <c r="K24" s="91"/>
      <c r="L24" s="87" t="s">
        <v>0</v>
      </c>
      <c r="M24" s="92"/>
      <c r="N24" s="93" t="str">
        <f>IF(OR(K$2="",K24="",M24=""),"",IF($BD24="","",IF(K24=$BD24,ABS(M24-$BF24),ABS(M24+$BF24))+IF(K24&lt;&gt;$BD24,$BO$7,0)))</f>
        <v/>
      </c>
      <c r="O24" s="91"/>
      <c r="P24" s="87" t="s">
        <v>0</v>
      </c>
      <c r="Q24" s="92"/>
      <c r="R24" s="93" t="str">
        <f>IF(OR(O$2="",O24="",Q24=""),"",IF($BD24="","",IF(O24=$BD24,ABS(Q24-$BF24),ABS(Q24+$BF24))+IF(O24&lt;&gt;$BD24,$BO$7,0)))</f>
        <v/>
      </c>
      <c r="S24" s="91"/>
      <c r="T24" s="87" t="s">
        <v>0</v>
      </c>
      <c r="U24" s="92"/>
      <c r="V24" s="93" t="str">
        <f>IF(OR(S$2="",S24="",U24=""),"",IF($BD24="","",IF(S24=$BD24,ABS(U24-$BF24),ABS(U24+$BF24))+IF(S24&lt;&gt;$BD24,$BO$7,0)))</f>
        <v/>
      </c>
      <c r="W24" s="91"/>
      <c r="X24" s="87" t="s">
        <v>0</v>
      </c>
      <c r="Y24" s="92"/>
      <c r="Z24" s="93" t="str">
        <f>IF(OR(W$2="",W24="",Y24=""),"",IF($BD24="","",IF(W24=$BD24,ABS(Y24-$BF24),ABS(Y24+$BF24))+IF(W24&lt;&gt;$BD24,$BO$7,0)))</f>
        <v/>
      </c>
      <c r="AA24" s="91"/>
      <c r="AB24" s="87" t="s">
        <v>0</v>
      </c>
      <c r="AC24" s="92"/>
      <c r="AD24" s="93" t="str">
        <f>IF(OR(AA$2="",AA24="",AC24=""),"",IF($BD24="","",IF(AA24=$BD24,ABS(AC24-$BF24),ABS(AC24+$BF24))+IF(AA24&lt;&gt;$BD24,$BO$7,0)))</f>
        <v/>
      </c>
      <c r="AE24" s="91"/>
      <c r="AF24" s="87" t="s">
        <v>0</v>
      </c>
      <c r="AG24" s="92"/>
      <c r="AH24" s="93" t="str">
        <f>IF(OR(AE$2="",AE24="",AG24=""),"",IF($BD24="","",IF(AE24=$BD24,ABS(AG24-$BF24),ABS(AG24+$BF24))+IF(AE24&lt;&gt;$BD24,$BO$7,0)))</f>
        <v/>
      </c>
      <c r="AI24" s="91"/>
      <c r="AJ24" s="87" t="s">
        <v>0</v>
      </c>
      <c r="AK24" s="92"/>
      <c r="AL24" s="93" t="str">
        <f>IF(OR(AI$2="",AI24="",AK24=""),"",IF($BD24="","",IF(AI24=$BD24,ABS(AK24-$BF24),ABS(AK24+$BF24))+IF(AI24&lt;&gt;$BD24,$BO$7,0)))</f>
        <v/>
      </c>
      <c r="AM24" s="91"/>
      <c r="AN24" s="87" t="s">
        <v>0</v>
      </c>
      <c r="AO24" s="92"/>
      <c r="AP24" s="93" t="str">
        <f>IF(OR(AM$2="",AM24="",AO24=""),"",IF($BD24="","",IF(AM24=$BD24,ABS(AO24-$BF24),ABS(AO24+$BF24))+IF(AM24&lt;&gt;$BD24,$BO$7,0)))</f>
        <v/>
      </c>
      <c r="AQ24" s="91"/>
      <c r="AR24" s="87" t="s">
        <v>0</v>
      </c>
      <c r="AS24" s="92"/>
      <c r="AT24" s="93" t="str">
        <f>IF(OR(AQ$2="",AQ24="",AS24=""),"",IF($BD24="","",IF(AQ24=$BD24,ABS(AS24-$BF24),ABS(AS24+$BF24))+IF(AQ24&lt;&gt;$BD24,$BO$7,0)))</f>
        <v/>
      </c>
      <c r="AU24" s="91"/>
      <c r="AV24" s="87" t="s">
        <v>0</v>
      </c>
      <c r="AW24" s="92"/>
      <c r="AX24" s="93" t="str">
        <f>IF(OR(AU$2="",AU24="",AW24=""),"",IF($BD24="","",IF(AU24=$BD24,ABS(AW24-$BF24),ABS(AW24+$BF24))+IF(AU24&lt;&gt;$BD24,$BO$7,0)))</f>
        <v/>
      </c>
      <c r="AY24" s="91"/>
      <c r="AZ24" s="87" t="s">
        <v>0</v>
      </c>
      <c r="BA24" s="92"/>
      <c r="BB24" s="94" t="str">
        <f>IF(OR(AY$2="",AY24="",BA24=""),"",IF($BD24="","",IF(AY24=$BD24,ABS(BA24-$BF24),ABS(BA24+$BF24))+IF(AY24&lt;&gt;$BD24,$BO$7,0)))</f>
        <v/>
      </c>
      <c r="BC24" s="76"/>
      <c r="BD24" s="77" t="str">
        <f t="shared" si="24"/>
        <v/>
      </c>
      <c r="BE24" s="77" t="s">
        <v>0</v>
      </c>
      <c r="BF24" s="77" t="str">
        <f t="shared" si="25"/>
        <v/>
      </c>
      <c r="BG24" s="77"/>
      <c r="BH24" s="77">
        <f t="shared" si="26"/>
        <v>0</v>
      </c>
      <c r="BI24" s="181" t="str">
        <f t="shared" si="27"/>
        <v/>
      </c>
      <c r="BJ24" s="88" t="s">
        <v>0</v>
      </c>
      <c r="BK24" s="95" t="str">
        <f t="shared" si="28"/>
        <v/>
      </c>
      <c r="BL24" s="94" t="str">
        <f>IF(OR(BI24="",BK24=""),"",IF($BD24="","",IF(BI24=$BD24,ABS(BK24-$BF24),ABS(BK24+$BF24))+IF(BI24&lt;&gt;$BD24,$BO$7,0)))</f>
        <v/>
      </c>
      <c r="BQ24" s="19"/>
      <c r="BR24" s="19"/>
      <c r="BS24" s="19"/>
      <c r="BT24" s="19"/>
      <c r="BU24" s="19"/>
      <c r="BV24" s="19"/>
      <c r="BW24" s="19"/>
      <c r="BX24" s="19"/>
      <c r="CA24" s="20"/>
      <c r="CB24" s="4"/>
      <c r="CC24" s="4"/>
      <c r="CD24" s="4"/>
      <c r="CE24" s="4"/>
      <c r="CF24" s="4"/>
      <c r="CG24" s="4"/>
      <c r="CH24" s="4"/>
      <c r="CI24" s="4"/>
      <c r="CJ24" s="4"/>
      <c r="CK24" s="4"/>
      <c r="CL24" s="4"/>
      <c r="CM24" s="4"/>
      <c r="CN24" s="4"/>
      <c r="CO24" s="4"/>
      <c r="CP24" s="4"/>
      <c r="CQ24" s="4"/>
      <c r="CR24" s="4"/>
      <c r="CS24" s="4"/>
      <c r="CT24" s="4"/>
      <c r="DK24" s="4"/>
      <c r="DL24" s="211" t="str">
        <f>CONCATENATE($DM$5,$I$5,$DN$5)</f>
        <v xml:space="preserve">   "11",</v>
      </c>
      <c r="DM24" s="11"/>
      <c r="DN24" s="11"/>
    </row>
    <row r="25" spans="1:124" s="6" customFormat="1" ht="15" customHeight="1" x14ac:dyDescent="0.2">
      <c r="A25" s="17"/>
      <c r="B25" s="224"/>
      <c r="C25" s="225"/>
      <c r="D25" s="226"/>
      <c r="E25" s="227" t="str">
        <f>IF(C24&lt;&gt;"",""""&amp;C24&amp;" at "&amp;E24&amp;""" Total Points:  ","Total Points:  ")</f>
        <v xml:space="preserve">Total Points:  </v>
      </c>
      <c r="F25" s="228" t="str">
        <f>IF(SUM(B24,F24)=0,"",SUM(B24,F24))</f>
        <v/>
      </c>
      <c r="G25" s="229"/>
      <c r="H25" s="230" t="s">
        <v>61</v>
      </c>
      <c r="I25" s="231"/>
      <c r="J25" s="232" t="str">
        <f>IF(J66="","",IF(J66=0,"exact",IF(J66&lt;0,ABS(J66)&amp;" over",IF(J66&gt;0,ABS(J66)&amp;" under",""))))</f>
        <v/>
      </c>
      <c r="K25" s="233"/>
      <c r="L25" s="230" t="s">
        <v>61</v>
      </c>
      <c r="M25" s="231"/>
      <c r="N25" s="232" t="str">
        <f>IF(N66="","",IF(N66=0,"exact",IF(N66&lt;0,ABS(N66)&amp;" over",IF(N66&gt;0,ABS(N66)&amp;" under",""))))</f>
        <v/>
      </c>
      <c r="O25" s="233"/>
      <c r="P25" s="230" t="s">
        <v>61</v>
      </c>
      <c r="Q25" s="231"/>
      <c r="R25" s="232" t="str">
        <f>IF(R66="","",IF(R66=0,"exact",IF(R66&lt;0,ABS(R66)&amp;" over",IF(R66&gt;0,ABS(R66)&amp;" under",""))))</f>
        <v/>
      </c>
      <c r="S25" s="233"/>
      <c r="T25" s="230" t="s">
        <v>61</v>
      </c>
      <c r="U25" s="231"/>
      <c r="V25" s="232" t="str">
        <f>IF(V66="","",IF(V66=0,"exact",IF(V66&lt;0,ABS(V66)&amp;" over",IF(V66&gt;0,ABS(V66)&amp;" under",""))))</f>
        <v/>
      </c>
      <c r="W25" s="233"/>
      <c r="X25" s="230" t="s">
        <v>61</v>
      </c>
      <c r="Y25" s="231"/>
      <c r="Z25" s="232" t="str">
        <f>IF(Z66="","",IF(Z66=0,"exact",IF(Z66&lt;0,ABS(Z66)&amp;" over",IF(Z66&gt;0,ABS(Z66)&amp;" under",""))))</f>
        <v/>
      </c>
      <c r="AA25" s="233"/>
      <c r="AB25" s="230" t="s">
        <v>61</v>
      </c>
      <c r="AC25" s="231"/>
      <c r="AD25" s="232" t="str">
        <f>IF(AD66="","",IF(AD66=0,"exact",IF(AD66&lt;0,ABS(AD66)&amp;" over",IF(AD66&gt;0,ABS(AD66)&amp;" under",""))))</f>
        <v/>
      </c>
      <c r="AE25" s="233"/>
      <c r="AF25" s="230" t="s">
        <v>61</v>
      </c>
      <c r="AG25" s="231"/>
      <c r="AH25" s="232" t="str">
        <f>IF(AH66="","",IF(AH66=0,"exact",IF(AH66&lt;0,ABS(AH66)&amp;" over",IF(AH66&gt;0,ABS(AH66)&amp;" under",""))))</f>
        <v/>
      </c>
      <c r="AI25" s="233"/>
      <c r="AJ25" s="230" t="s">
        <v>61</v>
      </c>
      <c r="AK25" s="231"/>
      <c r="AL25" s="232" t="str">
        <f>IF(AL66="","",IF(AL66=0,"exact",IF(AL66&lt;0,ABS(AL66)&amp;" over",IF(AL66&gt;0,ABS(AL66)&amp;" under",""))))</f>
        <v/>
      </c>
      <c r="AM25" s="233"/>
      <c r="AN25" s="230" t="s">
        <v>61</v>
      </c>
      <c r="AO25" s="231"/>
      <c r="AP25" s="232" t="str">
        <f>IF(AP66="","",IF(AP66=0,"exact",IF(AP66&lt;0,ABS(AP66)&amp;" over",IF(AP66&gt;0,ABS(AP66)&amp;" under",""))))</f>
        <v/>
      </c>
      <c r="AQ25" s="233"/>
      <c r="AR25" s="230" t="s">
        <v>61</v>
      </c>
      <c r="AS25" s="231"/>
      <c r="AT25" s="232" t="str">
        <f>IF(AT66="","",IF(AT66=0,"exact",IF(AT66&lt;0,ABS(AT66)&amp;" over",IF(AT66&gt;0,ABS(AT66)&amp;" under",""))))</f>
        <v/>
      </c>
      <c r="AU25" s="233"/>
      <c r="AV25" s="230" t="s">
        <v>61</v>
      </c>
      <c r="AW25" s="231"/>
      <c r="AX25" s="232" t="str">
        <f>IF(AX66="","",IF(AX66=0,"exact",IF(AX66&lt;0,ABS(AX66)&amp;" over",IF(AX66&gt;0,ABS(AX66)&amp;" under",""))))</f>
        <v/>
      </c>
      <c r="AY25" s="233"/>
      <c r="AZ25" s="230" t="s">
        <v>61</v>
      </c>
      <c r="BA25" s="231"/>
      <c r="BB25" s="234" t="str">
        <f>IF(BB66="","",IF(BB66=0,"exact",IF(BB66&lt;0,ABS(BB66)&amp;" over",IF(BB66&gt;0,ABS(BB66)&amp;" under",""))))</f>
        <v/>
      </c>
      <c r="BC25" s="76"/>
      <c r="BD25" s="77"/>
      <c r="BE25" s="77"/>
      <c r="BF25" s="77"/>
      <c r="BG25" s="77"/>
      <c r="BH25" s="164"/>
      <c r="BI25" s="60"/>
      <c r="BJ25" s="61" t="s">
        <v>61</v>
      </c>
      <c r="BK25" s="62" t="str">
        <f>IF(SUM(I25,M25,Q25,U25,Y25,AC25,AG25,AK25,AO25,AS25,AW25,BA25)=0,"",ROUND(AVERAGE(I25,M25,Q25,U25,Y25,AC25,AG25,AK25,AO25,AS25,AW25,BA25),0))</f>
        <v/>
      </c>
      <c r="BL25" s="65" t="str">
        <f>IF(OR($F25="",BK25=""),"",$F25-BK25)</f>
        <v/>
      </c>
      <c r="BM25" s="18"/>
      <c r="BQ25" s="19"/>
      <c r="BR25" s="19"/>
      <c r="BS25" s="19"/>
      <c r="BT25" s="19"/>
      <c r="BU25" s="19"/>
      <c r="BV25" s="19"/>
      <c r="BW25" s="19"/>
      <c r="BX25" s="19"/>
      <c r="BY25" s="19"/>
      <c r="BZ25" s="19"/>
      <c r="CA25" s="20"/>
      <c r="CB25" s="4"/>
      <c r="CC25" s="4"/>
      <c r="CD25" s="4"/>
      <c r="CE25" s="4"/>
      <c r="CF25" s="4"/>
      <c r="CG25" s="4"/>
      <c r="CH25" s="4"/>
      <c r="CI25" s="4"/>
      <c r="CJ25" s="4"/>
      <c r="CK25" s="4"/>
      <c r="CL25" s="4"/>
      <c r="CM25" s="4"/>
      <c r="CN25" s="4"/>
      <c r="CO25" s="4"/>
      <c r="CP25" s="4"/>
      <c r="CQ25" s="4"/>
      <c r="CR25" s="4"/>
      <c r="CS25" s="4"/>
      <c r="CT25" s="4"/>
      <c r="DK25" s="4"/>
      <c r="DL25" s="211" t="str">
        <f>CONCATENATE($DM$5,$I$6,$DN$5)</f>
        <v xml:space="preserve">   "2",</v>
      </c>
      <c r="DM25" s="11"/>
      <c r="DN25" s="11"/>
    </row>
    <row r="26" spans="1:124" s="6" customFormat="1" ht="18" customHeight="1" thickBot="1" x14ac:dyDescent="0.25">
      <c r="A26" s="17"/>
      <c r="B26" s="120"/>
      <c r="C26" s="119"/>
      <c r="D26" s="119"/>
      <c r="E26" s="121"/>
      <c r="F26" s="168" t="s">
        <v>79</v>
      </c>
      <c r="G26" s="125"/>
      <c r="H26" s="105" t="s">
        <v>2</v>
      </c>
      <c r="I26" s="106" t="str">
        <f>IF(J26="","",IF(OR(RANK(J43,$J43:$BB43,1)&gt;1,AND(RANK(J43,$J43:$BB43,1)=1,COUNTIF($J43:$BB43,J43)=1)),RANK(J43,$J43:$BB43,1),IF(MIN($J65:$BB65)=J65,1,COUNTIF($J65:$BB65,MIN($J65:$BB65))+1)))</f>
        <v/>
      </c>
      <c r="J26" s="220" t="str">
        <f>IF(G$2="","",(IF(AND(COUNTBLANK(G23:G24)=0,COUNTBLANK(I23:I24)=0),(SUM(J23:J24))*$BO$26,"")))</f>
        <v/>
      </c>
      <c r="K26" s="104"/>
      <c r="L26" s="105" t="s">
        <v>2</v>
      </c>
      <c r="M26" s="106" t="str">
        <f>IF(N26="","",IF(OR(RANK(N43,$J43:$BB43,1)&gt;1,AND(RANK(N43,$J43:$BB43,1)=1,COUNTIF($J43:$BB43,N43)=1)),RANK(N43,$J43:$BB43,1),IF(MIN($J65:$BB65)=N65,1,COUNTIF($J65:$BB65,MIN($J65:$BB65))+1)))</f>
        <v/>
      </c>
      <c r="N26" s="220" t="str">
        <f>IF(K$2="","",(IF(AND(COUNTBLANK(K23:K24)=0,COUNTBLANK(M23:M24)=0),(SUM(N23:N24))*$BO$26,"")))</f>
        <v/>
      </c>
      <c r="O26" s="104"/>
      <c r="P26" s="105" t="s">
        <v>2</v>
      </c>
      <c r="Q26" s="106" t="str">
        <f>IF(R26="","",IF(OR(RANK(R43,$J43:$BB43,1)&gt;1,AND(RANK(R43,$J43:$BB43,1)=1,COUNTIF($J43:$BB43,R43)=1)),RANK(R43,$J43:$BB43,1),IF(MIN($J65:$BB65)=R65,1,COUNTIF($J65:$BB65,MIN($J65:$BB65))+1)))</f>
        <v/>
      </c>
      <c r="R26" s="220" t="str">
        <f>IF(O$2="","",(IF(AND(COUNTBLANK(O23:O24)=0,COUNTBLANK(Q23:Q24)=0),(SUM(R23:R24))*$BO$26,"")))</f>
        <v/>
      </c>
      <c r="S26" s="104"/>
      <c r="T26" s="105" t="s">
        <v>2</v>
      </c>
      <c r="U26" s="106" t="str">
        <f>IF(V26="","",IF(OR(RANK(V43,$J43:$BB43,1)&gt;1,AND(RANK(V43,$J43:$BB43,1)=1,COUNTIF($J43:$BB43,V43)=1)),RANK(V43,$J43:$BB43,1),IF(MIN($J65:$BB65)=V65,1,COUNTIF($J65:$BB65,MIN($J65:$BB65))+1)))</f>
        <v/>
      </c>
      <c r="V26" s="220" t="str">
        <f>IF(S$2="","",(IF(AND(COUNTBLANK(S23:S24)=0,COUNTBLANK(U23:U24)=0),(SUM(V23:V24))*$BO$26,"")))</f>
        <v/>
      </c>
      <c r="W26" s="104"/>
      <c r="X26" s="105" t="s">
        <v>2</v>
      </c>
      <c r="Y26" s="106" t="str">
        <f>IF(Z26="","",IF(OR(RANK(Z43,$J43:$BB43,1)&gt;1,AND(RANK(Z43,$J43:$BB43,1)=1,COUNTIF($J43:$BB43,Z43)=1)),RANK(Z43,$J43:$BB43,1),IF(MIN($J65:$BB65)=Z65,1,COUNTIF($J65:$BB65,MIN($J65:$BB65))+1)))</f>
        <v/>
      </c>
      <c r="Z26" s="220" t="str">
        <f>IF(W$2="","",(IF(AND(COUNTBLANK(W23:W24)=0,COUNTBLANK(Y23:Y24)=0),(SUM(Z23:Z24))*$BO$26,"")))</f>
        <v/>
      </c>
      <c r="AA26" s="104"/>
      <c r="AB26" s="105" t="s">
        <v>2</v>
      </c>
      <c r="AC26" s="106" t="str">
        <f>IF(AD26="","",IF(OR(RANK(AD43,$J43:$BB43,1)&gt;1,AND(RANK(AD43,$J43:$BB43,1)=1,COUNTIF($J43:$BB43,AD43)=1)),RANK(AD43,$J43:$BB43,1),IF(MIN($J65:$BB65)=AD65,1,COUNTIF($J65:$BB65,MIN($J65:$BB65))+1)))</f>
        <v/>
      </c>
      <c r="AD26" s="220" t="str">
        <f>IF(AA$2="","",(IF(AND(COUNTBLANK(AA23:AA24)=0,COUNTBLANK(AC23:AC24)=0),(SUM(AD23:AD24))*$BO$26,"")))</f>
        <v/>
      </c>
      <c r="AE26" s="104"/>
      <c r="AF26" s="105" t="s">
        <v>2</v>
      </c>
      <c r="AG26" s="106" t="str">
        <f>IF(AH26="","",IF(OR(RANK(AH43,$J43:$BB43,1)&gt;1,AND(RANK(AH43,$J43:$BB43,1)=1,COUNTIF($J43:$BB43,AH43)=1)),RANK(AH43,$J43:$BB43,1),IF(MIN($J65:$BB65)=AH65,1,COUNTIF($J65:$BB65,MIN($J65:$BB65))+1)))</f>
        <v/>
      </c>
      <c r="AH26" s="220" t="str">
        <f>IF(AE$2="","",(IF(AND(COUNTBLANK(AE23:AE24)=0,COUNTBLANK(AG23:AG24)=0),(SUM(AH23:AH24))*$BO$26,"")))</f>
        <v/>
      </c>
      <c r="AI26" s="104"/>
      <c r="AJ26" s="105" t="s">
        <v>2</v>
      </c>
      <c r="AK26" s="106" t="str">
        <f>IF(AL26="","",IF(OR(RANK(AL43,$J43:$BB43,1)&gt;1,AND(RANK(AL43,$J43:$BB43,1)=1,COUNTIF($J43:$BB43,AL43)=1)),RANK(AL43,$J43:$BB43,1),IF(MIN($J65:$BB65)=AL65,1,COUNTIF($J65:$BB65,MIN($J65:$BB65))+1)))</f>
        <v/>
      </c>
      <c r="AL26" s="220" t="str">
        <f>IF(AI$2="","",(IF(AND(COUNTBLANK(AI23:AI24)=0,COUNTBLANK(AK23:AK24)=0),(SUM(AL23:AL24))*$BO$26,"")))</f>
        <v/>
      </c>
      <c r="AM26" s="104"/>
      <c r="AN26" s="105" t="s">
        <v>2</v>
      </c>
      <c r="AO26" s="106" t="str">
        <f>IF(AP26="","",IF(OR(RANK(AP43,$J43:$BB43,1)&gt;1,AND(RANK(AP43,$J43:$BB43,1)=1,COUNTIF($J43:$BB43,AP43)=1)),RANK(AP43,$J43:$BB43,1),IF(MIN($J65:$BB65)=AP65,1,COUNTIF($J65:$BB65,MIN($J65:$BB65))+1)))</f>
        <v/>
      </c>
      <c r="AP26" s="220" t="str">
        <f>IF(AM$2="","",(IF(AND(COUNTBLANK(AM23:AM24)=0,COUNTBLANK(AO23:AO24)=0),(SUM(AP23:AP24))*$BO$26,"")))</f>
        <v/>
      </c>
      <c r="AQ26" s="104"/>
      <c r="AR26" s="105" t="s">
        <v>2</v>
      </c>
      <c r="AS26" s="106" t="str">
        <f>IF(AT26="","",IF(OR(RANK(AT43,$J43:$BB43,1)&gt;1,AND(RANK(AT43,$J43:$BB43,1)=1,COUNTIF($J43:$BB43,AT43)=1)),RANK(AT43,$J43:$BB43,1),IF(MIN($J65:$BB65)=AT65,1,COUNTIF($J65:$BB65,MIN($J65:$BB65))+1)))</f>
        <v/>
      </c>
      <c r="AT26" s="220" t="str">
        <f>IF(AQ$2="","",(IF(AND(COUNTBLANK(AQ23:AQ24)=0,COUNTBLANK(AS23:AS24)=0),(SUM(AT23:AT24))*$BO$26,"")))</f>
        <v/>
      </c>
      <c r="AU26" s="104"/>
      <c r="AV26" s="105" t="s">
        <v>2</v>
      </c>
      <c r="AW26" s="106" t="str">
        <f>IF(AX26="","",IF(OR(RANK(AX43,$J43:$BB43,1)&gt;1,AND(RANK(AX43,$J43:$BB43,1)=1,COUNTIF($J43:$BB43,AX43)=1)),RANK(AX43,$J43:$BB43,1),IF(MIN($J65:$BB65)=AX65,1,COUNTIF($J65:$BB65,MIN($J65:$BB65))+1)))</f>
        <v/>
      </c>
      <c r="AX26" s="220" t="str">
        <f>IF(AU$2="","",(IF(AND(COUNTBLANK(AU23:AU24)=0,COUNTBLANK(AW23:AW24)=0),(SUM(AX23:AX24))*$BO$26,"")))</f>
        <v/>
      </c>
      <c r="AY26" s="109"/>
      <c r="AZ26" s="107" t="s">
        <v>2</v>
      </c>
      <c r="BA26" s="108" t="str">
        <f>IF(BB26="","",IF(OR(RANK(BB43,$J43:$BB43,1)&gt;1,AND(RANK(BB43,$J43:$BB43,1)=1,COUNTIF($J43:$BB43,BB43)=1)),RANK(BB43,$J43:$BB43,1),IF(MIN($J65:$BB65)=BB65,1,COUNTIF($J65:$BB65,MIN($J65:$BB65))+1)))</f>
        <v/>
      </c>
      <c r="BB26" s="219" t="str">
        <f>IF(AY$2="","",(IF(AND(COUNTBLANK(AY23:AY24)=0,COUNTBLANK(BA23:BA24)=0),(SUM(BB23:BB24))*$BO$26,"")))</f>
        <v/>
      </c>
      <c r="BC26" s="76"/>
      <c r="BD26" s="76"/>
      <c r="BE26" s="76"/>
      <c r="BF26" s="76"/>
      <c r="BG26" s="76"/>
      <c r="BH26" s="164"/>
      <c r="BI26" s="183"/>
      <c r="BJ26" s="107" t="s">
        <v>2</v>
      </c>
      <c r="BK26" s="108" t="str">
        <f>IF(BL26="","",RANK(BL43,$J43:$BL43,1))</f>
        <v/>
      </c>
      <c r="BL26" s="219" t="str">
        <f>IF(AND(COUNTBLANK(BI23:BI24)=0,COUNTBLANK(BK23:BK24)=0),(SUM(BL23:BL24))*$BO$26,"")</f>
        <v/>
      </c>
      <c r="BM26" s="21"/>
      <c r="BO26" s="14">
        <v>3</v>
      </c>
      <c r="BP26" s="15" t="s">
        <v>12</v>
      </c>
      <c r="BQ26" s="19"/>
      <c r="BR26" s="19"/>
      <c r="BS26" s="19"/>
      <c r="BT26" s="19"/>
      <c r="BU26" s="19"/>
      <c r="BV26" s="19"/>
      <c r="BW26" s="19"/>
      <c r="BX26" s="19"/>
      <c r="BY26" s="19"/>
      <c r="BZ26" s="19"/>
      <c r="CA26" s="20"/>
      <c r="CB26" s="4"/>
      <c r="CC26" s="4"/>
      <c r="CD26" s="4"/>
      <c r="CE26" s="4"/>
      <c r="CF26" s="4"/>
      <c r="CG26" s="4"/>
      <c r="CH26" s="4"/>
      <c r="CI26" s="4"/>
      <c r="CJ26" s="4"/>
      <c r="CK26" s="4"/>
      <c r="CL26" s="4"/>
      <c r="CM26" s="4"/>
      <c r="CN26" s="4"/>
      <c r="CO26" s="4"/>
      <c r="CP26" s="4"/>
      <c r="CQ26" s="4"/>
      <c r="CR26" s="4"/>
      <c r="CS26" s="4"/>
      <c r="CT26" s="4"/>
      <c r="DK26" s="4"/>
      <c r="DL26" s="211" t="str">
        <f>CONCATENATE($DM$5,$I$7,$DN$5)</f>
        <v xml:space="preserve">   "17",</v>
      </c>
      <c r="DM26" s="11"/>
      <c r="DN26" s="11"/>
    </row>
    <row r="27" spans="1:124" s="6" customFormat="1" ht="8.1" customHeight="1" thickBot="1" x14ac:dyDescent="0.25">
      <c r="B27" s="130"/>
      <c r="C27" s="63"/>
      <c r="D27" s="63"/>
      <c r="E27" s="122"/>
      <c r="F27" s="131"/>
      <c r="G27" s="126"/>
      <c r="H27" s="110"/>
      <c r="I27" s="126"/>
      <c r="J27" s="132"/>
      <c r="K27" s="126"/>
      <c r="L27" s="110"/>
      <c r="M27" s="126"/>
      <c r="N27" s="132"/>
      <c r="O27" s="126"/>
      <c r="P27" s="110"/>
      <c r="Q27" s="126"/>
      <c r="R27" s="132"/>
      <c r="S27" s="126"/>
      <c r="T27" s="110"/>
      <c r="U27" s="126"/>
      <c r="V27" s="132"/>
      <c r="W27" s="126"/>
      <c r="X27" s="110"/>
      <c r="Y27" s="126"/>
      <c r="Z27" s="132"/>
      <c r="AA27" s="126"/>
      <c r="AB27" s="110"/>
      <c r="AC27" s="126"/>
      <c r="AD27" s="132"/>
      <c r="AE27" s="126"/>
      <c r="AF27" s="110"/>
      <c r="AG27" s="126"/>
      <c r="AH27" s="132"/>
      <c r="AI27" s="126"/>
      <c r="AJ27" s="110"/>
      <c r="AK27" s="126"/>
      <c r="AL27" s="132"/>
      <c r="AM27" s="126"/>
      <c r="AN27" s="110"/>
      <c r="AO27" s="126"/>
      <c r="AP27" s="132"/>
      <c r="AQ27" s="126"/>
      <c r="AR27" s="110"/>
      <c r="AS27" s="126"/>
      <c r="AT27" s="132"/>
      <c r="AU27" s="126"/>
      <c r="AV27" s="110"/>
      <c r="AW27" s="126"/>
      <c r="AX27" s="132"/>
      <c r="AY27" s="126"/>
      <c r="AZ27" s="110"/>
      <c r="BA27" s="126"/>
      <c r="BB27" s="111"/>
      <c r="BC27" s="76"/>
      <c r="BD27" s="76"/>
      <c r="BE27" s="76"/>
      <c r="BF27" s="76"/>
      <c r="BG27" s="76"/>
      <c r="BH27" s="165"/>
      <c r="BI27" s="178"/>
      <c r="BJ27" s="110"/>
      <c r="BK27" s="126"/>
      <c r="BL27" s="111"/>
      <c r="BM27" s="21"/>
      <c r="BO27" s="14"/>
      <c r="BP27" s="15"/>
      <c r="BQ27" s="19"/>
      <c r="BR27" s="19"/>
      <c r="BS27" s="19"/>
      <c r="BT27" s="19"/>
      <c r="BU27" s="19"/>
      <c r="BV27" s="19"/>
      <c r="BW27" s="19"/>
      <c r="BX27" s="19"/>
      <c r="BY27" s="19"/>
      <c r="BZ27" s="19"/>
      <c r="CB27" s="4"/>
      <c r="CC27" s="4"/>
      <c r="CD27" s="4"/>
      <c r="CE27" s="4"/>
      <c r="CF27" s="4"/>
      <c r="CG27" s="4"/>
      <c r="CH27" s="4"/>
      <c r="CI27" s="4"/>
      <c r="CJ27" s="4"/>
      <c r="CK27" s="4"/>
      <c r="CL27" s="4"/>
      <c r="CM27" s="4"/>
      <c r="CN27" s="4"/>
      <c r="CO27" s="4"/>
      <c r="CP27" s="4"/>
      <c r="CQ27" s="4"/>
      <c r="CR27" s="4"/>
      <c r="CS27" s="4"/>
      <c r="CT27" s="4"/>
      <c r="DK27" s="4"/>
      <c r="DL27" s="211" t="str">
        <f>CONCATENATE($DM$5,$I$8,$DN$5)</f>
        <v xml:space="preserve">   "3",</v>
      </c>
      <c r="DM27" s="11"/>
      <c r="DN27" s="11"/>
    </row>
    <row r="28" spans="1:124" s="6" customFormat="1" ht="18" customHeight="1" thickBot="1" x14ac:dyDescent="0.25">
      <c r="A28" s="17"/>
      <c r="B28" s="258" t="s">
        <v>124</v>
      </c>
      <c r="C28" s="259"/>
      <c r="D28" s="259"/>
      <c r="E28" s="259"/>
      <c r="F28" s="260"/>
      <c r="G28" s="169"/>
      <c r="H28" s="169" t="s">
        <v>125</v>
      </c>
      <c r="I28" s="170"/>
      <c r="J28" s="171" t="s">
        <v>1</v>
      </c>
      <c r="K28" s="172"/>
      <c r="L28" s="169" t="s">
        <v>125</v>
      </c>
      <c r="M28" s="170"/>
      <c r="N28" s="171" t="s">
        <v>1</v>
      </c>
      <c r="O28" s="172"/>
      <c r="P28" s="169" t="s">
        <v>125</v>
      </c>
      <c r="Q28" s="170"/>
      <c r="R28" s="171" t="s">
        <v>1</v>
      </c>
      <c r="S28" s="172"/>
      <c r="T28" s="169" t="s">
        <v>125</v>
      </c>
      <c r="U28" s="170"/>
      <c r="V28" s="171" t="s">
        <v>1</v>
      </c>
      <c r="W28" s="172"/>
      <c r="X28" s="169" t="s">
        <v>125</v>
      </c>
      <c r="Y28" s="170"/>
      <c r="Z28" s="171" t="s">
        <v>1</v>
      </c>
      <c r="AA28" s="172"/>
      <c r="AB28" s="169" t="s">
        <v>125</v>
      </c>
      <c r="AC28" s="170"/>
      <c r="AD28" s="171" t="s">
        <v>1</v>
      </c>
      <c r="AE28" s="172"/>
      <c r="AF28" s="169" t="s">
        <v>125</v>
      </c>
      <c r="AG28" s="170"/>
      <c r="AH28" s="171" t="s">
        <v>1</v>
      </c>
      <c r="AI28" s="172"/>
      <c r="AJ28" s="169" t="s">
        <v>125</v>
      </c>
      <c r="AK28" s="170"/>
      <c r="AL28" s="171" t="s">
        <v>1</v>
      </c>
      <c r="AM28" s="172"/>
      <c r="AN28" s="169" t="s">
        <v>125</v>
      </c>
      <c r="AO28" s="170"/>
      <c r="AP28" s="171" t="s">
        <v>1</v>
      </c>
      <c r="AQ28" s="172"/>
      <c r="AR28" s="169" t="s">
        <v>125</v>
      </c>
      <c r="AS28" s="170"/>
      <c r="AT28" s="171" t="s">
        <v>1</v>
      </c>
      <c r="AU28" s="172"/>
      <c r="AV28" s="169" t="s">
        <v>125</v>
      </c>
      <c r="AW28" s="170"/>
      <c r="AX28" s="171" t="s">
        <v>1</v>
      </c>
      <c r="AY28" s="172"/>
      <c r="AZ28" s="169" t="s">
        <v>125</v>
      </c>
      <c r="BA28" s="170"/>
      <c r="BB28" s="173" t="s">
        <v>1</v>
      </c>
      <c r="BC28" s="76"/>
      <c r="BD28" s="103"/>
      <c r="BE28" s="103"/>
      <c r="BF28" s="103"/>
      <c r="BG28" s="103"/>
      <c r="BH28" s="165"/>
      <c r="BI28" s="179"/>
      <c r="BJ28" s="169" t="s">
        <v>125</v>
      </c>
      <c r="BK28" s="170"/>
      <c r="BL28" s="173" t="s">
        <v>1</v>
      </c>
      <c r="BO28" s="14">
        <f>COUNTIF(J42:BB42,1)</f>
        <v>0</v>
      </c>
      <c r="BP28" s="15" t="s">
        <v>20</v>
      </c>
      <c r="BQ28" s="19"/>
      <c r="BR28" s="19"/>
      <c r="BS28" s="19"/>
      <c r="BT28" s="19"/>
      <c r="BU28" s="19"/>
      <c r="BV28" s="19"/>
      <c r="BW28" s="19"/>
      <c r="BX28" s="19"/>
      <c r="CA28" s="20"/>
      <c r="CB28" s="4"/>
      <c r="CC28" s="4"/>
      <c r="CD28" s="4"/>
      <c r="CE28" s="4"/>
      <c r="CF28" s="4"/>
      <c r="CG28" s="4"/>
      <c r="CH28" s="4"/>
      <c r="CI28" s="4"/>
      <c r="CJ28" s="4"/>
      <c r="CK28" s="4"/>
      <c r="CL28" s="4"/>
      <c r="CM28" s="4"/>
      <c r="CN28" s="4"/>
      <c r="CO28" s="4"/>
      <c r="CP28" s="4"/>
      <c r="CQ28" s="4"/>
      <c r="CR28" s="4"/>
      <c r="CS28" s="4"/>
      <c r="CT28" s="4"/>
      <c r="DK28" s="4"/>
      <c r="DL28" s="211" t="str">
        <f>CONCATENATE($DM$5,$I$9,$DN$5)</f>
        <v xml:space="preserve">   "11",</v>
      </c>
      <c r="DM28" s="11"/>
      <c r="DN28" s="11"/>
    </row>
    <row r="29" spans="1:124" s="6" customFormat="1" ht="15" customHeight="1" x14ac:dyDescent="0.2">
      <c r="A29" s="17"/>
      <c r="B29" s="96"/>
      <c r="C29" s="97"/>
      <c r="D29" s="98" t="s">
        <v>3</v>
      </c>
      <c r="E29" s="99"/>
      <c r="F29" s="90"/>
      <c r="G29" s="97"/>
      <c r="H29" s="87" t="s">
        <v>0</v>
      </c>
      <c r="I29" s="101"/>
      <c r="J29" s="93" t="str">
        <f>IF(OR(G$2="",G29="",I29=""),"",IF($BD29="","",IF(G29=$BD29,ABS(I29-$BF29),ABS(I29+$BF29))+IF(G29&lt;&gt;$BD29,$BO$7,0)))</f>
        <v/>
      </c>
      <c r="K29" s="100"/>
      <c r="L29" s="87" t="s">
        <v>0</v>
      </c>
      <c r="M29" s="101"/>
      <c r="N29" s="93" t="str">
        <f>IF(OR(K$2="",K29="",M29=""),"",IF($BD29="","",IF(K29=$BD29,ABS(M29-$BF29),ABS(M29+$BF29))+IF(K29&lt;&gt;$BD29,$BO$7,0)))</f>
        <v/>
      </c>
      <c r="O29" s="100"/>
      <c r="P29" s="87" t="s">
        <v>0</v>
      </c>
      <c r="Q29" s="101"/>
      <c r="R29" s="93" t="str">
        <f>IF(OR(O$2="",O29="",Q29=""),"",IF($BD29="","",IF(O29=$BD29,ABS(Q29-$BF29),ABS(Q29+$BF29))+IF(O29&lt;&gt;$BD29,$BO$7,0)))</f>
        <v/>
      </c>
      <c r="S29" s="100"/>
      <c r="T29" s="87" t="s">
        <v>0</v>
      </c>
      <c r="U29" s="101"/>
      <c r="V29" s="93" t="str">
        <f>IF(OR(S$2="",S29="",U29=""),"",IF($BD29="","",IF(S29=$BD29,ABS(U29-$BF29),ABS(U29+$BF29))+IF(S29&lt;&gt;$BD29,$BO$7,0)))</f>
        <v/>
      </c>
      <c r="W29" s="100"/>
      <c r="X29" s="87" t="s">
        <v>0</v>
      </c>
      <c r="Y29" s="101"/>
      <c r="Z29" s="93" t="str">
        <f>IF(OR(W$2="",W29="",Y29=""),"",IF($BD29="","",IF(W29=$BD29,ABS(Y29-$BF29),ABS(Y29+$BF29))+IF(W29&lt;&gt;$BD29,$BO$7,0)))</f>
        <v/>
      </c>
      <c r="AA29" s="100"/>
      <c r="AB29" s="87" t="s">
        <v>0</v>
      </c>
      <c r="AC29" s="101"/>
      <c r="AD29" s="93" t="str">
        <f>IF(OR(AA$2="",AA29="",AC29=""),"",IF($BD29="","",IF(AA29=$BD29,ABS(AC29-$BF29),ABS(AC29+$BF29))+IF(AA29&lt;&gt;$BD29,$BO$7,0)))</f>
        <v/>
      </c>
      <c r="AE29" s="100"/>
      <c r="AF29" s="87" t="s">
        <v>0</v>
      </c>
      <c r="AG29" s="101"/>
      <c r="AH29" s="93" t="str">
        <f>IF(OR(AE$2="",AE29="",AG29=""),"",IF($BD29="","",IF(AE29=$BD29,ABS(AG29-$BF29),ABS(AG29+$BF29))+IF(AE29&lt;&gt;$BD29,$BO$7,0)))</f>
        <v/>
      </c>
      <c r="AI29" s="100"/>
      <c r="AJ29" s="87" t="s">
        <v>0</v>
      </c>
      <c r="AK29" s="101"/>
      <c r="AL29" s="93" t="str">
        <f>IF(OR(AI$2="",AI29="",AK29=""),"",IF($BD29="","",IF(AI29=$BD29,ABS(AK29-$BF29),ABS(AK29+$BF29))+IF(AI29&lt;&gt;$BD29,$BO$7,0)))</f>
        <v/>
      </c>
      <c r="AM29" s="100"/>
      <c r="AN29" s="87" t="s">
        <v>0</v>
      </c>
      <c r="AO29" s="101"/>
      <c r="AP29" s="93" t="str">
        <f>IF(OR(AM$2="",AM29="",AO29=""),"",IF($BD29="","",IF(AM29=$BD29,ABS(AO29-$BF29),ABS(AO29+$BF29))+IF(AM29&lt;&gt;$BD29,$BO$7,0)))</f>
        <v/>
      </c>
      <c r="AQ29" s="100"/>
      <c r="AR29" s="87" t="s">
        <v>0</v>
      </c>
      <c r="AS29" s="101"/>
      <c r="AT29" s="93" t="str">
        <f>IF(OR(AQ$2="",AQ29="",AS29=""),"",IF($BD29="","",IF(AQ29=$BD29,ABS(AS29-$BF29),ABS(AS29+$BF29))+IF(AQ29&lt;&gt;$BD29,$BO$7,0)))</f>
        <v/>
      </c>
      <c r="AU29" s="100"/>
      <c r="AV29" s="87" t="s">
        <v>0</v>
      </c>
      <c r="AW29" s="101"/>
      <c r="AX29" s="93" t="str">
        <f>IF(OR(AU$2="",AU29="",AW29=""),"",IF($BD29="","",IF(AU29=$BD29,ABS(AW29-$BF29),ABS(AW29+$BF29))+IF(AU29&lt;&gt;$BD29,$BO$7,0)))</f>
        <v/>
      </c>
      <c r="AY29" s="100"/>
      <c r="AZ29" s="87" t="s">
        <v>0</v>
      </c>
      <c r="BA29" s="101"/>
      <c r="BB29" s="94" t="str">
        <f>IF(OR(AY$2="",AY29="",BA29=""),"",IF($BD29="","",IF(AY29=$BD29,ABS(BA29-$BF29),ABS(BA29+$BF29))+IF(AY29&lt;&gt;$BD29,$BO$7,0)))</f>
        <v/>
      </c>
      <c r="BC29" s="76"/>
      <c r="BD29" s="77" t="str">
        <f>IF(OR(B29="",F29="",B29=F29),"",IF(B29&gt;F29,"V","H"))</f>
        <v/>
      </c>
      <c r="BE29" s="77" t="s">
        <v>0</v>
      </c>
      <c r="BF29" s="77" t="str">
        <f>IF(OR(B29="",F29="",B29=F29),"",ABS(B29-F29))</f>
        <v/>
      </c>
      <c r="BG29" s="77"/>
      <c r="BH29" s="77">
        <f t="shared" ref="BH29" si="29">SUM(IF(G29="H",I29,-I29),IF(K29="H",M29,-M29),IF(O29="H",Q29,-Q29),IF(S29="H",U29,-U29),IF(W29="H",Y29,-Y29),IF(AA29="H",AC29,-AC29),IF(AE29="H",AG29,-AG29),IF(AI29="H",AK29,-AK29),IF(AM29="H",AO29,-AO29),IF(AQ29="H",AS29,-AS29),IF(AU29="H",AW29,-AW29),IF(AY29="H",BA29,-BA29))</f>
        <v>0</v>
      </c>
      <c r="BI29" s="184" t="str">
        <f>IF(COUNTA(G29,K29,O29,S29,W29,AA29,AE29,AI29,AM29,AQ29,AU29,AY29)&gt;0,IF(BH29&lt;0,"V","H"),"")</f>
        <v/>
      </c>
      <c r="BJ29" s="88" t="s">
        <v>0</v>
      </c>
      <c r="BK29" s="102" t="str">
        <f>IF(BI29="","",IF(ABS(BH29)&lt;(COUNTA(G29,K29,O29,S29,W29,AA29,AE29,AI29,AM29,AQ29,AU29,AY29)/2),1,ROUND(ABS(BH29)/COUNTA(G29,K29,O29,S29,W29,AA29,AE29,AI29,AM29,AQ29,AU29,AY29),0)))</f>
        <v/>
      </c>
      <c r="BL29" s="94" t="str">
        <f>IF(OR(BI29="",BK29=""),"",IF($BD29="","",IF(BI29=$BD29,ABS(BK29-$BF29),ABS(BK29+$BF29))+IF(BI29&lt;&gt;$BD29,$BO$7,0)))</f>
        <v/>
      </c>
      <c r="BQ29" s="11"/>
      <c r="BR29" s="11"/>
      <c r="BS29" s="11"/>
      <c r="BT29" s="11"/>
      <c r="BU29" s="11"/>
      <c r="BV29" s="11"/>
      <c r="BW29" s="11"/>
      <c r="BX29" s="11"/>
      <c r="BY29" s="11"/>
      <c r="BZ29" s="11"/>
      <c r="CA29" s="20"/>
      <c r="CB29" s="4"/>
      <c r="CC29" s="4"/>
      <c r="CD29" s="4"/>
      <c r="CE29" s="4"/>
      <c r="CF29" s="4"/>
      <c r="CG29" s="4"/>
      <c r="CH29" s="4"/>
      <c r="CI29" s="4"/>
      <c r="CJ29" s="4"/>
      <c r="CK29" s="4"/>
      <c r="CL29" s="4"/>
      <c r="CM29" s="4"/>
      <c r="CN29" s="4"/>
      <c r="CO29" s="4"/>
      <c r="CP29" s="4"/>
      <c r="CQ29" s="4"/>
      <c r="CR29" s="4"/>
      <c r="CS29" s="4"/>
      <c r="CT29" s="4"/>
      <c r="DK29" s="4"/>
      <c r="DL29" s="211" t="str">
        <f>CONCATENATE($DM$5,$I$10,$DN$5)</f>
        <v xml:space="preserve">   "3",</v>
      </c>
      <c r="DM29" s="11"/>
      <c r="DN29" s="11"/>
    </row>
    <row r="30" spans="1:124" s="6" customFormat="1" ht="15" customHeight="1" x14ac:dyDescent="0.2">
      <c r="A30" s="17"/>
      <c r="B30" s="224"/>
      <c r="C30" s="225"/>
      <c r="D30" s="226"/>
      <c r="E30" s="227" t="str">
        <f>IF(C29&lt;&gt;"",""""&amp;C29&amp;" at "&amp;E29&amp;""" Total Points:  ","Total Points:  ")</f>
        <v xml:space="preserve">Total Points:  </v>
      </c>
      <c r="F30" s="228" t="str">
        <f>IF(SUM(B29,F29)=0,"",SUM(B29,F29))</f>
        <v/>
      </c>
      <c r="G30" s="229"/>
      <c r="H30" s="230" t="s">
        <v>61</v>
      </c>
      <c r="I30" s="231"/>
      <c r="J30" s="232" t="str">
        <f>IF(J68="","",IF(J68=0,"exact",IF(J68&lt;0,ABS(J68)&amp;" over",IF(J68&gt;0,ABS(J68)&amp;" under",""))))</f>
        <v/>
      </c>
      <c r="K30" s="233"/>
      <c r="L30" s="230" t="s">
        <v>61</v>
      </c>
      <c r="M30" s="231"/>
      <c r="N30" s="232" t="str">
        <f>IF(N68="","",IF(N68=0,"exact",IF(N68&lt;0,ABS(N68)&amp;" over",IF(N68&gt;0,ABS(N68)&amp;" under",""))))</f>
        <v/>
      </c>
      <c r="O30" s="233"/>
      <c r="P30" s="230" t="s">
        <v>61</v>
      </c>
      <c r="Q30" s="231"/>
      <c r="R30" s="232" t="str">
        <f>IF(R68="","",IF(R68=0,"exact",IF(R68&lt;0,ABS(R68)&amp;" over",IF(R68&gt;0,ABS(R68)&amp;" under",""))))</f>
        <v/>
      </c>
      <c r="S30" s="233"/>
      <c r="T30" s="230" t="s">
        <v>61</v>
      </c>
      <c r="U30" s="231"/>
      <c r="V30" s="232" t="str">
        <f>IF(V68="","",IF(V68=0,"exact",IF(V68&lt;0,ABS(V68)&amp;" over",IF(V68&gt;0,ABS(V68)&amp;" under",""))))</f>
        <v/>
      </c>
      <c r="W30" s="233"/>
      <c r="X30" s="230" t="s">
        <v>61</v>
      </c>
      <c r="Y30" s="231"/>
      <c r="Z30" s="232" t="str">
        <f>IF(Z68="","",IF(Z68=0,"exact",IF(Z68&lt;0,ABS(Z68)&amp;" over",IF(Z68&gt;0,ABS(Z68)&amp;" under",""))))</f>
        <v/>
      </c>
      <c r="AA30" s="233"/>
      <c r="AB30" s="230" t="s">
        <v>61</v>
      </c>
      <c r="AC30" s="231"/>
      <c r="AD30" s="232" t="str">
        <f>IF(AD68="","",IF(AD68=0,"exact",IF(AD68&lt;0,ABS(AD68)&amp;" over",IF(AD68&gt;0,ABS(AD68)&amp;" under",""))))</f>
        <v/>
      </c>
      <c r="AE30" s="233"/>
      <c r="AF30" s="230" t="s">
        <v>61</v>
      </c>
      <c r="AG30" s="231"/>
      <c r="AH30" s="232" t="str">
        <f>IF(AH68="","",IF(AH68=0,"exact",IF(AH68&lt;0,ABS(AH68)&amp;" over",IF(AH68&gt;0,ABS(AH68)&amp;" under",""))))</f>
        <v/>
      </c>
      <c r="AI30" s="233"/>
      <c r="AJ30" s="230" t="s">
        <v>61</v>
      </c>
      <c r="AK30" s="231"/>
      <c r="AL30" s="232" t="str">
        <f>IF(AL68="","",IF(AL68=0,"exact",IF(AL68&lt;0,ABS(AL68)&amp;" over",IF(AL68&gt;0,ABS(AL68)&amp;" under",""))))</f>
        <v/>
      </c>
      <c r="AM30" s="233"/>
      <c r="AN30" s="230" t="s">
        <v>61</v>
      </c>
      <c r="AO30" s="231"/>
      <c r="AP30" s="232" t="str">
        <f>IF(AP68="","",IF(AP68=0,"exact",IF(AP68&lt;0,ABS(AP68)&amp;" over",IF(AP68&gt;0,ABS(AP68)&amp;" under",""))))</f>
        <v/>
      </c>
      <c r="AQ30" s="233"/>
      <c r="AR30" s="230" t="s">
        <v>61</v>
      </c>
      <c r="AS30" s="231"/>
      <c r="AT30" s="232" t="str">
        <f>IF(AT68="","",IF(AT68=0,"exact",IF(AT68&lt;0,ABS(AT68)&amp;" over",IF(AT68&gt;0,ABS(AT68)&amp;" under",""))))</f>
        <v/>
      </c>
      <c r="AU30" s="233"/>
      <c r="AV30" s="230" t="s">
        <v>61</v>
      </c>
      <c r="AW30" s="231"/>
      <c r="AX30" s="232" t="str">
        <f>IF(AX68="","",IF(AX68=0,"exact",IF(AX68&lt;0,ABS(AX68)&amp;" over",IF(AX68&gt;0,ABS(AX68)&amp;" under",""))))</f>
        <v/>
      </c>
      <c r="AY30" s="233"/>
      <c r="AZ30" s="230" t="s">
        <v>61</v>
      </c>
      <c r="BA30" s="231"/>
      <c r="BB30" s="234" t="str">
        <f>IF(BB68="","",IF(BB68=0,"exact",IF(BB68&lt;0,ABS(BB68)&amp;" over",IF(BB68&gt;0,ABS(BB68)&amp;" under",""))))</f>
        <v/>
      </c>
      <c r="BC30" s="76"/>
      <c r="BD30" s="77"/>
      <c r="BE30" s="77"/>
      <c r="BF30" s="77"/>
      <c r="BG30" s="77"/>
      <c r="BH30" s="164"/>
      <c r="BI30" s="60"/>
      <c r="BJ30" s="61" t="s">
        <v>61</v>
      </c>
      <c r="BK30" s="62" t="str">
        <f>IF(SUM(I30,M30,Q30,U30,Y30,AC30,AG30,AK30,AO30,AS30,AW30,BA30)=0,"",ROUND(AVERAGE(I30,M30,Q30,U30,Y30,AC30,AG30,AK30,AO30,AS30,AW30,BA30),0))</f>
        <v/>
      </c>
      <c r="BL30" s="65" t="str">
        <f>IF(OR($F30="",BK30=""),"",$F30-BK30)</f>
        <v/>
      </c>
      <c r="BS30" s="19"/>
      <c r="BT30" s="19"/>
      <c r="BU30" s="19"/>
      <c r="BV30" s="19"/>
      <c r="BW30" s="19"/>
      <c r="BX30" s="19"/>
      <c r="BY30" s="19"/>
      <c r="BZ30" s="19"/>
      <c r="CA30" s="20"/>
      <c r="CB30" s="4"/>
      <c r="CC30" s="4"/>
      <c r="CD30" s="4"/>
      <c r="CE30" s="4"/>
      <c r="CF30" s="4"/>
      <c r="CG30" s="4"/>
      <c r="CH30" s="4"/>
      <c r="CI30" s="4"/>
      <c r="CJ30" s="4"/>
      <c r="CK30" s="4"/>
      <c r="CL30" s="4"/>
      <c r="CM30" s="4"/>
      <c r="CN30" s="4"/>
      <c r="CO30" s="4"/>
      <c r="CP30" s="4"/>
      <c r="CQ30" s="4"/>
      <c r="CR30" s="4"/>
      <c r="CS30" s="4"/>
      <c r="CT30" s="4"/>
      <c r="DK30" s="4"/>
      <c r="DL30" s="211" t="str">
        <f>CONCATENATE($DM$5,$I$15,$DN$5)</f>
        <v xml:space="preserve">   "",</v>
      </c>
      <c r="DM30" s="11"/>
      <c r="DN30" s="11"/>
    </row>
    <row r="31" spans="1:124" s="6" customFormat="1" ht="18" customHeight="1" thickBot="1" x14ac:dyDescent="0.25">
      <c r="B31" s="120"/>
      <c r="C31" s="119"/>
      <c r="D31" s="119"/>
      <c r="E31" s="121"/>
      <c r="F31" s="168" t="s">
        <v>81</v>
      </c>
      <c r="G31" s="125"/>
      <c r="H31" s="105" t="s">
        <v>2</v>
      </c>
      <c r="I31" s="106" t="str">
        <f>IF(J31="","",IF(OR(RANK(J45,$J45:$BB45,1)&gt;1,AND(RANK(J45,$J45:$BB45,1)=1,COUNTIF($J45:$BB45,J45)=1)),RANK(J45,$J45:$BB45,1),IF(MIN($J67:$BB67)=J67,1,COUNTIF($J67:$BB67,MIN($J67:$BB67))+1)))</f>
        <v/>
      </c>
      <c r="J31" s="220" t="str">
        <f>IF(G$2="","",(IF(AND(COUNTBLANK(G29:G29)=0,COUNTBLANK(I29:I29)=0),(SUM(J29:J29))*$BO$31,"")))</f>
        <v/>
      </c>
      <c r="K31" s="104"/>
      <c r="L31" s="105" t="s">
        <v>2</v>
      </c>
      <c r="M31" s="106" t="str">
        <f>IF(N31="","",IF(OR(RANK(N45,$J45:$BB45,1)&gt;1,AND(RANK(N45,$J45:$BB45,1)=1,COUNTIF($J45:$BB45,N45)=1)),RANK(N45,$J45:$BB45,1),IF(MIN($J67:$BB67)=N67,1,COUNTIF($J67:$BB67,MIN($J67:$BB67))+1)))</f>
        <v/>
      </c>
      <c r="N31" s="220" t="str">
        <f>IF(K$2="","",(IF(AND(COUNTBLANK(K29:K29)=0,COUNTBLANK(M29:M29)=0),(SUM(N29:N29))*$BO$31,"")))</f>
        <v/>
      </c>
      <c r="O31" s="104"/>
      <c r="P31" s="105" t="s">
        <v>2</v>
      </c>
      <c r="Q31" s="106" t="str">
        <f>IF(R31="","",IF(OR(RANK(R45,$J45:$BB45,1)&gt;1,AND(RANK(R45,$J45:$BB45,1)=1,COUNTIF($J45:$BB45,R45)=1)),RANK(R45,$J45:$BB45,1),IF(MIN($J67:$BB67)=R67,1,COUNTIF($J67:$BB67,MIN($J67:$BB67))+1)))</f>
        <v/>
      </c>
      <c r="R31" s="220" t="str">
        <f>IF(O$2="","",(IF(AND(COUNTBLANK(O29:O29)=0,COUNTBLANK(Q29:Q29)=0),(SUM(R29:R29))*$BO$31,"")))</f>
        <v/>
      </c>
      <c r="S31" s="104"/>
      <c r="T31" s="105" t="s">
        <v>2</v>
      </c>
      <c r="U31" s="106" t="str">
        <f>IF(V31="","",IF(OR(RANK(V45,$J45:$BB45,1)&gt;1,AND(RANK(V45,$J45:$BB45,1)=1,COUNTIF($J45:$BB45,V45)=1)),RANK(V45,$J45:$BB45,1),IF(MIN($J67:$BB67)=V67,1,COUNTIF($J67:$BB67,MIN($J67:$BB67))+1)))</f>
        <v/>
      </c>
      <c r="V31" s="220" t="str">
        <f>IF(S$2="","",(IF(AND(COUNTBLANK(S29:S29)=0,COUNTBLANK(U29:U29)=0),(SUM(V29:V29))*$BO$31,"")))</f>
        <v/>
      </c>
      <c r="W31" s="104"/>
      <c r="X31" s="105" t="s">
        <v>2</v>
      </c>
      <c r="Y31" s="106" t="str">
        <f>IF(Z31="","",IF(OR(RANK(Z45,$J45:$BB45,1)&gt;1,AND(RANK(Z45,$J45:$BB45,1)=1,COUNTIF($J45:$BB45,Z45)=1)),RANK(Z45,$J45:$BB45,1),IF(MIN($J67:$BB67)=Z67,1,COUNTIF($J67:$BB67,MIN($J67:$BB67))+1)))</f>
        <v/>
      </c>
      <c r="Z31" s="220" t="str">
        <f>IF(W$2="","",(IF(AND(COUNTBLANK(W29:W29)=0,COUNTBLANK(Y29:Y29)=0),(SUM(Z29:Z29))*$BO$31,"")))</f>
        <v/>
      </c>
      <c r="AA31" s="104"/>
      <c r="AB31" s="105" t="s">
        <v>2</v>
      </c>
      <c r="AC31" s="106" t="str">
        <f>IF(AD31="","",IF(OR(RANK(AD45,$J45:$BB45,1)&gt;1,AND(RANK(AD45,$J45:$BB45,1)=1,COUNTIF($J45:$BB45,AD45)=1)),RANK(AD45,$J45:$BB45,1),IF(MIN($J67:$BB67)=AD67,1,COUNTIF($J67:$BB67,MIN($J67:$BB67))+1)))</f>
        <v/>
      </c>
      <c r="AD31" s="220" t="str">
        <f>IF(AA$2="","",(IF(AND(COUNTBLANK(AA29:AA29)=0,COUNTBLANK(AC29:AC29)=0),(SUM(AD29:AD29))*$BO$31,"")))</f>
        <v/>
      </c>
      <c r="AE31" s="104"/>
      <c r="AF31" s="105" t="s">
        <v>2</v>
      </c>
      <c r="AG31" s="106" t="str">
        <f>IF(AH31="","",IF(OR(RANK(AH45,$J45:$BB45,1)&gt;1,AND(RANK(AH45,$J45:$BB45,1)=1,COUNTIF($J45:$BB45,AH45)=1)),RANK(AH45,$J45:$BB45,1),IF(MIN($J67:$BB67)=AH67,1,COUNTIF($J67:$BB67,MIN($J67:$BB67))+1)))</f>
        <v/>
      </c>
      <c r="AH31" s="220" t="str">
        <f>IF(AE$2="","",(IF(AND(COUNTBLANK(AE29:AE29)=0,COUNTBLANK(AG29:AG29)=0),(SUM(AH29:AH29))*$BO$31,"")))</f>
        <v/>
      </c>
      <c r="AI31" s="104"/>
      <c r="AJ31" s="105" t="s">
        <v>2</v>
      </c>
      <c r="AK31" s="106" t="str">
        <f>IF(AL31="","",IF(OR(RANK(AL45,$J45:$BB45,1)&gt;1,AND(RANK(AL45,$J45:$BB45,1)=1,COUNTIF($J45:$BB45,AL45)=1)),RANK(AL45,$J45:$BB45,1),IF(MIN($J67:$BB67)=AL67,1,COUNTIF($J67:$BB67,MIN($J67:$BB67))+1)))</f>
        <v/>
      </c>
      <c r="AL31" s="220" t="str">
        <f>IF(AI$2="","",(IF(AND(COUNTBLANK(AI29:AI29)=0,COUNTBLANK(AK29:AK29)=0),(SUM(AL29:AL29))*$BO$31,"")))</f>
        <v/>
      </c>
      <c r="AM31" s="104"/>
      <c r="AN31" s="105" t="s">
        <v>2</v>
      </c>
      <c r="AO31" s="106" t="str">
        <f>IF(AP31="","",IF(OR(RANK(AP45,$J45:$BB45,1)&gt;1,AND(RANK(AP45,$J45:$BB45,1)=1,COUNTIF($J45:$BB45,AP45)=1)),RANK(AP45,$J45:$BB45,1),IF(MIN($J67:$BB67)=AP67,1,COUNTIF($J67:$BB67,MIN($J67:$BB67))+1)))</f>
        <v/>
      </c>
      <c r="AP31" s="220" t="str">
        <f>IF(AM$2="","",(IF(AND(COUNTBLANK(AM29:AM29)=0,COUNTBLANK(AO29:AO29)=0),(SUM(AP29:AP29))*$BO$31,"")))</f>
        <v/>
      </c>
      <c r="AQ31" s="104"/>
      <c r="AR31" s="105" t="s">
        <v>2</v>
      </c>
      <c r="AS31" s="106" t="str">
        <f>IF(AT31="","",IF(OR(RANK(AT45,$J45:$BB45,1)&gt;1,AND(RANK(AT45,$J45:$BB45,1)=1,COUNTIF($J45:$BB45,AT45)=1)),RANK(AT45,$J45:$BB45,1),IF(MIN($J67:$BB67)=AT67,1,COUNTIF($J67:$BB67,MIN($J67:$BB67))+1)))</f>
        <v/>
      </c>
      <c r="AT31" s="220" t="str">
        <f>IF(AQ$2="","",(IF(AND(COUNTBLANK(AQ29:AQ29)=0,COUNTBLANK(AS29:AS29)=0),(SUM(AT29:AT29))*$BO$31,"")))</f>
        <v/>
      </c>
      <c r="AU31" s="104"/>
      <c r="AV31" s="105" t="s">
        <v>2</v>
      </c>
      <c r="AW31" s="106" t="str">
        <f>IF(AX31="","",IF(OR(RANK(AX45,$J45:$BB45,1)&gt;1,AND(RANK(AX45,$J45:$BB45,1)=1,COUNTIF($J45:$BB45,AX45)=1)),RANK(AX45,$J45:$BB45,1),IF(MIN($J67:$BB67)=AX67,1,COUNTIF($J67:$BB67,MIN($J67:$BB67))+1)))</f>
        <v/>
      </c>
      <c r="AX31" s="220" t="str">
        <f>IF(AU$2="","",(IF(AND(COUNTBLANK(AU29:AU29)=0,COUNTBLANK(AW29:AW29)=0),(SUM(AX29:AX29))*$BO$31,"")))</f>
        <v/>
      </c>
      <c r="AY31" s="109"/>
      <c r="AZ31" s="107" t="s">
        <v>2</v>
      </c>
      <c r="BA31" s="108" t="str">
        <f>IF(BB31="","",IF(OR(RANK(BB45,$J45:$BB45,1)&gt;1,AND(RANK(BB45,$J45:$BB45,1)=1,COUNTIF($J45:$BB45,BB45)=1)),RANK(BB45,$J45:$BB45,1),IF(MIN($J67:$BB67)=BB67,1,COUNTIF($J67:$BB67,MIN($J67:$BB67))+1)))</f>
        <v/>
      </c>
      <c r="BB31" s="219" t="str">
        <f>IF(AY$2="","",(IF(AND(COUNTBLANK(AY29:AY29)=0,COUNTBLANK(BA29:BA29)=0),(SUM(BB29:BB29))*$BO$31,"")))</f>
        <v/>
      </c>
      <c r="BC31" s="76"/>
      <c r="BD31" s="76"/>
      <c r="BE31" s="76"/>
      <c r="BF31" s="76"/>
      <c r="BG31" s="76"/>
      <c r="BH31" s="164"/>
      <c r="BI31" s="183"/>
      <c r="BJ31" s="107" t="s">
        <v>2</v>
      </c>
      <c r="BK31" s="108" t="str">
        <f>IF(BL31="","",RANK(BL45,$J45:$BL45,1))</f>
        <v/>
      </c>
      <c r="BL31" s="219" t="str">
        <f>IF(AND(COUNTBLANK(BI29:BI29)=0,COUNTBLANK(BK29:BK29)=0),(SUM(BL29:BL29))*$BO$31,"")</f>
        <v/>
      </c>
      <c r="BO31" s="14">
        <v>6</v>
      </c>
      <c r="BP31" s="15" t="s">
        <v>11</v>
      </c>
      <c r="BQ31" s="15"/>
      <c r="BR31" s="19"/>
      <c r="BS31" s="19"/>
      <c r="BT31" s="19"/>
      <c r="BU31" s="19"/>
      <c r="BV31" s="19"/>
      <c r="BW31" s="19"/>
      <c r="BX31" s="19"/>
      <c r="BY31" s="19"/>
      <c r="BZ31" s="19"/>
      <c r="CB31" s="4"/>
      <c r="CC31" s="4"/>
      <c r="CD31" s="4"/>
      <c r="CE31" s="4"/>
      <c r="CF31" s="4"/>
      <c r="CG31" s="4"/>
      <c r="CH31" s="4"/>
      <c r="CI31" s="4"/>
      <c r="CJ31" s="4"/>
      <c r="CK31" s="4"/>
      <c r="CL31" s="4"/>
      <c r="CM31" s="4"/>
      <c r="CN31" s="4"/>
      <c r="CO31" s="4"/>
      <c r="CP31" s="4"/>
      <c r="CQ31" s="4"/>
      <c r="CR31" s="4"/>
      <c r="CS31" s="4"/>
      <c r="CT31" s="4"/>
      <c r="DK31" s="4"/>
      <c r="DL31" s="211" t="str">
        <f>CONCATENATE($DM$5,$I$16,$DN$5)</f>
        <v xml:space="preserve">   "",</v>
      </c>
      <c r="DM31" s="11"/>
      <c r="DN31" s="11"/>
    </row>
    <row r="32" spans="1:124" s="6" customFormat="1" ht="8.1" customHeight="1" thickBot="1" x14ac:dyDescent="0.25">
      <c r="B32" s="130"/>
      <c r="C32" s="63"/>
      <c r="D32" s="63"/>
      <c r="E32" s="122"/>
      <c r="F32" s="131"/>
      <c r="G32" s="126"/>
      <c r="H32" s="110"/>
      <c r="I32" s="126"/>
      <c r="J32" s="132"/>
      <c r="K32" s="126"/>
      <c r="L32" s="110"/>
      <c r="M32" s="126"/>
      <c r="N32" s="132"/>
      <c r="O32" s="126"/>
      <c r="P32" s="110"/>
      <c r="Q32" s="126"/>
      <c r="R32" s="132"/>
      <c r="S32" s="126"/>
      <c r="T32" s="110"/>
      <c r="U32" s="126"/>
      <c r="V32" s="132"/>
      <c r="W32" s="126"/>
      <c r="X32" s="110"/>
      <c r="Y32" s="126"/>
      <c r="Z32" s="132"/>
      <c r="AA32" s="126"/>
      <c r="AB32" s="110"/>
      <c r="AC32" s="126"/>
      <c r="AD32" s="132"/>
      <c r="AE32" s="126"/>
      <c r="AF32" s="110"/>
      <c r="AG32" s="126"/>
      <c r="AH32" s="132"/>
      <c r="AI32" s="126"/>
      <c r="AJ32" s="110"/>
      <c r="AK32" s="126"/>
      <c r="AL32" s="132"/>
      <c r="AM32" s="126"/>
      <c r="AN32" s="110"/>
      <c r="AO32" s="126"/>
      <c r="AP32" s="132"/>
      <c r="AQ32" s="126"/>
      <c r="AR32" s="110"/>
      <c r="AS32" s="126"/>
      <c r="AT32" s="132"/>
      <c r="AU32" s="126"/>
      <c r="AV32" s="110"/>
      <c r="AW32" s="126"/>
      <c r="AX32" s="132"/>
      <c r="AY32" s="126"/>
      <c r="AZ32" s="110"/>
      <c r="BA32" s="126"/>
      <c r="BB32" s="111"/>
      <c r="BC32" s="76"/>
      <c r="BD32" s="76"/>
      <c r="BE32" s="76"/>
      <c r="BF32" s="76"/>
      <c r="BG32" s="76"/>
      <c r="BH32" s="165"/>
      <c r="BI32" s="178"/>
      <c r="BJ32" s="110"/>
      <c r="BK32" s="126"/>
      <c r="BL32" s="111"/>
      <c r="BO32" s="14"/>
      <c r="BP32" s="15"/>
      <c r="BQ32" s="15"/>
      <c r="BR32" s="19"/>
      <c r="BS32" s="19"/>
      <c r="BT32" s="19"/>
      <c r="BU32" s="19"/>
      <c r="BV32" s="19"/>
      <c r="BW32" s="19"/>
      <c r="BX32" s="19"/>
      <c r="BY32" s="19"/>
      <c r="BZ32" s="19"/>
      <c r="CB32" s="4"/>
      <c r="CC32" s="4"/>
      <c r="CD32" s="4"/>
      <c r="CE32" s="4"/>
      <c r="CF32" s="4"/>
      <c r="CG32" s="4"/>
      <c r="CH32" s="4"/>
      <c r="CI32" s="4"/>
      <c r="CJ32" s="4"/>
      <c r="CK32" s="4"/>
      <c r="CL32" s="4"/>
      <c r="CM32" s="4"/>
      <c r="CN32" s="4"/>
      <c r="CO32" s="4"/>
      <c r="CP32" s="4"/>
      <c r="CQ32" s="4"/>
      <c r="CR32" s="4"/>
      <c r="CS32" s="4"/>
      <c r="CT32" s="4"/>
      <c r="DK32" s="4"/>
      <c r="DL32" s="211" t="str">
        <f>CONCATENATE($DM$5,$I$17,$DN$5)</f>
        <v xml:space="preserve">   "",</v>
      </c>
      <c r="DM32" s="11"/>
      <c r="DN32" s="11"/>
    </row>
    <row r="33" spans="1:118" s="6" customFormat="1" ht="18" customHeight="1" thickBot="1" x14ac:dyDescent="0.25">
      <c r="A33" s="22"/>
      <c r="B33" s="245" t="s">
        <v>118</v>
      </c>
      <c r="C33" s="246"/>
      <c r="D33" s="246"/>
      <c r="E33" s="246"/>
      <c r="F33" s="247"/>
      <c r="G33" s="169"/>
      <c r="H33" s="169" t="s">
        <v>4</v>
      </c>
      <c r="I33" s="170"/>
      <c r="J33" s="171" t="s">
        <v>1</v>
      </c>
      <c r="K33" s="172"/>
      <c r="L33" s="169" t="s">
        <v>4</v>
      </c>
      <c r="M33" s="170"/>
      <c r="N33" s="171" t="s">
        <v>1</v>
      </c>
      <c r="O33" s="172"/>
      <c r="P33" s="169" t="s">
        <v>4</v>
      </c>
      <c r="Q33" s="170"/>
      <c r="R33" s="171" t="s">
        <v>1</v>
      </c>
      <c r="S33" s="172"/>
      <c r="T33" s="169" t="s">
        <v>4</v>
      </c>
      <c r="U33" s="170"/>
      <c r="V33" s="171" t="s">
        <v>1</v>
      </c>
      <c r="W33" s="172"/>
      <c r="X33" s="169" t="s">
        <v>4</v>
      </c>
      <c r="Y33" s="170"/>
      <c r="Z33" s="171" t="s">
        <v>1</v>
      </c>
      <c r="AA33" s="172"/>
      <c r="AB33" s="169" t="s">
        <v>4</v>
      </c>
      <c r="AC33" s="170"/>
      <c r="AD33" s="171" t="s">
        <v>1</v>
      </c>
      <c r="AE33" s="172"/>
      <c r="AF33" s="169" t="s">
        <v>4</v>
      </c>
      <c r="AG33" s="170"/>
      <c r="AH33" s="171" t="s">
        <v>1</v>
      </c>
      <c r="AI33" s="172"/>
      <c r="AJ33" s="169" t="s">
        <v>4</v>
      </c>
      <c r="AK33" s="170"/>
      <c r="AL33" s="171" t="s">
        <v>1</v>
      </c>
      <c r="AM33" s="172"/>
      <c r="AN33" s="169" t="s">
        <v>4</v>
      </c>
      <c r="AO33" s="170"/>
      <c r="AP33" s="171" t="s">
        <v>1</v>
      </c>
      <c r="AQ33" s="172"/>
      <c r="AR33" s="169" t="s">
        <v>4</v>
      </c>
      <c r="AS33" s="170"/>
      <c r="AT33" s="171" t="s">
        <v>1</v>
      </c>
      <c r="AU33" s="172"/>
      <c r="AV33" s="169" t="s">
        <v>4</v>
      </c>
      <c r="AW33" s="170"/>
      <c r="AX33" s="171" t="s">
        <v>1</v>
      </c>
      <c r="AY33" s="172"/>
      <c r="AZ33" s="169" t="s">
        <v>4</v>
      </c>
      <c r="BA33" s="170"/>
      <c r="BB33" s="173" t="s">
        <v>1</v>
      </c>
      <c r="BC33" s="76"/>
      <c r="BD33" s="76"/>
      <c r="BE33" s="76"/>
      <c r="BF33" s="76"/>
      <c r="BG33" s="76"/>
      <c r="BH33" s="165"/>
      <c r="BI33" s="179"/>
      <c r="BJ33" s="169" t="s">
        <v>4</v>
      </c>
      <c r="BK33" s="170"/>
      <c r="BL33" s="173" t="s">
        <v>1</v>
      </c>
      <c r="BO33" s="14">
        <f>COUNTIF(J44:BB44,1)</f>
        <v>0</v>
      </c>
      <c r="BP33" s="15" t="s">
        <v>21</v>
      </c>
      <c r="CB33" s="4"/>
      <c r="CC33" s="4"/>
      <c r="CD33" s="4"/>
      <c r="CE33" s="4"/>
      <c r="CF33" s="4"/>
      <c r="CG33" s="4"/>
      <c r="CH33" s="4"/>
      <c r="CI33" s="4"/>
      <c r="CJ33" s="4"/>
      <c r="CK33" s="4"/>
      <c r="CL33" s="4"/>
      <c r="CM33" s="4"/>
      <c r="CN33" s="4"/>
      <c r="CO33" s="4"/>
      <c r="CP33" s="4"/>
      <c r="CQ33" s="4"/>
      <c r="CR33" s="4"/>
      <c r="CS33" s="4"/>
      <c r="CT33" s="4"/>
      <c r="DK33" s="4"/>
      <c r="DL33" s="211" t="str">
        <f>CONCATENATE($DM$5,$I$18,$DN$5)</f>
        <v xml:space="preserve">   "",</v>
      </c>
      <c r="DM33" s="11"/>
      <c r="DN33" s="11"/>
    </row>
    <row r="34" spans="1:118" s="6" customFormat="1" ht="20.100000000000001" customHeight="1" x14ac:dyDescent="0.2">
      <c r="A34" s="22"/>
      <c r="B34" s="134"/>
      <c r="C34" s="135"/>
      <c r="D34" s="135"/>
      <c r="E34" s="136"/>
      <c r="F34" s="166" t="s">
        <v>119</v>
      </c>
      <c r="G34" s="137"/>
      <c r="H34" s="138" t="s">
        <v>2</v>
      </c>
      <c r="I34" s="139">
        <f>IF(J34="","",RANK(J47,$J47:$BB47,1))</f>
        <v>4</v>
      </c>
      <c r="J34" s="221">
        <f>IF(OR(G$2="",AND(OR($BO$43&gt;=1,$BO$48&gt;=1),OR(COUNTBLANK(G5:G10)&gt;0,COUNTBLANK(I5:I10)&gt;0)),AND(OR($BO$43&gt;=2,$BO$48&gt;=2),OR(COUNTBLANK(G15:G18)&gt;0,COUNTBLANK(I15:I18)&gt;0)),AND(OR($BO$43&gt;=3,$BO$48&gt;=3),OR(COUNTBLANK(G23:G24)&gt;0,COUNTBLANK(I23:I24)&gt;0)),AND(OR($BO$43&gt;=4,$BO$48&gt;=4),OR(COUNTBLANK(G29)&gt;0,COUNTBLANK(I29)&gt;0))),"",SUM(J12,J20,J26,J31))</f>
        <v>57</v>
      </c>
      <c r="K34" s="140"/>
      <c r="L34" s="138" t="s">
        <v>2</v>
      </c>
      <c r="M34" s="139">
        <f>IF(N34="","",RANK(N47,$J47:$BB47,1))</f>
        <v>1</v>
      </c>
      <c r="N34" s="221">
        <f>IF(OR(K$2="",AND(OR($BO$43&gt;=1,$BO$48&gt;=1),OR(COUNTBLANK(K5:K10)&gt;0,COUNTBLANK(M5:M10)&gt;0)),AND(OR($BO$43&gt;=2,$BO$48&gt;=2),OR(COUNTBLANK(K15:K18)&gt;0,COUNTBLANK(M15:M18)&gt;0)),AND(OR($BO$43&gt;=3,$BO$48&gt;=3),OR(COUNTBLANK(K23:K24)&gt;0,COUNTBLANK(M23:M24)&gt;0)),AND(OR($BO$43&gt;=4,$BO$48&gt;=4),OR(COUNTBLANK(K29)&gt;0,COUNTBLANK(M29)&gt;0))),"",SUM(N12,N20,N26,N31))</f>
        <v>50</v>
      </c>
      <c r="O34" s="140"/>
      <c r="P34" s="138" t="s">
        <v>2</v>
      </c>
      <c r="Q34" s="139">
        <f>IF(R34="","",RANK(R47,$J47:$BB47,1))</f>
        <v>5</v>
      </c>
      <c r="R34" s="221">
        <f>IF(OR(O$2="",AND(OR($BO$43&gt;=1,$BO$48&gt;=1),OR(COUNTBLANK(O5:O10)&gt;0,COUNTBLANK(Q5:Q10)&gt;0)),AND(OR($BO$43&gt;=2,$BO$48&gt;=2),OR(COUNTBLANK(O15:O18)&gt;0,COUNTBLANK(Q15:Q18)&gt;0)),AND(OR($BO$43&gt;=3,$BO$48&gt;=3),OR(COUNTBLANK(O23:O24)&gt;0,COUNTBLANK(Q23:Q24)&gt;0)),AND(OR($BO$43&gt;=4,$BO$48&gt;=4),OR(COUNTBLANK(O29)&gt;0,COUNTBLANK(Q29)&gt;0))),"",SUM(R12,R20,R26,R31))</f>
        <v>60</v>
      </c>
      <c r="S34" s="140"/>
      <c r="T34" s="138" t="s">
        <v>2</v>
      </c>
      <c r="U34" s="139">
        <f>IF(V34="","",RANK(V47,$J47:$BB47,1))</f>
        <v>6</v>
      </c>
      <c r="V34" s="221">
        <f>IF(OR(S$2="",AND(OR($BO$43&gt;=1,$BO$48&gt;=1),OR(COUNTBLANK(S5:S10)&gt;0,COUNTBLANK(U5:U10)&gt;0)),AND(OR($BO$43&gt;=2,$BO$48&gt;=2),OR(COUNTBLANK(S15:S18)&gt;0,COUNTBLANK(U15:U18)&gt;0)),AND(OR($BO$43&gt;=3,$BO$48&gt;=3),OR(COUNTBLANK(S23:S24)&gt;0,COUNTBLANK(U23:U24)&gt;0)),AND(OR($BO$43&gt;=4,$BO$48&gt;=4),OR(COUNTBLANK(S29)&gt;0,COUNTBLANK(U29)&gt;0))),"",SUM(V12,V20,V26,V31))</f>
        <v>62</v>
      </c>
      <c r="W34" s="140"/>
      <c r="X34" s="138" t="s">
        <v>2</v>
      </c>
      <c r="Y34" s="139">
        <f>IF(Z34="","",RANK(Z47,$J47:$BB47,1))</f>
        <v>3</v>
      </c>
      <c r="Z34" s="221">
        <f>IF(OR(W$2="",AND(OR($BO$43&gt;=1,$BO$48&gt;=1),OR(COUNTBLANK(W5:W10)&gt;0,COUNTBLANK(Y5:Y10)&gt;0)),AND(OR($BO$43&gt;=2,$BO$48&gt;=2),OR(COUNTBLANK(W15:W18)&gt;0,COUNTBLANK(Y15:Y18)&gt;0)),AND(OR($BO$43&gt;=3,$BO$48&gt;=3),OR(COUNTBLANK(W23:W24)&gt;0,COUNTBLANK(Y23:Y24)&gt;0)),AND(OR($BO$43&gt;=4,$BO$48&gt;=4),OR(COUNTBLANK(W29)&gt;0,COUNTBLANK(Y29)&gt;0))),"",SUM(Z12,Z20,Z26,Z31))</f>
        <v>56</v>
      </c>
      <c r="AA34" s="140"/>
      <c r="AB34" s="138" t="s">
        <v>2</v>
      </c>
      <c r="AC34" s="139">
        <f>IF(AD34="","",RANK(AD47,$J47:$BB47,1))</f>
        <v>11</v>
      </c>
      <c r="AD34" s="221">
        <f>IF(OR(AA$2="",AND(OR($BO$43&gt;=1,$BO$48&gt;=1),OR(COUNTBLANK(AA5:AA10)&gt;0,COUNTBLANK(AC5:AC10)&gt;0)),AND(OR($BO$43&gt;=2,$BO$48&gt;=2),OR(COUNTBLANK(AA15:AA18)&gt;0,COUNTBLANK(AC15:AC18)&gt;0)),AND(OR($BO$43&gt;=3,$BO$48&gt;=3),OR(COUNTBLANK(AA23:AA24)&gt;0,COUNTBLANK(AC23:AC24)&gt;0)),AND(OR($BO$43&gt;=4,$BO$48&gt;=4),OR(COUNTBLANK(AA29)&gt;0,COUNTBLANK(AC29)&gt;0))),"",SUM(AD12,AD20,AD26,AD31))</f>
        <v>70</v>
      </c>
      <c r="AE34" s="140"/>
      <c r="AF34" s="138" t="s">
        <v>2</v>
      </c>
      <c r="AG34" s="139">
        <f>IF(AH34="","",RANK(AH47,$J47:$BB47,1))</f>
        <v>8</v>
      </c>
      <c r="AH34" s="221">
        <f>IF(OR(AE$2="",AND(OR($BO$43&gt;=1,$BO$48&gt;=1),OR(COUNTBLANK(AE5:AE10)&gt;0,COUNTBLANK(AG5:AG10)&gt;0)),AND(OR($BO$43&gt;=2,$BO$48&gt;=2),OR(COUNTBLANK(AE15:AE18)&gt;0,COUNTBLANK(AG15:AG18)&gt;0)),AND(OR($BO$43&gt;=3,$BO$48&gt;=3),OR(COUNTBLANK(AE23:AE24)&gt;0,COUNTBLANK(AG23:AG24)&gt;0)),AND(OR($BO$43&gt;=4,$BO$48&gt;=4),OR(COUNTBLANK(AE29)&gt;0,COUNTBLANK(AG29)&gt;0))),"",SUM(AH12,AH20,AH26,AH31))</f>
        <v>65</v>
      </c>
      <c r="AI34" s="140"/>
      <c r="AJ34" s="138" t="s">
        <v>2</v>
      </c>
      <c r="AK34" s="139">
        <f>IF(AL34="","",RANK(AL47,$J47:$BB47,1))</f>
        <v>6</v>
      </c>
      <c r="AL34" s="221">
        <f>IF(OR(AI$2="",AND(OR($BO$43&gt;=1,$BO$48&gt;=1),OR(COUNTBLANK(AI5:AI10)&gt;0,COUNTBLANK(AK5:AK10)&gt;0)),AND(OR($BO$43&gt;=2,$BO$48&gt;=2),OR(COUNTBLANK(AI15:AI18)&gt;0,COUNTBLANK(AK15:AK18)&gt;0)),AND(OR($BO$43&gt;=3,$BO$48&gt;=3),OR(COUNTBLANK(AI23:AI24)&gt;0,COUNTBLANK(AK23:AK24)&gt;0)),AND(OR($BO$43&gt;=4,$BO$48&gt;=4),OR(COUNTBLANK(AI29)&gt;0,COUNTBLANK(AK29)&gt;0))),"",SUM(AL12,AL20,AL26,AL31))</f>
        <v>62</v>
      </c>
      <c r="AM34" s="140"/>
      <c r="AN34" s="138" t="s">
        <v>2</v>
      </c>
      <c r="AO34" s="139">
        <f>IF(AP34="","",RANK(AP47,$J47:$BB47,1))</f>
        <v>2</v>
      </c>
      <c r="AP34" s="221">
        <f>IF(OR(AM$2="",AND(OR($BO$43&gt;=1,$BO$48&gt;=1),OR(COUNTBLANK(AM5:AM10)&gt;0,COUNTBLANK(AO5:AO10)&gt;0)),AND(OR($BO$43&gt;=2,$BO$48&gt;=2),OR(COUNTBLANK(AM15:AM18)&gt;0,COUNTBLANK(AO15:AO18)&gt;0)),AND(OR($BO$43&gt;=3,$BO$48&gt;=3),OR(COUNTBLANK(AM23:AM24)&gt;0,COUNTBLANK(AO23:AO24)&gt;0)),AND(OR($BO$43&gt;=4,$BO$48&gt;=4),OR(COUNTBLANK(AM29)&gt;0,COUNTBLANK(AO29)&gt;0))),"",SUM(AP12,AP20,AP26,AP31))</f>
        <v>54</v>
      </c>
      <c r="AQ34" s="140"/>
      <c r="AR34" s="138" t="s">
        <v>2</v>
      </c>
      <c r="AS34" s="139">
        <f>IF(AT34="","",RANK(AT47,$J47:$BB47,1))</f>
        <v>12</v>
      </c>
      <c r="AT34" s="221">
        <f>IF(OR(AQ$2="",AND(OR($BO$43&gt;=1,$BO$48&gt;=1),OR(COUNTBLANK(AQ5:AQ10)&gt;0,COUNTBLANK(AS5:AS10)&gt;0)),AND(OR($BO$43&gt;=2,$BO$48&gt;=2),OR(COUNTBLANK(AQ15:AQ18)&gt;0,COUNTBLANK(AS15:AS18)&gt;0)),AND(OR($BO$43&gt;=3,$BO$48&gt;=3),OR(COUNTBLANK(AQ23:AQ24)&gt;0,COUNTBLANK(AS23:AS24)&gt;0)),AND(OR($BO$43&gt;=4,$BO$48&gt;=4),OR(COUNTBLANK(AQ29)&gt;0,COUNTBLANK(AS29)&gt;0))),"",SUM(AT12,AT20,AT26,AT31))</f>
        <v>78</v>
      </c>
      <c r="AU34" s="140"/>
      <c r="AV34" s="138" t="s">
        <v>2</v>
      </c>
      <c r="AW34" s="139">
        <f>IF(AX34="","",RANK(AX47,$J47:$BB47,1))</f>
        <v>10</v>
      </c>
      <c r="AX34" s="221">
        <f>IF(OR(AU$2="",AND(OR($BO$43&gt;=1,$BO$48&gt;=1),OR(COUNTBLANK(AU5:AU10)&gt;0,COUNTBLANK(AW5:AW10)&gt;0)),AND(OR($BO$43&gt;=2,$BO$48&gt;=2),OR(COUNTBLANK(AU15:AU18)&gt;0,COUNTBLANK(AW15:AW18)&gt;0)),AND(OR($BO$43&gt;=3,$BO$48&gt;=3),OR(COUNTBLANK(AU23:AU24)&gt;0,COUNTBLANK(AW23:AW24)&gt;0)),AND(OR($BO$43&gt;=4,$BO$48&gt;=4),OR(COUNTBLANK(AU29)&gt;0,COUNTBLANK(AW29)&gt;0))),"",SUM(AX12,AX20,AX26,AX31))</f>
        <v>68</v>
      </c>
      <c r="AY34" s="140"/>
      <c r="AZ34" s="138" t="s">
        <v>2</v>
      </c>
      <c r="BA34" s="139">
        <f>IF(BB34="","",RANK(BB47,$J47:$BB47,1))</f>
        <v>8</v>
      </c>
      <c r="BB34" s="222">
        <f>IF(OR(AY$2="",AND(OR($BO$43&gt;=1,$BO$48&gt;=1),OR(COUNTBLANK(AY5:AY10)&gt;0,COUNTBLANK(BA5:BA10)&gt;0)),AND(OR($BO$43&gt;=2,$BO$48&gt;=2),OR(COUNTBLANK(AY15:AY18)&gt;0,COUNTBLANK(BA15:BA18)&gt;0)),AND(OR($BO$43&gt;=3,$BO$48&gt;=3),OR(COUNTBLANK(AY23:AY24)&gt;0,COUNTBLANK(BA23:BA24)&gt;0)),AND(OR($BO$43&gt;=4,$BO$48&gt;=4),OR(COUNTBLANK(AY29)&gt;0,COUNTBLANK(BA29)&gt;0))),"",SUM(BB12,BB20,BB26,BB31))</f>
        <v>65</v>
      </c>
      <c r="BC34" s="76"/>
      <c r="BD34" s="76"/>
      <c r="BE34" s="76"/>
      <c r="BF34" s="76"/>
      <c r="BG34" s="76"/>
      <c r="BH34" s="165"/>
      <c r="BI34" s="185"/>
      <c r="BJ34" s="141" t="s">
        <v>2</v>
      </c>
      <c r="BK34" s="142">
        <f>IF(BL34="","",RANK(BL47,$J47:$BL47,1))</f>
        <v>2</v>
      </c>
      <c r="BL34" s="223">
        <f>IF(OR(AND($BO$48&gt;=1,OR(COUNTBLANK(BI5:BI10)&gt;0,COUNTBLANK(BK5:BK10)&gt;0)),AND($BO$48&gt;=2,OR(COUNTBLANK(BI15:BI18)&gt;0,COUNTBLANK(BK15:BK18)&gt;0)),AND($BO$48&gt;=3,OR(COUNTBLANK(BI23:BI24)&gt;0,COUNTBLANK(BK23:BK24)&gt;0)),AND($BO$48&gt;=4,OR(COUNTBLANK(BI29)&gt;0,COUNTBLANK(BK29)&gt;0))),"",SUM(BL12,BL20,BL26,BL31))</f>
        <v>51</v>
      </c>
      <c r="BO34" s="4"/>
      <c r="BP34" s="8"/>
      <c r="CB34" s="4"/>
      <c r="CC34" s="4"/>
      <c r="CD34" s="4"/>
      <c r="CE34" s="4"/>
      <c r="CF34" s="4"/>
      <c r="CG34" s="4"/>
      <c r="CH34" s="4"/>
      <c r="CI34" s="4"/>
      <c r="CJ34" s="4"/>
      <c r="CK34" s="4"/>
      <c r="CL34" s="4"/>
      <c r="CM34" s="4"/>
      <c r="CN34" s="4"/>
      <c r="CO34" s="4"/>
      <c r="CP34" s="4"/>
      <c r="CQ34" s="4"/>
      <c r="CR34" s="4"/>
      <c r="CS34" s="4"/>
      <c r="CT34" s="4"/>
      <c r="DK34" s="4"/>
      <c r="DL34" s="211" t="str">
        <f>CONCATENATE($DM$5,$I$23,$DN$5)</f>
        <v xml:space="preserve">   "",</v>
      </c>
      <c r="DM34" s="11"/>
      <c r="DN34" s="11"/>
    </row>
    <row r="35" spans="1:118" s="6" customFormat="1" ht="20.100000000000001" customHeight="1" thickBot="1" x14ac:dyDescent="0.25">
      <c r="A35" s="22"/>
      <c r="B35" s="133"/>
      <c r="C35" s="123"/>
      <c r="D35" s="123"/>
      <c r="E35" s="124"/>
      <c r="F35" s="167" t="s">
        <v>120</v>
      </c>
      <c r="G35" s="127"/>
      <c r="H35" s="113" t="s">
        <v>60</v>
      </c>
      <c r="I35" s="114">
        <f>IF(J34="","",SUM(G48:G60))</f>
        <v>5</v>
      </c>
      <c r="J35" s="115">
        <f>IF(J34="","",IF(COUNTBLANK(G48:G60)=13,"",I35/(13-COUNTBLANK(G48:G60))))</f>
        <v>0.83333333333333337</v>
      </c>
      <c r="K35" s="112"/>
      <c r="L35" s="113" t="s">
        <v>60</v>
      </c>
      <c r="M35" s="114">
        <f>IF(N34="","",SUM(K48:K60))</f>
        <v>5</v>
      </c>
      <c r="N35" s="115">
        <f>IF(N34="","",IF(COUNTBLANK(K48:K60)=13,"",M35/(13-COUNTBLANK(K48:K60))))</f>
        <v>0.83333333333333337</v>
      </c>
      <c r="O35" s="112"/>
      <c r="P35" s="113" t="s">
        <v>60</v>
      </c>
      <c r="Q35" s="114">
        <f>IF(R34="","",SUM(O48:O60))</f>
        <v>4</v>
      </c>
      <c r="R35" s="115">
        <f>IF(R34="","",IF(COUNTBLANK(O48:O60)=13,"",Q35/(13-COUNTBLANK(O48:O60))))</f>
        <v>0.66666666666666663</v>
      </c>
      <c r="S35" s="112"/>
      <c r="T35" s="113" t="s">
        <v>60</v>
      </c>
      <c r="U35" s="114">
        <f>IF(V34="","",SUM(S48:S60))</f>
        <v>4</v>
      </c>
      <c r="V35" s="115">
        <f>IF(V34="","",IF(COUNTBLANK(S48:S60)=13,"",U35/(13-COUNTBLANK(S48:S60))))</f>
        <v>0.66666666666666663</v>
      </c>
      <c r="W35" s="112"/>
      <c r="X35" s="113" t="s">
        <v>60</v>
      </c>
      <c r="Y35" s="114">
        <f>IF(Z34="","",SUM(W48:W60))</f>
        <v>5</v>
      </c>
      <c r="Z35" s="115">
        <f>IF(Z34="","",IF(COUNTBLANK(W48:W60)=13,"",Y35/(13-COUNTBLANK(W48:W60))))</f>
        <v>0.83333333333333337</v>
      </c>
      <c r="AA35" s="112"/>
      <c r="AB35" s="113" t="s">
        <v>60</v>
      </c>
      <c r="AC35" s="114">
        <f>IF(AD34="","",SUM(AA48:AA60))</f>
        <v>3</v>
      </c>
      <c r="AD35" s="115">
        <f>IF(AD34="","",IF(COUNTBLANK(AA48:AA60)=13,"",AC35/(13-COUNTBLANK(AA48:AA60))))</f>
        <v>0.5</v>
      </c>
      <c r="AE35" s="112"/>
      <c r="AF35" s="113" t="s">
        <v>60</v>
      </c>
      <c r="AG35" s="114">
        <f>IF(AH34="","",SUM(AE48:AE60))</f>
        <v>4</v>
      </c>
      <c r="AH35" s="115">
        <f>IF(AH34="","",IF(COUNTBLANK(AE48:AE60)=13,"",AG35/(13-COUNTBLANK(AE48:AE60))))</f>
        <v>0.66666666666666663</v>
      </c>
      <c r="AI35" s="112"/>
      <c r="AJ35" s="113" t="s">
        <v>60</v>
      </c>
      <c r="AK35" s="114">
        <f>IF(AL34="","",SUM(AI48:AI60))</f>
        <v>4</v>
      </c>
      <c r="AL35" s="115">
        <f>IF(AL34="","",IF(COUNTBLANK(AI48:AI60)=13,"",AK35/(13-COUNTBLANK(AI48:AI60))))</f>
        <v>0.66666666666666663</v>
      </c>
      <c r="AM35" s="112"/>
      <c r="AN35" s="113" t="s">
        <v>60</v>
      </c>
      <c r="AO35" s="114">
        <f>IF(AP34="","",SUM(AM48:AM60))</f>
        <v>4</v>
      </c>
      <c r="AP35" s="115">
        <f>IF(AP34="","",IF(COUNTBLANK(AM48:AM60)=13,"",AO35/(13-COUNTBLANK(AM48:AM60))))</f>
        <v>0.66666666666666663</v>
      </c>
      <c r="AQ35" s="112"/>
      <c r="AR35" s="113" t="s">
        <v>60</v>
      </c>
      <c r="AS35" s="114">
        <f>IF(AT34="","",SUM(AQ48:AQ60))</f>
        <v>4</v>
      </c>
      <c r="AT35" s="115">
        <f>IF(AT34="","",IF(COUNTBLANK(AQ48:AQ60)=13,"",AS35/(13-COUNTBLANK(AQ48:AQ60))))</f>
        <v>0.66666666666666663</v>
      </c>
      <c r="AU35" s="112"/>
      <c r="AV35" s="113" t="s">
        <v>60</v>
      </c>
      <c r="AW35" s="114">
        <f>IF(AX34="","",SUM(AU48:AU60))</f>
        <v>3</v>
      </c>
      <c r="AX35" s="115">
        <f>IF(AX34="","",IF(COUNTBLANK(AU48:AU60)=13,"",AW35/(13-COUNTBLANK(AU48:AU60))))</f>
        <v>0.5</v>
      </c>
      <c r="AY35" s="112"/>
      <c r="AZ35" s="113" t="s">
        <v>60</v>
      </c>
      <c r="BA35" s="114">
        <f>IF(BB34="","",SUM(AY48:AY60))</f>
        <v>5</v>
      </c>
      <c r="BB35" s="116">
        <f>IF(BB34="","",IF(COUNTBLANK(AY48:AY60)=13,"",BA35/(13-COUNTBLANK(AY48:AY60))))</f>
        <v>0.83333333333333337</v>
      </c>
      <c r="BC35" s="64"/>
      <c r="BD35" s="64"/>
      <c r="BE35" s="64"/>
      <c r="BF35" s="64"/>
      <c r="BG35" s="64"/>
      <c r="BH35" s="164"/>
      <c r="BI35" s="186"/>
      <c r="BJ35" s="113" t="s">
        <v>60</v>
      </c>
      <c r="BK35" s="114">
        <f>IF(BL34="","",SUM(BI48:BI60))</f>
        <v>5</v>
      </c>
      <c r="BL35" s="116">
        <f>IF(BL34="","",IF(COUNTBLANK(BI48:BI60)=13,"",BK35/(13-COUNTBLANK(BI48:BI60))))</f>
        <v>0.83333333333333337</v>
      </c>
      <c r="BO35" s="14">
        <f>COUNTIF(J46:BB46,1)</f>
        <v>1</v>
      </c>
      <c r="BP35" s="14">
        <f>COUNTIF(J46:BB46,2)</f>
        <v>1</v>
      </c>
      <c r="BQ35" s="15" t="s">
        <v>22</v>
      </c>
      <c r="BR35" s="19"/>
      <c r="CB35" s="4"/>
      <c r="CC35" s="4"/>
      <c r="CD35" s="4"/>
      <c r="CE35" s="4"/>
      <c r="CF35" s="4"/>
      <c r="CG35" s="4"/>
      <c r="CH35" s="4"/>
      <c r="CI35" s="4"/>
      <c r="CJ35" s="4"/>
      <c r="CK35" s="4"/>
      <c r="CL35" s="4"/>
      <c r="CM35" s="4"/>
      <c r="CN35" s="4"/>
      <c r="CO35" s="4"/>
      <c r="CP35" s="4"/>
      <c r="CQ35" s="4"/>
      <c r="CR35" s="4"/>
      <c r="CS35" s="4"/>
      <c r="CT35" s="4"/>
      <c r="DK35" s="4"/>
      <c r="DL35" s="211" t="str">
        <f>CONCATENATE($DM$5,$I$24,$DN$5)</f>
        <v xml:space="preserve">   "",</v>
      </c>
      <c r="DM35" s="11"/>
      <c r="DN35" s="11"/>
    </row>
    <row r="36" spans="1:118" s="6" customFormat="1" ht="15" customHeight="1" thickTop="1" x14ac:dyDescent="0.2">
      <c r="A36" s="22"/>
      <c r="BH36" s="7"/>
      <c r="BO36" s="4"/>
      <c r="BP36" s="8"/>
      <c r="CB36" s="4"/>
      <c r="CC36" s="4"/>
      <c r="CD36" s="4"/>
      <c r="CE36" s="4"/>
      <c r="CF36" s="4"/>
      <c r="CG36" s="4"/>
      <c r="CH36" s="4"/>
      <c r="CI36" s="4"/>
      <c r="CJ36" s="4"/>
      <c r="CK36" s="4"/>
      <c r="CL36" s="4"/>
      <c r="CM36" s="4"/>
      <c r="CN36" s="4"/>
      <c r="CO36" s="4"/>
      <c r="CP36" s="4"/>
      <c r="CQ36" s="4"/>
      <c r="CR36" s="4"/>
      <c r="CS36" s="4"/>
      <c r="CT36" s="4"/>
      <c r="DK36" s="4"/>
      <c r="DL36" s="211" t="str">
        <f>CONCATENATE($DM$5,$I$29,$DN$6)</f>
        <v xml:space="preserve">   ""</v>
      </c>
      <c r="DM36" s="11"/>
      <c r="DN36" s="11"/>
    </row>
    <row r="37" spans="1:118" s="6" customFormat="1" ht="15" customHeight="1" thickBot="1" x14ac:dyDescent="0.25">
      <c r="A37" s="22"/>
      <c r="BH37" s="7"/>
      <c r="BO37" s="4"/>
      <c r="BP37" s="8"/>
      <c r="CB37" s="4"/>
      <c r="CC37" s="4"/>
      <c r="CD37" s="4"/>
      <c r="CE37" s="4"/>
      <c r="CF37" s="4"/>
      <c r="CG37" s="4"/>
      <c r="CH37" s="4"/>
      <c r="CI37" s="4"/>
      <c r="CJ37" s="4"/>
      <c r="CK37" s="4"/>
      <c r="CL37" s="4"/>
      <c r="CM37" s="4"/>
      <c r="CN37" s="4"/>
      <c r="CO37" s="4"/>
      <c r="CP37" s="4"/>
      <c r="CQ37" s="4"/>
      <c r="CR37" s="4"/>
      <c r="CS37" s="4"/>
      <c r="CT37" s="4"/>
      <c r="DK37" s="4"/>
      <c r="DL37" s="211" t="s">
        <v>28</v>
      </c>
      <c r="DM37" s="11"/>
      <c r="DN37" s="11"/>
    </row>
    <row r="38" spans="1:118" s="6" customFormat="1" ht="15" hidden="1" customHeight="1" x14ac:dyDescent="0.2">
      <c r="A38" s="22"/>
      <c r="B38" s="24" t="s">
        <v>8</v>
      </c>
      <c r="C38" s="25" t="s">
        <v>9</v>
      </c>
      <c r="D38" s="22"/>
      <c r="E38" s="22"/>
      <c r="F38" s="26" t="s">
        <v>74</v>
      </c>
      <c r="I38" s="24"/>
      <c r="J38" s="24">
        <f>I12</f>
        <v>4</v>
      </c>
      <c r="K38" s="24"/>
      <c r="L38" s="24"/>
      <c r="M38" s="24"/>
      <c r="N38" s="24">
        <f>M12</f>
        <v>1</v>
      </c>
      <c r="O38" s="24"/>
      <c r="P38" s="24"/>
      <c r="Q38" s="24"/>
      <c r="R38" s="24">
        <f>Q12</f>
        <v>5</v>
      </c>
      <c r="S38" s="24"/>
      <c r="T38" s="24"/>
      <c r="U38" s="24"/>
      <c r="V38" s="24">
        <f>U12</f>
        <v>6</v>
      </c>
      <c r="W38" s="24"/>
      <c r="X38" s="24"/>
      <c r="Y38" s="24"/>
      <c r="Z38" s="24">
        <f>Y12</f>
        <v>3</v>
      </c>
      <c r="AA38" s="24"/>
      <c r="AB38" s="24"/>
      <c r="AC38" s="24"/>
      <c r="AD38" s="24">
        <f>AC12</f>
        <v>11</v>
      </c>
      <c r="AE38" s="24"/>
      <c r="AF38" s="24"/>
      <c r="AG38" s="24"/>
      <c r="AH38" s="24">
        <f>AG12</f>
        <v>8</v>
      </c>
      <c r="AI38" s="24"/>
      <c r="AJ38" s="24"/>
      <c r="AK38" s="24"/>
      <c r="AL38" s="24">
        <f>AK12</f>
        <v>6</v>
      </c>
      <c r="AM38" s="24"/>
      <c r="AN38" s="24"/>
      <c r="AO38" s="24"/>
      <c r="AP38" s="24">
        <f>AO12</f>
        <v>2</v>
      </c>
      <c r="AQ38" s="24"/>
      <c r="AR38" s="24"/>
      <c r="AS38" s="24"/>
      <c r="AT38" s="24">
        <f>AS12</f>
        <v>12</v>
      </c>
      <c r="AU38" s="24"/>
      <c r="AV38" s="24"/>
      <c r="AW38" s="24"/>
      <c r="AX38" s="24">
        <f>AW12</f>
        <v>10</v>
      </c>
      <c r="AY38" s="24"/>
      <c r="AZ38" s="24"/>
      <c r="BA38" s="24"/>
      <c r="BB38" s="24">
        <f>BA12</f>
        <v>8</v>
      </c>
      <c r="BH38" s="7"/>
      <c r="BI38" s="24"/>
      <c r="BJ38" s="24"/>
      <c r="BK38" s="24"/>
      <c r="BL38" s="24">
        <f>BK12</f>
        <v>2</v>
      </c>
      <c r="BO38" s="4"/>
      <c r="BP38" s="8"/>
      <c r="CB38" s="4"/>
      <c r="CC38" s="4"/>
      <c r="CD38" s="4"/>
      <c r="CE38" s="4"/>
      <c r="CF38" s="4"/>
      <c r="CG38" s="4"/>
      <c r="CH38" s="4"/>
      <c r="CI38" s="4"/>
      <c r="CJ38" s="4"/>
      <c r="CK38" s="4"/>
      <c r="CL38" s="4"/>
      <c r="CM38" s="4"/>
      <c r="CN38" s="4"/>
      <c r="CO38" s="4"/>
      <c r="CP38" s="4"/>
      <c r="CQ38" s="4"/>
      <c r="CR38" s="4"/>
      <c r="CS38" s="4"/>
      <c r="CT38" s="4"/>
      <c r="DK38" s="4"/>
      <c r="DL38" s="212"/>
      <c r="DM38" s="11"/>
      <c r="DN38" s="11"/>
    </row>
    <row r="39" spans="1:118" s="6" customFormat="1" ht="15" hidden="1" customHeight="1" x14ac:dyDescent="0.2">
      <c r="A39" s="22"/>
      <c r="B39" s="22"/>
      <c r="C39" s="22"/>
      <c r="D39" s="22"/>
      <c r="E39" s="22"/>
      <c r="F39" s="26" t="s">
        <v>75</v>
      </c>
      <c r="G39" s="24"/>
      <c r="H39" s="24"/>
      <c r="I39" s="24"/>
      <c r="J39" s="24">
        <f>J12</f>
        <v>57</v>
      </c>
      <c r="K39" s="24"/>
      <c r="L39" s="24"/>
      <c r="M39" s="24"/>
      <c r="N39" s="24">
        <f>N12</f>
        <v>50</v>
      </c>
      <c r="O39" s="24"/>
      <c r="P39" s="24"/>
      <c r="Q39" s="24"/>
      <c r="R39" s="24">
        <f>R12</f>
        <v>60</v>
      </c>
      <c r="S39" s="24"/>
      <c r="T39" s="24"/>
      <c r="U39" s="24"/>
      <c r="V39" s="24">
        <f>V12</f>
        <v>62</v>
      </c>
      <c r="W39" s="24"/>
      <c r="X39" s="24"/>
      <c r="Y39" s="24"/>
      <c r="Z39" s="24">
        <f>Z12</f>
        <v>56</v>
      </c>
      <c r="AA39" s="24"/>
      <c r="AB39" s="24"/>
      <c r="AC39" s="24"/>
      <c r="AD39" s="24">
        <f>AD12</f>
        <v>70</v>
      </c>
      <c r="AE39" s="24"/>
      <c r="AF39" s="24"/>
      <c r="AG39" s="24"/>
      <c r="AH39" s="24">
        <f>AH12</f>
        <v>65</v>
      </c>
      <c r="AI39" s="24"/>
      <c r="AJ39" s="24"/>
      <c r="AK39" s="24"/>
      <c r="AL39" s="24">
        <f>AL12</f>
        <v>62</v>
      </c>
      <c r="AM39" s="24"/>
      <c r="AN39" s="24"/>
      <c r="AO39" s="24"/>
      <c r="AP39" s="24">
        <f>AP12</f>
        <v>54</v>
      </c>
      <c r="AQ39" s="24"/>
      <c r="AR39" s="24"/>
      <c r="AS39" s="24"/>
      <c r="AT39" s="24">
        <f>AT12</f>
        <v>78</v>
      </c>
      <c r="AU39" s="24"/>
      <c r="AV39" s="24"/>
      <c r="AW39" s="24"/>
      <c r="AX39" s="24">
        <f>AX12</f>
        <v>68</v>
      </c>
      <c r="AY39" s="24"/>
      <c r="AZ39" s="24"/>
      <c r="BA39" s="24"/>
      <c r="BB39" s="24">
        <f>BB12</f>
        <v>65</v>
      </c>
      <c r="BH39" s="7"/>
      <c r="BI39" s="24"/>
      <c r="BJ39" s="24"/>
      <c r="BK39" s="24"/>
      <c r="BL39" s="28">
        <f>BL12</f>
        <v>51</v>
      </c>
      <c r="BN39" s="27"/>
      <c r="BO39" s="4">
        <f>IF(COUNTBLANK($C$5:$C$10)=0,1,0)</f>
        <v>1</v>
      </c>
      <c r="BP39" s="8" t="str">
        <f>IF(AND($BO$43=0,$BO$48=0),"",IF($BO$43&gt;$BO$48,CONCATENATE("Week ",$BO$43," Preliminary"),CONCATENATE("Week ",$BO$48," Final")))</f>
        <v>Week 1 Final</v>
      </c>
      <c r="CB39" s="4"/>
      <c r="CC39" s="4"/>
      <c r="CD39" s="4"/>
      <c r="CE39" s="4"/>
      <c r="CF39" s="4"/>
      <c r="CG39" s="4"/>
      <c r="CH39" s="4"/>
      <c r="CI39" s="4"/>
      <c r="CJ39" s="4"/>
      <c r="CK39" s="4"/>
      <c r="CL39" s="4"/>
      <c r="CM39" s="4"/>
      <c r="CN39" s="4"/>
      <c r="CO39" s="4"/>
      <c r="CP39" s="4"/>
      <c r="CQ39" s="4"/>
      <c r="CR39" s="4"/>
      <c r="CS39" s="4"/>
      <c r="CT39" s="4"/>
      <c r="DK39" s="4"/>
      <c r="DL39" s="211" t="s">
        <v>62</v>
      </c>
      <c r="DM39" s="11"/>
      <c r="DN39" s="11"/>
    </row>
    <row r="40" spans="1:118" s="6" customFormat="1" ht="15" hidden="1" customHeight="1" x14ac:dyDescent="0.2">
      <c r="A40" s="22"/>
      <c r="B40" s="22"/>
      <c r="C40" s="22"/>
      <c r="D40" s="22"/>
      <c r="E40" s="22"/>
      <c r="F40" s="26" t="s">
        <v>76</v>
      </c>
      <c r="G40" s="24"/>
      <c r="H40" s="24"/>
      <c r="I40" s="24"/>
      <c r="J40" s="24" t="str">
        <f>I20</f>
        <v/>
      </c>
      <c r="K40" s="24"/>
      <c r="L40" s="24"/>
      <c r="M40" s="24"/>
      <c r="N40" s="24" t="str">
        <f>M20</f>
        <v/>
      </c>
      <c r="O40" s="24"/>
      <c r="P40" s="24"/>
      <c r="Q40" s="24"/>
      <c r="R40" s="24" t="str">
        <f>Q20</f>
        <v/>
      </c>
      <c r="S40" s="24"/>
      <c r="T40" s="24"/>
      <c r="U40" s="24"/>
      <c r="V40" s="24" t="str">
        <f>U20</f>
        <v/>
      </c>
      <c r="W40" s="24"/>
      <c r="X40" s="24"/>
      <c r="Y40" s="24"/>
      <c r="Z40" s="24" t="str">
        <f>Y20</f>
        <v/>
      </c>
      <c r="AA40" s="24"/>
      <c r="AB40" s="24"/>
      <c r="AC40" s="24"/>
      <c r="AD40" s="24" t="str">
        <f>AC20</f>
        <v/>
      </c>
      <c r="AE40" s="24"/>
      <c r="AF40" s="24"/>
      <c r="AG40" s="24"/>
      <c r="AH40" s="24" t="str">
        <f>AG20</f>
        <v/>
      </c>
      <c r="AI40" s="24"/>
      <c r="AJ40" s="24"/>
      <c r="AK40" s="24"/>
      <c r="AL40" s="24" t="str">
        <f>AK20</f>
        <v/>
      </c>
      <c r="AM40" s="24"/>
      <c r="AN40" s="24"/>
      <c r="AO40" s="24"/>
      <c r="AP40" s="24" t="str">
        <f>AO20</f>
        <v/>
      </c>
      <c r="AQ40" s="24"/>
      <c r="AR40" s="24"/>
      <c r="AS40" s="24"/>
      <c r="AT40" s="24" t="str">
        <f>AS20</f>
        <v/>
      </c>
      <c r="AU40" s="24"/>
      <c r="AV40" s="24"/>
      <c r="AW40" s="24"/>
      <c r="AX40" s="24" t="str">
        <f>AW20</f>
        <v/>
      </c>
      <c r="AY40" s="24"/>
      <c r="AZ40" s="24"/>
      <c r="BA40" s="24"/>
      <c r="BB40" s="24" t="str">
        <f>BA20</f>
        <v/>
      </c>
      <c r="BH40" s="7"/>
      <c r="BI40" s="24"/>
      <c r="BJ40" s="24"/>
      <c r="BK40" s="24"/>
      <c r="BL40" s="24" t="str">
        <f>BK20</f>
        <v/>
      </c>
      <c r="BN40" s="27"/>
      <c r="BO40" s="4">
        <f>IF(COUNTBLANK($C$15:$C$18)=0,1,0)</f>
        <v>0</v>
      </c>
      <c r="BP40" s="8"/>
      <c r="CB40" s="4"/>
      <c r="CC40" s="4"/>
      <c r="CD40" s="4"/>
      <c r="CE40" s="4"/>
      <c r="CF40" s="4"/>
      <c r="CG40" s="4"/>
      <c r="CH40" s="4"/>
      <c r="CI40" s="4"/>
      <c r="CJ40" s="4"/>
      <c r="CK40" s="4"/>
      <c r="CL40" s="4"/>
      <c r="CM40" s="4"/>
      <c r="CN40" s="4"/>
      <c r="CO40" s="4"/>
      <c r="CP40" s="4"/>
      <c r="CQ40" s="4"/>
      <c r="CR40" s="4"/>
      <c r="CS40" s="4"/>
      <c r="CT40" s="4"/>
      <c r="DK40" s="4"/>
      <c r="DL40" s="211" t="str">
        <f>CONCATENATE($DM$5,$DN$5)</f>
        <v xml:space="preserve">   "",</v>
      </c>
      <c r="DM40" s="11"/>
      <c r="DN40" s="11"/>
    </row>
    <row r="41" spans="1:118" s="6" customFormat="1" ht="15" hidden="1" customHeight="1" x14ac:dyDescent="0.2">
      <c r="A41" s="22"/>
      <c r="B41" s="22"/>
      <c r="C41" s="22"/>
      <c r="D41" s="22"/>
      <c r="E41" s="22"/>
      <c r="F41" s="26" t="s">
        <v>77</v>
      </c>
      <c r="G41" s="24"/>
      <c r="H41" s="24"/>
      <c r="I41" s="24"/>
      <c r="J41" s="24" t="str">
        <f>J20</f>
        <v/>
      </c>
      <c r="K41" s="24"/>
      <c r="L41" s="24"/>
      <c r="M41" s="24"/>
      <c r="N41" s="24" t="str">
        <f>N20</f>
        <v/>
      </c>
      <c r="O41" s="24"/>
      <c r="P41" s="24"/>
      <c r="Q41" s="24"/>
      <c r="R41" s="24" t="str">
        <f>R20</f>
        <v/>
      </c>
      <c r="S41" s="24"/>
      <c r="T41" s="24"/>
      <c r="U41" s="24"/>
      <c r="V41" s="24" t="str">
        <f>V20</f>
        <v/>
      </c>
      <c r="W41" s="24"/>
      <c r="X41" s="24"/>
      <c r="Y41" s="24"/>
      <c r="Z41" s="24" t="str">
        <f>Z20</f>
        <v/>
      </c>
      <c r="AA41" s="24"/>
      <c r="AB41" s="24"/>
      <c r="AC41" s="24"/>
      <c r="AD41" s="24" t="str">
        <f>AD20</f>
        <v/>
      </c>
      <c r="AE41" s="24"/>
      <c r="AF41" s="24"/>
      <c r="AG41" s="24"/>
      <c r="AH41" s="24" t="str">
        <f>AH20</f>
        <v/>
      </c>
      <c r="AI41" s="24"/>
      <c r="AJ41" s="24"/>
      <c r="AK41" s="24"/>
      <c r="AL41" s="24" t="str">
        <f>AL20</f>
        <v/>
      </c>
      <c r="AM41" s="24"/>
      <c r="AN41" s="24"/>
      <c r="AO41" s="24"/>
      <c r="AP41" s="24" t="str">
        <f>AP20</f>
        <v/>
      </c>
      <c r="AQ41" s="24"/>
      <c r="AR41" s="24"/>
      <c r="AS41" s="24"/>
      <c r="AT41" s="24" t="str">
        <f>AT20</f>
        <v/>
      </c>
      <c r="AU41" s="24"/>
      <c r="AV41" s="24"/>
      <c r="AW41" s="24"/>
      <c r="AX41" s="24" t="str">
        <f>AX20</f>
        <v/>
      </c>
      <c r="AY41" s="24"/>
      <c r="AZ41" s="24"/>
      <c r="BA41" s="24"/>
      <c r="BB41" s="24" t="str">
        <f>BB20</f>
        <v/>
      </c>
      <c r="BH41" s="7"/>
      <c r="BI41" s="24"/>
      <c r="BJ41" s="24"/>
      <c r="BK41" s="24"/>
      <c r="BL41" s="24" t="str">
        <f>BL20</f>
        <v/>
      </c>
      <c r="BN41" s="27"/>
      <c r="BO41" s="4">
        <f>IF(COUNTBLANK($C$23:$C$24)=0,1,0)</f>
        <v>0</v>
      </c>
      <c r="BP41" s="8"/>
      <c r="CB41" s="4"/>
      <c r="CC41" s="4"/>
      <c r="CD41" s="4"/>
      <c r="CE41" s="4"/>
      <c r="CF41" s="4"/>
      <c r="CG41" s="4"/>
      <c r="CH41" s="4"/>
      <c r="CI41" s="4"/>
      <c r="CJ41" s="4"/>
      <c r="CK41" s="4"/>
      <c r="CL41" s="4"/>
      <c r="CM41" s="4"/>
      <c r="CN41" s="4"/>
      <c r="CO41" s="4"/>
      <c r="CP41" s="4"/>
      <c r="CQ41" s="4"/>
      <c r="CR41" s="4"/>
      <c r="CS41" s="4"/>
      <c r="CT41" s="4"/>
      <c r="DK41" s="4"/>
      <c r="DL41" s="211" t="str">
        <f>CONCATENATE($DM$5,$DN$5)</f>
        <v xml:space="preserve">   "",</v>
      </c>
      <c r="DM41" s="11"/>
      <c r="DN41" s="11"/>
    </row>
    <row r="42" spans="1:118" s="6" customFormat="1" ht="15" hidden="1" customHeight="1" x14ac:dyDescent="0.2">
      <c r="A42" s="22"/>
      <c r="B42" s="22"/>
      <c r="C42" s="22"/>
      <c r="D42" s="22"/>
      <c r="E42" s="22"/>
      <c r="F42" s="26" t="s">
        <v>78</v>
      </c>
      <c r="G42" s="24"/>
      <c r="H42" s="24"/>
      <c r="I42" s="24"/>
      <c r="J42" s="24" t="str">
        <f>I26</f>
        <v/>
      </c>
      <c r="K42" s="24"/>
      <c r="L42" s="24"/>
      <c r="M42" s="24"/>
      <c r="N42" s="24" t="str">
        <f>M26</f>
        <v/>
      </c>
      <c r="O42" s="24"/>
      <c r="P42" s="24"/>
      <c r="Q42" s="24"/>
      <c r="R42" s="24" t="str">
        <f>Q26</f>
        <v/>
      </c>
      <c r="S42" s="24"/>
      <c r="T42" s="24"/>
      <c r="U42" s="24"/>
      <c r="V42" s="24" t="str">
        <f>U26</f>
        <v/>
      </c>
      <c r="W42" s="24"/>
      <c r="X42" s="24"/>
      <c r="Y42" s="24"/>
      <c r="Z42" s="24" t="str">
        <f>Y26</f>
        <v/>
      </c>
      <c r="AA42" s="24"/>
      <c r="AB42" s="24"/>
      <c r="AC42" s="24"/>
      <c r="AD42" s="24" t="str">
        <f>AC26</f>
        <v/>
      </c>
      <c r="AE42" s="24"/>
      <c r="AF42" s="24"/>
      <c r="AG42" s="24"/>
      <c r="AH42" s="24" t="str">
        <f>AG26</f>
        <v/>
      </c>
      <c r="AI42" s="24"/>
      <c r="AJ42" s="24"/>
      <c r="AK42" s="24"/>
      <c r="AL42" s="24" t="str">
        <f>AK26</f>
        <v/>
      </c>
      <c r="AM42" s="24"/>
      <c r="AN42" s="24"/>
      <c r="AO42" s="24"/>
      <c r="AP42" s="24" t="str">
        <f>AO26</f>
        <v/>
      </c>
      <c r="AQ42" s="24"/>
      <c r="AR42" s="24"/>
      <c r="AS42" s="24"/>
      <c r="AT42" s="24" t="str">
        <f>AS26</f>
        <v/>
      </c>
      <c r="AU42" s="24"/>
      <c r="AV42" s="24"/>
      <c r="AW42" s="24"/>
      <c r="AX42" s="24" t="str">
        <f>AW26</f>
        <v/>
      </c>
      <c r="AY42" s="24"/>
      <c r="AZ42" s="24"/>
      <c r="BA42" s="24"/>
      <c r="BB42" s="24" t="str">
        <f>BA26</f>
        <v/>
      </c>
      <c r="BH42" s="7"/>
      <c r="BI42" s="24"/>
      <c r="BJ42" s="24"/>
      <c r="BK42" s="24"/>
      <c r="BL42" s="24" t="str">
        <f>BK26</f>
        <v/>
      </c>
      <c r="BN42" s="27"/>
      <c r="BO42" s="4">
        <f>IF(COUNTBLANK($C$29)=0,1,0)</f>
        <v>0</v>
      </c>
      <c r="BP42" s="8"/>
      <c r="CB42" s="4"/>
      <c r="CC42" s="4"/>
      <c r="CD42" s="4"/>
      <c r="CE42" s="4"/>
      <c r="CF42" s="4"/>
      <c r="CG42" s="4"/>
      <c r="CH42" s="4"/>
      <c r="CI42" s="4"/>
      <c r="CJ42" s="4"/>
      <c r="CK42" s="4"/>
      <c r="CL42" s="4"/>
      <c r="CM42" s="4"/>
      <c r="CN42" s="4"/>
      <c r="CO42" s="4"/>
      <c r="CP42" s="4"/>
      <c r="CQ42" s="4"/>
      <c r="CR42" s="4"/>
      <c r="CS42" s="4"/>
      <c r="CT42" s="4"/>
      <c r="DK42" s="4"/>
      <c r="DL42" s="211" t="str">
        <f>CONCATENATE($DM$5,$DN$5)</f>
        <v xml:space="preserve">   "",</v>
      </c>
      <c r="DM42" s="11"/>
      <c r="DN42" s="11"/>
    </row>
    <row r="43" spans="1:118" s="6" customFormat="1" ht="15" hidden="1" customHeight="1" x14ac:dyDescent="0.2">
      <c r="A43" s="22"/>
      <c r="B43" s="22"/>
      <c r="C43" s="22"/>
      <c r="D43" s="22"/>
      <c r="E43" s="22"/>
      <c r="F43" s="26" t="s">
        <v>79</v>
      </c>
      <c r="G43" s="24"/>
      <c r="H43" s="24"/>
      <c r="I43" s="24"/>
      <c r="J43" s="24" t="str">
        <f>J26</f>
        <v/>
      </c>
      <c r="K43" s="24"/>
      <c r="L43" s="24"/>
      <c r="M43" s="24"/>
      <c r="N43" s="24" t="str">
        <f>N26</f>
        <v/>
      </c>
      <c r="O43" s="24"/>
      <c r="P43" s="24"/>
      <c r="Q43" s="24"/>
      <c r="R43" s="24" t="str">
        <f>R26</f>
        <v/>
      </c>
      <c r="S43" s="24"/>
      <c r="T43" s="24"/>
      <c r="U43" s="24"/>
      <c r="V43" s="24" t="str">
        <f>V26</f>
        <v/>
      </c>
      <c r="W43" s="24"/>
      <c r="X43" s="24"/>
      <c r="Y43" s="24"/>
      <c r="Z43" s="24" t="str">
        <f>Z26</f>
        <v/>
      </c>
      <c r="AA43" s="24"/>
      <c r="AB43" s="24"/>
      <c r="AC43" s="24"/>
      <c r="AD43" s="24" t="str">
        <f>AD26</f>
        <v/>
      </c>
      <c r="AE43" s="24"/>
      <c r="AF43" s="24"/>
      <c r="AG43" s="24"/>
      <c r="AH43" s="24" t="str">
        <f>AH26</f>
        <v/>
      </c>
      <c r="AI43" s="24"/>
      <c r="AJ43" s="24"/>
      <c r="AK43" s="24"/>
      <c r="AL43" s="24" t="str">
        <f>AL26</f>
        <v/>
      </c>
      <c r="AM43" s="24"/>
      <c r="AN43" s="24"/>
      <c r="AO43" s="24"/>
      <c r="AP43" s="24" t="str">
        <f>AP26</f>
        <v/>
      </c>
      <c r="AQ43" s="24"/>
      <c r="AR43" s="24"/>
      <c r="AS43" s="24"/>
      <c r="AT43" s="24" t="str">
        <f>AT26</f>
        <v/>
      </c>
      <c r="AU43" s="24"/>
      <c r="AV43" s="24"/>
      <c r="AW43" s="24"/>
      <c r="AX43" s="24" t="str">
        <f>AX26</f>
        <v/>
      </c>
      <c r="AY43" s="24"/>
      <c r="AZ43" s="24"/>
      <c r="BA43" s="24"/>
      <c r="BB43" s="24" t="str">
        <f>BB26</f>
        <v/>
      </c>
      <c r="BH43" s="7"/>
      <c r="BI43" s="24"/>
      <c r="BJ43" s="24"/>
      <c r="BK43" s="24"/>
      <c r="BL43" s="24" t="str">
        <f>BL26</f>
        <v/>
      </c>
      <c r="BN43" s="27" t="s">
        <v>56</v>
      </c>
      <c r="BO43" s="4">
        <f>SUM(BO39:BO42)</f>
        <v>1</v>
      </c>
      <c r="BP43" s="8" t="s">
        <v>57</v>
      </c>
      <c r="CB43" s="4"/>
      <c r="CC43" s="4"/>
      <c r="CD43" s="4"/>
      <c r="CE43" s="4"/>
      <c r="CF43" s="4"/>
      <c r="CG43" s="4"/>
      <c r="CH43" s="4"/>
      <c r="CI43" s="4"/>
      <c r="CJ43" s="4"/>
      <c r="CK43" s="4"/>
      <c r="CL43" s="4"/>
      <c r="CM43" s="4"/>
      <c r="CN43" s="4"/>
      <c r="CO43" s="4"/>
      <c r="CP43" s="4"/>
      <c r="CQ43" s="4"/>
      <c r="CR43" s="4"/>
      <c r="CS43" s="4"/>
      <c r="CT43" s="4"/>
      <c r="DK43" s="4"/>
      <c r="DL43" s="211" t="str">
        <f>CONCATENATE($DM$5,$DN$5)</f>
        <v xml:space="preserve">   "",</v>
      </c>
      <c r="DM43" s="11"/>
      <c r="DN43" s="11"/>
    </row>
    <row r="44" spans="1:118" s="6" customFormat="1" ht="15" hidden="1" customHeight="1" x14ac:dyDescent="0.2">
      <c r="A44" s="22"/>
      <c r="B44" s="22"/>
      <c r="C44" s="22"/>
      <c r="D44" s="22"/>
      <c r="E44" s="22"/>
      <c r="F44" s="26" t="s">
        <v>80</v>
      </c>
      <c r="G44" s="24"/>
      <c r="H44" s="24"/>
      <c r="I44" s="24"/>
      <c r="J44" s="24" t="str">
        <f>I31</f>
        <v/>
      </c>
      <c r="K44" s="24"/>
      <c r="L44" s="24"/>
      <c r="M44" s="24"/>
      <c r="N44" s="24" t="str">
        <f>M31</f>
        <v/>
      </c>
      <c r="O44" s="24"/>
      <c r="P44" s="24"/>
      <c r="Q44" s="24"/>
      <c r="R44" s="24" t="str">
        <f>Q31</f>
        <v/>
      </c>
      <c r="S44" s="24"/>
      <c r="T44" s="24"/>
      <c r="U44" s="24"/>
      <c r="V44" s="24" t="str">
        <f>U31</f>
        <v/>
      </c>
      <c r="W44" s="24"/>
      <c r="X44" s="24"/>
      <c r="Y44" s="24"/>
      <c r="Z44" s="24" t="str">
        <f>Y31</f>
        <v/>
      </c>
      <c r="AA44" s="24"/>
      <c r="AB44" s="24"/>
      <c r="AC44" s="24"/>
      <c r="AD44" s="24" t="str">
        <f>AC31</f>
        <v/>
      </c>
      <c r="AE44" s="24"/>
      <c r="AF44" s="24"/>
      <c r="AG44" s="24"/>
      <c r="AH44" s="24" t="str">
        <f>AG31</f>
        <v/>
      </c>
      <c r="AI44" s="24"/>
      <c r="AJ44" s="24"/>
      <c r="AK44" s="24"/>
      <c r="AL44" s="24" t="str">
        <f>AK31</f>
        <v/>
      </c>
      <c r="AM44" s="24"/>
      <c r="AN44" s="24"/>
      <c r="AO44" s="24"/>
      <c r="AP44" s="24" t="str">
        <f>AO31</f>
        <v/>
      </c>
      <c r="AQ44" s="24"/>
      <c r="AR44" s="24"/>
      <c r="AS44" s="24"/>
      <c r="AT44" s="24" t="str">
        <f>AS31</f>
        <v/>
      </c>
      <c r="AU44" s="24"/>
      <c r="AV44" s="24"/>
      <c r="AW44" s="24"/>
      <c r="AX44" s="24" t="str">
        <f>AW31</f>
        <v/>
      </c>
      <c r="AY44" s="24"/>
      <c r="AZ44" s="24"/>
      <c r="BA44" s="24"/>
      <c r="BB44" s="24" t="str">
        <f>BA31</f>
        <v/>
      </c>
      <c r="BH44" s="7"/>
      <c r="BI44" s="24"/>
      <c r="BJ44" s="24"/>
      <c r="BK44" s="24"/>
      <c r="BL44" s="24" t="str">
        <f>BK31</f>
        <v/>
      </c>
      <c r="BN44" s="27"/>
      <c r="BO44" s="4">
        <f>IF(COUNTBLANK($BD$5:$BD$10)=0,1,0)</f>
        <v>1</v>
      </c>
      <c r="BP44" s="8"/>
      <c r="CB44" s="4"/>
      <c r="CC44" s="4"/>
      <c r="CD44" s="4"/>
      <c r="CE44" s="4"/>
      <c r="CF44" s="4"/>
      <c r="CG44" s="4"/>
      <c r="CH44" s="4"/>
      <c r="CI44" s="4"/>
      <c r="CJ44" s="4"/>
      <c r="CK44" s="4"/>
      <c r="CL44" s="4"/>
      <c r="CM44" s="4"/>
      <c r="CN44" s="4"/>
      <c r="CO44" s="4"/>
      <c r="CP44" s="4"/>
      <c r="CQ44" s="4"/>
      <c r="CR44" s="4"/>
      <c r="CS44" s="4"/>
      <c r="CT44" s="4"/>
      <c r="DK44" s="4"/>
      <c r="DL44" s="211" t="str">
        <f>CONCATENATE($DM$5,$DN$5)</f>
        <v xml:space="preserve">   "",</v>
      </c>
      <c r="DM44" s="11"/>
      <c r="DN44" s="11"/>
    </row>
    <row r="45" spans="1:118" s="6" customFormat="1" ht="15" hidden="1" customHeight="1" x14ac:dyDescent="0.2">
      <c r="A45" s="22"/>
      <c r="B45" s="22"/>
      <c r="C45" s="22"/>
      <c r="D45" s="22"/>
      <c r="E45" s="22"/>
      <c r="F45" s="26" t="s">
        <v>81</v>
      </c>
      <c r="G45" s="24"/>
      <c r="H45" s="24"/>
      <c r="I45" s="24"/>
      <c r="J45" s="24" t="str">
        <f>J31</f>
        <v/>
      </c>
      <c r="K45" s="24"/>
      <c r="L45" s="24"/>
      <c r="M45" s="24"/>
      <c r="N45" s="24" t="str">
        <f>N31</f>
        <v/>
      </c>
      <c r="O45" s="24"/>
      <c r="P45" s="24"/>
      <c r="Q45" s="24"/>
      <c r="R45" s="24" t="str">
        <f>R31</f>
        <v/>
      </c>
      <c r="S45" s="24"/>
      <c r="T45" s="24"/>
      <c r="U45" s="24"/>
      <c r="V45" s="24" t="str">
        <f>V31</f>
        <v/>
      </c>
      <c r="W45" s="24"/>
      <c r="X45" s="24"/>
      <c r="Y45" s="24"/>
      <c r="Z45" s="24" t="str">
        <f>Z31</f>
        <v/>
      </c>
      <c r="AA45" s="24"/>
      <c r="AB45" s="24"/>
      <c r="AC45" s="24"/>
      <c r="AD45" s="24" t="str">
        <f>AD31</f>
        <v/>
      </c>
      <c r="AE45" s="24"/>
      <c r="AF45" s="24"/>
      <c r="AG45" s="24"/>
      <c r="AH45" s="24" t="str">
        <f>AH31</f>
        <v/>
      </c>
      <c r="AI45" s="24"/>
      <c r="AJ45" s="24"/>
      <c r="AK45" s="24"/>
      <c r="AL45" s="24" t="str">
        <f>AL31</f>
        <v/>
      </c>
      <c r="AM45" s="24"/>
      <c r="AN45" s="24"/>
      <c r="AO45" s="24"/>
      <c r="AP45" s="24" t="str">
        <f>AP31</f>
        <v/>
      </c>
      <c r="AQ45" s="24"/>
      <c r="AR45" s="24"/>
      <c r="AS45" s="24"/>
      <c r="AT45" s="24" t="str">
        <f>AT31</f>
        <v/>
      </c>
      <c r="AU45" s="24"/>
      <c r="AV45" s="24"/>
      <c r="AW45" s="24"/>
      <c r="AX45" s="24" t="str">
        <f>AX31</f>
        <v/>
      </c>
      <c r="AY45" s="24"/>
      <c r="AZ45" s="24"/>
      <c r="BA45" s="24"/>
      <c r="BB45" s="24" t="str">
        <f>BB31</f>
        <v/>
      </c>
      <c r="BH45" s="7"/>
      <c r="BI45" s="24"/>
      <c r="BJ45" s="24"/>
      <c r="BK45" s="24"/>
      <c r="BL45" s="24" t="str">
        <f>BL31</f>
        <v/>
      </c>
      <c r="BN45" s="27"/>
      <c r="BO45" s="4">
        <f>IF(COUNTBLANK($BD$15:$BD$18)=0,1,0)</f>
        <v>0</v>
      </c>
      <c r="BP45" s="8"/>
      <c r="CB45" s="4"/>
      <c r="CC45" s="4"/>
      <c r="CD45" s="4"/>
      <c r="CE45" s="4"/>
      <c r="CF45" s="4"/>
      <c r="CG45" s="4"/>
      <c r="CH45" s="4"/>
      <c r="CI45" s="4"/>
      <c r="CJ45" s="4"/>
      <c r="CK45" s="4"/>
      <c r="CL45" s="4"/>
      <c r="CM45" s="4"/>
      <c r="CN45" s="4"/>
      <c r="CO45" s="4"/>
      <c r="CP45" s="4"/>
      <c r="CQ45" s="4"/>
      <c r="CR45" s="4"/>
      <c r="CS45" s="4"/>
      <c r="CT45" s="4"/>
      <c r="DK45" s="4"/>
      <c r="DL45" s="211" t="str">
        <f>CONCATENATE($DM$5,$I$11,$DN$5)</f>
        <v xml:space="preserve">   "45",</v>
      </c>
      <c r="DM45" s="11"/>
      <c r="DN45" s="11"/>
    </row>
    <row r="46" spans="1:118" s="6" customFormat="1" ht="15" hidden="1" customHeight="1" x14ac:dyDescent="0.2">
      <c r="A46" s="22"/>
      <c r="B46" s="22"/>
      <c r="C46" s="22"/>
      <c r="D46" s="22"/>
      <c r="E46" s="22"/>
      <c r="F46" s="26" t="s">
        <v>82</v>
      </c>
      <c r="G46" s="24"/>
      <c r="H46" s="24"/>
      <c r="I46" s="24"/>
      <c r="J46" s="24">
        <f>I34</f>
        <v>4</v>
      </c>
      <c r="K46" s="24"/>
      <c r="L46" s="24"/>
      <c r="M46" s="24"/>
      <c r="N46" s="24">
        <f>M34</f>
        <v>1</v>
      </c>
      <c r="O46" s="24"/>
      <c r="P46" s="24"/>
      <c r="Q46" s="24"/>
      <c r="R46" s="24">
        <f>Q34</f>
        <v>5</v>
      </c>
      <c r="S46" s="24"/>
      <c r="T46" s="24"/>
      <c r="U46" s="24"/>
      <c r="V46" s="24">
        <f>U34</f>
        <v>6</v>
      </c>
      <c r="W46" s="24"/>
      <c r="X46" s="24"/>
      <c r="Y46" s="24"/>
      <c r="Z46" s="24">
        <f>Y34</f>
        <v>3</v>
      </c>
      <c r="AA46" s="24"/>
      <c r="AB46" s="24"/>
      <c r="AC46" s="24"/>
      <c r="AD46" s="24">
        <f>AC34</f>
        <v>11</v>
      </c>
      <c r="AE46" s="24"/>
      <c r="AF46" s="24"/>
      <c r="AG46" s="24"/>
      <c r="AH46" s="24">
        <f>AG34</f>
        <v>8</v>
      </c>
      <c r="AI46" s="24"/>
      <c r="AJ46" s="24"/>
      <c r="AK46" s="24"/>
      <c r="AL46" s="24">
        <f>AK34</f>
        <v>6</v>
      </c>
      <c r="AM46" s="24"/>
      <c r="AN46" s="24"/>
      <c r="AO46" s="24"/>
      <c r="AP46" s="24">
        <f>AO34</f>
        <v>2</v>
      </c>
      <c r="AQ46" s="24"/>
      <c r="AR46" s="24"/>
      <c r="AS46" s="24"/>
      <c r="AT46" s="24">
        <f>AS34</f>
        <v>12</v>
      </c>
      <c r="AU46" s="24"/>
      <c r="AV46" s="24"/>
      <c r="AW46" s="24"/>
      <c r="AX46" s="24">
        <f>AW34</f>
        <v>10</v>
      </c>
      <c r="AY46" s="24"/>
      <c r="AZ46" s="24"/>
      <c r="BA46" s="24"/>
      <c r="BB46" s="24">
        <f>BA34</f>
        <v>8</v>
      </c>
      <c r="BH46" s="7"/>
      <c r="BI46" s="24"/>
      <c r="BJ46" s="24"/>
      <c r="BK46" s="24"/>
      <c r="BL46" s="24">
        <f>BK34</f>
        <v>2</v>
      </c>
      <c r="BN46" s="27"/>
      <c r="BO46" s="4">
        <f>IF(COUNTBLANK($BD$23:$BD$24)=0,1,0)</f>
        <v>0</v>
      </c>
      <c r="BP46" s="8"/>
      <c r="CB46" s="4"/>
      <c r="CC46" s="4"/>
      <c r="CD46" s="4"/>
      <c r="CE46" s="4"/>
      <c r="CF46" s="4"/>
      <c r="CG46" s="4"/>
      <c r="CH46" s="4"/>
      <c r="CI46" s="4"/>
      <c r="CJ46" s="4"/>
      <c r="CK46" s="4"/>
      <c r="CL46" s="4"/>
      <c r="CM46" s="4"/>
      <c r="CN46" s="4"/>
      <c r="CO46" s="4"/>
      <c r="CP46" s="4"/>
      <c r="CQ46" s="4"/>
      <c r="CR46" s="4"/>
      <c r="CS46" s="4"/>
      <c r="CT46" s="4"/>
      <c r="DK46" s="4"/>
      <c r="DL46" s="211" t="str">
        <f>CONCATENATE($DM$5,$DN$5)</f>
        <v xml:space="preserve">   "",</v>
      </c>
      <c r="DM46" s="11"/>
      <c r="DN46" s="11"/>
    </row>
    <row r="47" spans="1:118" s="6" customFormat="1" ht="15" hidden="1" customHeight="1" x14ac:dyDescent="0.2">
      <c r="A47" s="22"/>
      <c r="B47" s="22"/>
      <c r="C47" s="22"/>
      <c r="D47" s="22"/>
      <c r="E47" s="22"/>
      <c r="F47" s="26" t="s">
        <v>83</v>
      </c>
      <c r="G47" s="24"/>
      <c r="H47" s="24"/>
      <c r="I47" s="24"/>
      <c r="J47" s="24">
        <f>J34</f>
        <v>57</v>
      </c>
      <c r="K47" s="24"/>
      <c r="L47" s="24"/>
      <c r="M47" s="24"/>
      <c r="N47" s="24">
        <f>N34</f>
        <v>50</v>
      </c>
      <c r="O47" s="24"/>
      <c r="P47" s="24"/>
      <c r="Q47" s="24"/>
      <c r="R47" s="24">
        <f>R34</f>
        <v>60</v>
      </c>
      <c r="S47" s="24"/>
      <c r="T47" s="24"/>
      <c r="U47" s="24"/>
      <c r="V47" s="24">
        <f>V34</f>
        <v>62</v>
      </c>
      <c r="W47" s="24"/>
      <c r="X47" s="24"/>
      <c r="Y47" s="24"/>
      <c r="Z47" s="24">
        <f>Z34</f>
        <v>56</v>
      </c>
      <c r="AA47" s="24"/>
      <c r="AB47" s="24"/>
      <c r="AC47" s="24"/>
      <c r="AD47" s="24">
        <f>AD34</f>
        <v>70</v>
      </c>
      <c r="AE47" s="24"/>
      <c r="AF47" s="24"/>
      <c r="AG47" s="24"/>
      <c r="AH47" s="24">
        <f>AH34</f>
        <v>65</v>
      </c>
      <c r="AI47" s="24"/>
      <c r="AJ47" s="24"/>
      <c r="AK47" s="24"/>
      <c r="AL47" s="24">
        <f>AL34</f>
        <v>62</v>
      </c>
      <c r="AM47" s="24"/>
      <c r="AN47" s="24"/>
      <c r="AO47" s="24"/>
      <c r="AP47" s="24">
        <f>AP34</f>
        <v>54</v>
      </c>
      <c r="AQ47" s="24"/>
      <c r="AR47" s="24"/>
      <c r="AS47" s="24"/>
      <c r="AT47" s="24">
        <f>AT34</f>
        <v>78</v>
      </c>
      <c r="AU47" s="24"/>
      <c r="AV47" s="24"/>
      <c r="AW47" s="24"/>
      <c r="AX47" s="24">
        <f>AX34</f>
        <v>68</v>
      </c>
      <c r="AY47" s="24"/>
      <c r="AZ47" s="24"/>
      <c r="BA47" s="24"/>
      <c r="BB47" s="24">
        <f>BB34</f>
        <v>65</v>
      </c>
      <c r="BH47" s="7"/>
      <c r="BI47" s="24"/>
      <c r="BJ47" s="24"/>
      <c r="BK47" s="24"/>
      <c r="BL47" s="24">
        <f>BL34</f>
        <v>51</v>
      </c>
      <c r="BN47" s="27"/>
      <c r="BO47" s="4">
        <f>IF(COUNTBLANK($BD$29)=0,1,0)</f>
        <v>0</v>
      </c>
      <c r="BP47" s="8"/>
      <c r="CB47" s="4"/>
      <c r="CC47" s="4"/>
      <c r="CD47" s="4"/>
      <c r="CE47" s="4"/>
      <c r="CF47" s="4"/>
      <c r="CG47" s="4"/>
      <c r="CH47" s="4"/>
      <c r="CI47" s="4"/>
      <c r="CJ47" s="4"/>
      <c r="CK47" s="4"/>
      <c r="CL47" s="4"/>
      <c r="CM47" s="4"/>
      <c r="CN47" s="4"/>
      <c r="CO47" s="4"/>
      <c r="CP47" s="4"/>
      <c r="CQ47" s="4"/>
      <c r="CR47" s="4"/>
      <c r="CS47" s="4"/>
      <c r="CT47" s="4"/>
      <c r="DK47" s="4"/>
      <c r="DL47" s="211" t="str">
        <f>CONCATENATE($DM$5,$DN$5)</f>
        <v xml:space="preserve">   "",</v>
      </c>
      <c r="DM47" s="11"/>
      <c r="DN47" s="11"/>
    </row>
    <row r="48" spans="1:118" s="6" customFormat="1" ht="15" hidden="1" customHeight="1" x14ac:dyDescent="0.2">
      <c r="A48" s="22"/>
      <c r="B48" s="22"/>
      <c r="C48" s="22"/>
      <c r="D48" s="22"/>
      <c r="E48" s="22"/>
      <c r="F48" s="26" t="s">
        <v>84</v>
      </c>
      <c r="G48" s="24">
        <f t="shared" ref="G48:G52" si="30">IF(AND($BD5&lt;&gt;"H",$BD5&lt;&gt;"V"),"",IF(G5=$BD5,1,0))</f>
        <v>1</v>
      </c>
      <c r="H48" s="24"/>
      <c r="I48" s="24"/>
      <c r="J48" s="24"/>
      <c r="K48" s="24">
        <f t="shared" ref="K48:K52" si="31">IF(AND($BD5&lt;&gt;"H",$BD5&lt;&gt;"V"),"",IF(K5=$BD5,1,0))</f>
        <v>1</v>
      </c>
      <c r="L48" s="24"/>
      <c r="M48" s="24"/>
      <c r="N48" s="24"/>
      <c r="O48" s="24">
        <f t="shared" ref="O48:O52" si="32">IF(AND($BD5&lt;&gt;"H",$BD5&lt;&gt;"V"),"",IF(O5=$BD5,1,0))</f>
        <v>1</v>
      </c>
      <c r="P48" s="24"/>
      <c r="Q48" s="24"/>
      <c r="R48" s="24"/>
      <c r="S48" s="24">
        <f t="shared" ref="S48:S52" si="33">IF(AND($BD5&lt;&gt;"H",$BD5&lt;&gt;"V"),"",IF(S5=$BD5,1,0))</f>
        <v>1</v>
      </c>
      <c r="T48" s="24"/>
      <c r="U48" s="24"/>
      <c r="V48" s="24"/>
      <c r="W48" s="24">
        <f t="shared" ref="W48:W52" si="34">IF(AND($BD5&lt;&gt;"H",$BD5&lt;&gt;"V"),"",IF(W5=$BD5,1,0))</f>
        <v>1</v>
      </c>
      <c r="X48" s="24"/>
      <c r="Y48" s="24"/>
      <c r="Z48" s="24"/>
      <c r="AA48" s="24">
        <f t="shared" ref="AA48:AA52" si="35">IF(AND($BD5&lt;&gt;"H",$BD5&lt;&gt;"V"),"",IF(AA5=$BD5,1,0))</f>
        <v>1</v>
      </c>
      <c r="AB48" s="24"/>
      <c r="AC48" s="24"/>
      <c r="AD48" s="24"/>
      <c r="AE48" s="24">
        <f t="shared" ref="AE48:AE52" si="36">IF(AND($BD5&lt;&gt;"H",$BD5&lt;&gt;"V"),"",IF(AE5=$BD5,1,0))</f>
        <v>1</v>
      </c>
      <c r="AF48" s="24"/>
      <c r="AG48" s="24"/>
      <c r="AH48" s="24"/>
      <c r="AI48" s="24">
        <f t="shared" ref="AI48:AI52" si="37">IF(AND($BD5&lt;&gt;"H",$BD5&lt;&gt;"V"),"",IF(AI5=$BD5,1,0))</f>
        <v>1</v>
      </c>
      <c r="AJ48" s="24"/>
      <c r="AK48" s="24"/>
      <c r="AL48" s="24"/>
      <c r="AM48" s="24">
        <f t="shared" ref="AM48:AM52" si="38">IF(AND($BD5&lt;&gt;"H",$BD5&lt;&gt;"V"),"",IF(AM5=$BD5,1,0))</f>
        <v>1</v>
      </c>
      <c r="AN48" s="24"/>
      <c r="AO48" s="24"/>
      <c r="AP48" s="24"/>
      <c r="AQ48" s="24">
        <f t="shared" ref="AQ48:AQ52" si="39">IF(AND($BD5&lt;&gt;"H",$BD5&lt;&gt;"V"),"",IF(AQ5=$BD5,1,0))</f>
        <v>1</v>
      </c>
      <c r="AR48" s="24"/>
      <c r="AS48" s="24"/>
      <c r="AT48" s="24"/>
      <c r="AU48" s="24">
        <f t="shared" ref="AU48:AU52" si="40">IF(AND($BD5&lt;&gt;"H",$BD5&lt;&gt;"V"),"",IF(AU5=$BD5,1,0))</f>
        <v>1</v>
      </c>
      <c r="AV48" s="24"/>
      <c r="AW48" s="24"/>
      <c r="AX48" s="24"/>
      <c r="AY48" s="24">
        <f t="shared" ref="AY48:AY52" si="41">IF(AND($BD5&lt;&gt;"H",$BD5&lt;&gt;"V"),"",IF(AY5=$BD5,1,0))</f>
        <v>1</v>
      </c>
      <c r="AZ48" s="24"/>
      <c r="BA48" s="24"/>
      <c r="BB48" s="24"/>
      <c r="BH48" s="7"/>
      <c r="BI48" s="24">
        <f t="shared" ref="BI48:BI52" si="42">IF(AND($BD5&lt;&gt;"H",$BD5&lt;&gt;"V"),"",IF(BI5=$BD5,1,0))</f>
        <v>1</v>
      </c>
      <c r="BJ48" s="24"/>
      <c r="BK48" s="24"/>
      <c r="BL48" s="24"/>
      <c r="BN48" s="27" t="s">
        <v>56</v>
      </c>
      <c r="BO48" s="4">
        <f>SUM(BO44:BO47)</f>
        <v>1</v>
      </c>
      <c r="BP48" s="8" t="s">
        <v>58</v>
      </c>
      <c r="CB48" s="4"/>
      <c r="CC48" s="4"/>
      <c r="CD48" s="4"/>
      <c r="CE48" s="4"/>
      <c r="CF48" s="4"/>
      <c r="CG48" s="4"/>
      <c r="CH48" s="4"/>
      <c r="CI48" s="4"/>
      <c r="CJ48" s="4"/>
      <c r="CK48" s="4"/>
      <c r="CL48" s="4"/>
      <c r="CM48" s="4"/>
      <c r="CN48" s="4"/>
      <c r="CO48" s="4"/>
      <c r="CP48" s="4"/>
      <c r="CQ48" s="4"/>
      <c r="CR48" s="4"/>
      <c r="CS48" s="4"/>
      <c r="CT48" s="4"/>
      <c r="DK48" s="4"/>
      <c r="DL48" s="211" t="str">
        <f>CONCATENATE($DM$5,$DN$5)</f>
        <v xml:space="preserve">   "",</v>
      </c>
      <c r="DM48" s="11"/>
      <c r="DN48" s="11"/>
    </row>
    <row r="49" spans="1:118" s="6" customFormat="1" ht="15" hidden="1" customHeight="1" x14ac:dyDescent="0.2">
      <c r="A49" s="22"/>
      <c r="B49" s="22"/>
      <c r="C49" s="22"/>
      <c r="D49" s="22"/>
      <c r="E49" s="22"/>
      <c r="F49" s="26" t="s">
        <v>85</v>
      </c>
      <c r="G49" s="24">
        <f t="shared" si="30"/>
        <v>1</v>
      </c>
      <c r="H49" s="24"/>
      <c r="I49" s="24"/>
      <c r="J49" s="24"/>
      <c r="K49" s="24">
        <f t="shared" si="31"/>
        <v>1</v>
      </c>
      <c r="L49" s="24"/>
      <c r="M49" s="24"/>
      <c r="N49" s="24"/>
      <c r="O49" s="24">
        <f t="shared" si="32"/>
        <v>0</v>
      </c>
      <c r="P49" s="24"/>
      <c r="Q49" s="24"/>
      <c r="R49" s="24"/>
      <c r="S49" s="24">
        <f t="shared" si="33"/>
        <v>0</v>
      </c>
      <c r="T49" s="24"/>
      <c r="U49" s="24"/>
      <c r="V49" s="24"/>
      <c r="W49" s="24">
        <f t="shared" si="34"/>
        <v>1</v>
      </c>
      <c r="X49" s="24"/>
      <c r="Y49" s="24"/>
      <c r="Z49" s="24"/>
      <c r="AA49" s="24">
        <f t="shared" si="35"/>
        <v>0</v>
      </c>
      <c r="AB49" s="24"/>
      <c r="AC49" s="24"/>
      <c r="AD49" s="24"/>
      <c r="AE49" s="24">
        <f t="shared" si="36"/>
        <v>0</v>
      </c>
      <c r="AF49" s="24"/>
      <c r="AG49" s="24"/>
      <c r="AH49" s="24"/>
      <c r="AI49" s="24">
        <f t="shared" si="37"/>
        <v>0</v>
      </c>
      <c r="AJ49" s="24"/>
      <c r="AK49" s="24"/>
      <c r="AL49" s="24"/>
      <c r="AM49" s="24">
        <f t="shared" si="38"/>
        <v>0</v>
      </c>
      <c r="AN49" s="24"/>
      <c r="AO49" s="24"/>
      <c r="AP49" s="24"/>
      <c r="AQ49" s="24">
        <f t="shared" si="39"/>
        <v>1</v>
      </c>
      <c r="AR49" s="24"/>
      <c r="AS49" s="24"/>
      <c r="AT49" s="24"/>
      <c r="AU49" s="24">
        <f t="shared" si="40"/>
        <v>0</v>
      </c>
      <c r="AV49" s="24"/>
      <c r="AW49" s="24"/>
      <c r="AX49" s="24"/>
      <c r="AY49" s="24">
        <f t="shared" si="41"/>
        <v>1</v>
      </c>
      <c r="AZ49" s="24"/>
      <c r="BA49" s="24"/>
      <c r="BB49" s="24"/>
      <c r="BH49" s="7"/>
      <c r="BI49" s="24">
        <f t="shared" si="42"/>
        <v>1</v>
      </c>
      <c r="BJ49" s="24"/>
      <c r="BK49" s="24"/>
      <c r="BL49" s="24"/>
      <c r="BN49" s="27"/>
      <c r="BO49" s="4"/>
      <c r="BP49" s="8"/>
      <c r="CB49" s="4"/>
      <c r="CC49" s="4"/>
      <c r="CD49" s="4"/>
      <c r="CE49" s="4"/>
      <c r="CF49" s="4"/>
      <c r="CG49" s="4"/>
      <c r="CH49" s="4"/>
      <c r="CI49" s="4"/>
      <c r="CJ49" s="4"/>
      <c r="CK49" s="4"/>
      <c r="CL49" s="4"/>
      <c r="CM49" s="4"/>
      <c r="CN49" s="4"/>
      <c r="CO49" s="4"/>
      <c r="CP49" s="4"/>
      <c r="CQ49" s="4"/>
      <c r="CR49" s="4"/>
      <c r="CS49" s="4"/>
      <c r="CT49" s="4"/>
      <c r="DK49" s="4"/>
      <c r="DL49" s="211" t="str">
        <f>CONCATENATE($DM$5,$I$19,$DN$5)</f>
        <v xml:space="preserve">   "",</v>
      </c>
      <c r="DM49" s="11"/>
      <c r="DN49" s="11"/>
    </row>
    <row r="50" spans="1:118" s="6" customFormat="1" ht="15" hidden="1" customHeight="1" x14ac:dyDescent="0.2">
      <c r="A50" s="22"/>
      <c r="B50" s="22"/>
      <c r="C50" s="22"/>
      <c r="D50" s="22"/>
      <c r="E50" s="22"/>
      <c r="F50" s="26" t="s">
        <v>86</v>
      </c>
      <c r="G50" s="24">
        <f t="shared" si="30"/>
        <v>1</v>
      </c>
      <c r="H50" s="24"/>
      <c r="I50" s="24"/>
      <c r="J50" s="24"/>
      <c r="K50" s="24">
        <f t="shared" si="31"/>
        <v>1</v>
      </c>
      <c r="L50" s="24"/>
      <c r="M50" s="24"/>
      <c r="N50" s="24"/>
      <c r="O50" s="24">
        <f t="shared" si="32"/>
        <v>1</v>
      </c>
      <c r="P50" s="24"/>
      <c r="Q50" s="24"/>
      <c r="R50" s="24"/>
      <c r="S50" s="24">
        <f t="shared" si="33"/>
        <v>1</v>
      </c>
      <c r="T50" s="24"/>
      <c r="U50" s="24"/>
      <c r="V50" s="24"/>
      <c r="W50" s="24">
        <f t="shared" si="34"/>
        <v>1</v>
      </c>
      <c r="X50" s="24"/>
      <c r="Y50" s="24"/>
      <c r="Z50" s="24"/>
      <c r="AA50" s="24">
        <f t="shared" si="35"/>
        <v>1</v>
      </c>
      <c r="AB50" s="24"/>
      <c r="AC50" s="24"/>
      <c r="AD50" s="24"/>
      <c r="AE50" s="24">
        <f t="shared" si="36"/>
        <v>1</v>
      </c>
      <c r="AF50" s="24"/>
      <c r="AG50" s="24"/>
      <c r="AH50" s="24"/>
      <c r="AI50" s="24">
        <f t="shared" si="37"/>
        <v>1</v>
      </c>
      <c r="AJ50" s="24"/>
      <c r="AK50" s="24"/>
      <c r="AL50" s="24"/>
      <c r="AM50" s="24">
        <f t="shared" si="38"/>
        <v>1</v>
      </c>
      <c r="AN50" s="24"/>
      <c r="AO50" s="24"/>
      <c r="AP50" s="24"/>
      <c r="AQ50" s="24">
        <f t="shared" si="39"/>
        <v>1</v>
      </c>
      <c r="AR50" s="24"/>
      <c r="AS50" s="24"/>
      <c r="AT50" s="24"/>
      <c r="AU50" s="24">
        <f t="shared" si="40"/>
        <v>1</v>
      </c>
      <c r="AV50" s="24"/>
      <c r="AW50" s="24"/>
      <c r="AX50" s="24"/>
      <c r="AY50" s="24">
        <f t="shared" si="41"/>
        <v>1</v>
      </c>
      <c r="AZ50" s="24"/>
      <c r="BA50" s="24"/>
      <c r="BB50" s="24"/>
      <c r="BH50" s="7"/>
      <c r="BI50" s="24">
        <f t="shared" si="42"/>
        <v>1</v>
      </c>
      <c r="BJ50" s="24"/>
      <c r="BK50" s="24"/>
      <c r="BL50" s="24"/>
      <c r="BN50" s="27"/>
      <c r="BO50" s="4"/>
      <c r="BP50" s="8"/>
      <c r="BR50" s="27" t="s">
        <v>195</v>
      </c>
      <c r="BS50" s="8">
        <v>18</v>
      </c>
      <c r="CB50" s="4"/>
      <c r="CC50" s="4"/>
      <c r="CD50" s="4"/>
      <c r="CE50" s="4"/>
      <c r="CF50" s="4"/>
      <c r="CG50" s="4"/>
      <c r="CH50" s="4"/>
      <c r="CI50" s="4"/>
      <c r="CJ50" s="4"/>
      <c r="CK50" s="4"/>
      <c r="CL50" s="4"/>
      <c r="CM50" s="4"/>
      <c r="CN50" s="4"/>
      <c r="CO50" s="4"/>
      <c r="CP50" s="4"/>
      <c r="CQ50" s="4"/>
      <c r="CR50" s="4"/>
      <c r="CS50" s="4"/>
      <c r="CT50" s="4"/>
      <c r="DK50" s="4"/>
      <c r="DL50" s="211" t="str">
        <f>CONCATENATE($DM$5,$DN$5)</f>
        <v xml:space="preserve">   "",</v>
      </c>
      <c r="DM50" s="11"/>
      <c r="DN50" s="11"/>
    </row>
    <row r="51" spans="1:118" s="6" customFormat="1" ht="15" hidden="1" customHeight="1" x14ac:dyDescent="0.2">
      <c r="A51" s="22"/>
      <c r="B51" s="22"/>
      <c r="C51" s="22"/>
      <c r="D51" s="22"/>
      <c r="E51" s="22"/>
      <c r="F51" s="26" t="s">
        <v>87</v>
      </c>
      <c r="G51" s="24">
        <f t="shared" si="30"/>
        <v>0</v>
      </c>
      <c r="H51" s="24"/>
      <c r="I51" s="24"/>
      <c r="J51" s="24"/>
      <c r="K51" s="24">
        <f t="shared" si="31"/>
        <v>1</v>
      </c>
      <c r="L51" s="24"/>
      <c r="M51" s="24"/>
      <c r="N51" s="24"/>
      <c r="O51" s="24">
        <f t="shared" si="32"/>
        <v>1</v>
      </c>
      <c r="P51" s="24"/>
      <c r="Q51" s="24"/>
      <c r="R51" s="24"/>
      <c r="S51" s="24">
        <f t="shared" si="33"/>
        <v>0</v>
      </c>
      <c r="T51" s="24"/>
      <c r="U51" s="24"/>
      <c r="V51" s="24"/>
      <c r="W51" s="24">
        <f t="shared" si="34"/>
        <v>0</v>
      </c>
      <c r="X51" s="24"/>
      <c r="Y51" s="24"/>
      <c r="Z51" s="24"/>
      <c r="AA51" s="24">
        <f t="shared" si="35"/>
        <v>0</v>
      </c>
      <c r="AB51" s="24"/>
      <c r="AC51" s="24"/>
      <c r="AD51" s="24"/>
      <c r="AE51" s="24">
        <f t="shared" si="36"/>
        <v>0</v>
      </c>
      <c r="AF51" s="24"/>
      <c r="AG51" s="24"/>
      <c r="AH51" s="24"/>
      <c r="AI51" s="24">
        <f t="shared" si="37"/>
        <v>0</v>
      </c>
      <c r="AJ51" s="24"/>
      <c r="AK51" s="24"/>
      <c r="AL51" s="24"/>
      <c r="AM51" s="24">
        <f t="shared" si="38"/>
        <v>0</v>
      </c>
      <c r="AN51" s="24"/>
      <c r="AO51" s="24"/>
      <c r="AP51" s="24"/>
      <c r="AQ51" s="24">
        <f t="shared" si="39"/>
        <v>0</v>
      </c>
      <c r="AR51" s="24"/>
      <c r="AS51" s="24"/>
      <c r="AT51" s="24"/>
      <c r="AU51" s="24">
        <f t="shared" si="40"/>
        <v>0</v>
      </c>
      <c r="AV51" s="24"/>
      <c r="AW51" s="24"/>
      <c r="AX51" s="24"/>
      <c r="AY51" s="24">
        <f t="shared" si="41"/>
        <v>0</v>
      </c>
      <c r="AZ51" s="24"/>
      <c r="BA51" s="24"/>
      <c r="BB51" s="24"/>
      <c r="BH51" s="7"/>
      <c r="BI51" s="24">
        <f t="shared" si="42"/>
        <v>0</v>
      </c>
      <c r="BJ51" s="24"/>
      <c r="BK51" s="24"/>
      <c r="BL51" s="24"/>
      <c r="BN51" s="27"/>
      <c r="BO51" s="4"/>
      <c r="BP51" s="8"/>
      <c r="CB51" s="4"/>
      <c r="CC51" s="4"/>
      <c r="CD51" s="4"/>
      <c r="CE51" s="4"/>
      <c r="CF51" s="4"/>
      <c r="CG51" s="4"/>
      <c r="CH51" s="4"/>
      <c r="CI51" s="4"/>
      <c r="CJ51" s="4"/>
      <c r="CK51" s="4"/>
      <c r="CL51" s="4"/>
      <c r="CM51" s="4"/>
      <c r="CN51" s="4"/>
      <c r="CO51" s="4"/>
      <c r="CP51" s="4"/>
      <c r="CQ51" s="4"/>
      <c r="CR51" s="4"/>
      <c r="CS51" s="4"/>
      <c r="CT51" s="4"/>
      <c r="DK51" s="4"/>
      <c r="DL51" s="211" t="str">
        <f>CONCATENATE($DM$5,$I$25,$DN$5)</f>
        <v xml:space="preserve">   "",</v>
      </c>
      <c r="DM51" s="11"/>
      <c r="DN51" s="11"/>
    </row>
    <row r="52" spans="1:118" s="6" customFormat="1" ht="15" hidden="1" customHeight="1" x14ac:dyDescent="0.2">
      <c r="A52" s="22"/>
      <c r="B52" s="22"/>
      <c r="C52" s="22"/>
      <c r="D52" s="22"/>
      <c r="E52" s="22"/>
      <c r="F52" s="26" t="s">
        <v>127</v>
      </c>
      <c r="G52" s="24">
        <f t="shared" si="30"/>
        <v>1</v>
      </c>
      <c r="H52" s="24"/>
      <c r="I52" s="24"/>
      <c r="J52" s="24"/>
      <c r="K52" s="24">
        <f t="shared" si="31"/>
        <v>1</v>
      </c>
      <c r="L52" s="24"/>
      <c r="M52" s="24"/>
      <c r="N52" s="24"/>
      <c r="O52" s="24">
        <f t="shared" si="32"/>
        <v>1</v>
      </c>
      <c r="P52" s="24"/>
      <c r="Q52" s="24"/>
      <c r="R52" s="24"/>
      <c r="S52" s="24">
        <f t="shared" si="33"/>
        <v>1</v>
      </c>
      <c r="T52" s="24"/>
      <c r="U52" s="24"/>
      <c r="V52" s="24"/>
      <c r="W52" s="24">
        <f t="shared" si="34"/>
        <v>1</v>
      </c>
      <c r="X52" s="24"/>
      <c r="Y52" s="24"/>
      <c r="Z52" s="24"/>
      <c r="AA52" s="24">
        <f t="shared" si="35"/>
        <v>1</v>
      </c>
      <c r="AB52" s="24"/>
      <c r="AC52" s="24"/>
      <c r="AD52" s="24"/>
      <c r="AE52" s="24">
        <f t="shared" si="36"/>
        <v>1</v>
      </c>
      <c r="AF52" s="24"/>
      <c r="AG52" s="24"/>
      <c r="AH52" s="24"/>
      <c r="AI52" s="24">
        <f t="shared" si="37"/>
        <v>1</v>
      </c>
      <c r="AJ52" s="24"/>
      <c r="AK52" s="24"/>
      <c r="AL52" s="24"/>
      <c r="AM52" s="24">
        <f t="shared" si="38"/>
        <v>1</v>
      </c>
      <c r="AN52" s="24"/>
      <c r="AO52" s="24"/>
      <c r="AP52" s="24"/>
      <c r="AQ52" s="24">
        <f t="shared" si="39"/>
        <v>1</v>
      </c>
      <c r="AR52" s="24"/>
      <c r="AS52" s="24"/>
      <c r="AT52" s="24"/>
      <c r="AU52" s="24">
        <f t="shared" si="40"/>
        <v>1</v>
      </c>
      <c r="AV52" s="24"/>
      <c r="AW52" s="24"/>
      <c r="AX52" s="24"/>
      <c r="AY52" s="24">
        <f t="shared" si="41"/>
        <v>1</v>
      </c>
      <c r="AZ52" s="24"/>
      <c r="BA52" s="24"/>
      <c r="BB52" s="24"/>
      <c r="BH52" s="7"/>
      <c r="BI52" s="24">
        <f t="shared" si="42"/>
        <v>1</v>
      </c>
      <c r="BJ52" s="24"/>
      <c r="BK52" s="24"/>
      <c r="BL52" s="24"/>
      <c r="BN52" s="27"/>
      <c r="BO52" s="4"/>
      <c r="BP52" s="8"/>
      <c r="CB52" s="4"/>
      <c r="CC52" s="4"/>
      <c r="CD52" s="4"/>
      <c r="CE52" s="4"/>
      <c r="CF52" s="4"/>
      <c r="CG52" s="4"/>
      <c r="CH52" s="4"/>
      <c r="CI52" s="4"/>
      <c r="CJ52" s="4"/>
      <c r="CK52" s="4"/>
      <c r="CL52" s="4"/>
      <c r="CM52" s="4"/>
      <c r="CN52" s="4"/>
      <c r="CO52" s="4"/>
      <c r="CP52" s="4"/>
      <c r="CQ52" s="4"/>
      <c r="CR52" s="4"/>
      <c r="CS52" s="4"/>
      <c r="CT52" s="4"/>
      <c r="DK52" s="4"/>
      <c r="DL52" s="211" t="str">
        <f>CONCATENATE($DM$5,$I$30,$DN$6)</f>
        <v xml:space="preserve">   ""</v>
      </c>
      <c r="DM52" s="11"/>
      <c r="DN52" s="11"/>
    </row>
    <row r="53" spans="1:118" s="6" customFormat="1" ht="15" hidden="1" customHeight="1" x14ac:dyDescent="0.2">
      <c r="A53" s="22"/>
      <c r="B53" s="22"/>
      <c r="C53" s="22"/>
      <c r="D53" s="22"/>
      <c r="E53" s="22"/>
      <c r="F53" s="26" t="s">
        <v>126</v>
      </c>
      <c r="G53" s="24">
        <f>IF(AND($BD10&lt;&gt;"H",$BD10&lt;&gt;"V"),"",IF(G10=$BD10,1,0))</f>
        <v>1</v>
      </c>
      <c r="H53" s="24"/>
      <c r="I53" s="24"/>
      <c r="J53" s="24"/>
      <c r="K53" s="24">
        <f>IF(AND($BD10&lt;&gt;"H",$BD10&lt;&gt;"V"),"",IF(K10=$BD10,1,0))</f>
        <v>0</v>
      </c>
      <c r="L53" s="24"/>
      <c r="M53" s="24"/>
      <c r="N53" s="24"/>
      <c r="O53" s="24">
        <f>IF(AND($BD10&lt;&gt;"H",$BD10&lt;&gt;"V"),"",IF(O10=$BD10,1,0))</f>
        <v>0</v>
      </c>
      <c r="P53" s="24"/>
      <c r="Q53" s="24"/>
      <c r="R53" s="24"/>
      <c r="S53" s="24">
        <f>IF(AND($BD10&lt;&gt;"H",$BD10&lt;&gt;"V"),"",IF(S10=$BD10,1,0))</f>
        <v>1</v>
      </c>
      <c r="T53" s="24"/>
      <c r="U53" s="24"/>
      <c r="V53" s="24"/>
      <c r="W53" s="24">
        <f>IF(AND($BD10&lt;&gt;"H",$BD10&lt;&gt;"V"),"",IF(W10=$BD10,1,0))</f>
        <v>1</v>
      </c>
      <c r="X53" s="24"/>
      <c r="Y53" s="24"/>
      <c r="Z53" s="24"/>
      <c r="AA53" s="24">
        <f>IF(AND($BD10&lt;&gt;"H",$BD10&lt;&gt;"V"),"",IF(AA10=$BD10,1,0))</f>
        <v>0</v>
      </c>
      <c r="AB53" s="24"/>
      <c r="AC53" s="24"/>
      <c r="AD53" s="24"/>
      <c r="AE53" s="24">
        <f>IF(AND($BD10&lt;&gt;"H",$BD10&lt;&gt;"V"),"",IF(AE10=$BD10,1,0))</f>
        <v>1</v>
      </c>
      <c r="AF53" s="24"/>
      <c r="AG53" s="24"/>
      <c r="AH53" s="24"/>
      <c r="AI53" s="24">
        <f>IF(AND($BD10&lt;&gt;"H",$BD10&lt;&gt;"V"),"",IF(AI10=$BD10,1,0))</f>
        <v>1</v>
      </c>
      <c r="AJ53" s="24"/>
      <c r="AK53" s="24"/>
      <c r="AL53" s="24"/>
      <c r="AM53" s="24">
        <f>IF(AND($BD10&lt;&gt;"H",$BD10&lt;&gt;"V"),"",IF(AM10=$BD10,1,0))</f>
        <v>1</v>
      </c>
      <c r="AN53" s="24"/>
      <c r="AO53" s="24"/>
      <c r="AP53" s="24"/>
      <c r="AQ53" s="24">
        <f>IF(AND($BD10&lt;&gt;"H",$BD10&lt;&gt;"V"),"",IF(AQ10=$BD10,1,0))</f>
        <v>0</v>
      </c>
      <c r="AR53" s="24"/>
      <c r="AS53" s="24"/>
      <c r="AT53" s="24"/>
      <c r="AU53" s="24">
        <f>IF(AND($BD10&lt;&gt;"H",$BD10&lt;&gt;"V"),"",IF(AU10=$BD10,1,0))</f>
        <v>0</v>
      </c>
      <c r="AV53" s="24"/>
      <c r="AW53" s="24"/>
      <c r="AX53" s="24"/>
      <c r="AY53" s="24">
        <f>IF(AND($BD10&lt;&gt;"H",$BD10&lt;&gt;"V"),"",IF(AY10=$BD10,1,0))</f>
        <v>1</v>
      </c>
      <c r="AZ53" s="24"/>
      <c r="BA53" s="24"/>
      <c r="BB53" s="24"/>
      <c r="BH53" s="7"/>
      <c r="BI53" s="24">
        <f>IF(AND($BD10&lt;&gt;"H",$BD10&lt;&gt;"V"),"",IF(BI10=$BD10,1,0))</f>
        <v>1</v>
      </c>
      <c r="BJ53" s="24"/>
      <c r="BK53" s="24"/>
      <c r="BL53" s="24"/>
      <c r="BN53" s="27"/>
      <c r="BO53" s="4"/>
      <c r="BP53" s="8"/>
      <c r="CB53" s="4"/>
      <c r="CC53" s="4"/>
      <c r="CD53" s="4"/>
      <c r="CE53" s="4"/>
      <c r="CF53" s="4"/>
      <c r="CG53" s="4"/>
      <c r="CH53" s="4"/>
      <c r="CI53" s="4"/>
      <c r="CJ53" s="4"/>
      <c r="CK53" s="4"/>
      <c r="CL53" s="4"/>
      <c r="CM53" s="4"/>
      <c r="CN53" s="4"/>
      <c r="CO53" s="4"/>
      <c r="CP53" s="4"/>
      <c r="CQ53" s="4"/>
      <c r="CR53" s="4"/>
      <c r="CS53" s="4"/>
      <c r="CT53" s="4"/>
      <c r="DK53" s="4"/>
      <c r="DL53" s="211" t="s">
        <v>28</v>
      </c>
      <c r="DM53" s="11"/>
      <c r="DN53" s="11"/>
    </row>
    <row r="54" spans="1:118" s="6" customFormat="1" ht="15" hidden="1" customHeight="1" x14ac:dyDescent="0.2">
      <c r="A54" s="22"/>
      <c r="B54" s="22"/>
      <c r="C54" s="22"/>
      <c r="D54" s="22"/>
      <c r="E54" s="22"/>
      <c r="F54" s="26" t="s">
        <v>88</v>
      </c>
      <c r="G54" s="24" t="str">
        <f>IF(AND($BD15&lt;&gt;"H",$BD15&lt;&gt;"V"),"",IF(G15=$BD15,1,0))</f>
        <v/>
      </c>
      <c r="H54" s="24"/>
      <c r="I54" s="24"/>
      <c r="J54" s="24"/>
      <c r="K54" s="24" t="str">
        <f>IF(AND($BD15&lt;&gt;"H",$BD15&lt;&gt;"V"),"",IF(K15=$BD15,1,0))</f>
        <v/>
      </c>
      <c r="L54" s="24"/>
      <c r="M54" s="24"/>
      <c r="N54" s="24"/>
      <c r="O54" s="24" t="str">
        <f>IF(AND($BD15&lt;&gt;"H",$BD15&lt;&gt;"V"),"",IF(O15=$BD15,1,0))</f>
        <v/>
      </c>
      <c r="P54" s="24"/>
      <c r="Q54" s="24"/>
      <c r="R54" s="24"/>
      <c r="S54" s="24" t="str">
        <f>IF(AND($BD15&lt;&gt;"H",$BD15&lt;&gt;"V"),"",IF(S15=$BD15,1,0))</f>
        <v/>
      </c>
      <c r="T54" s="24"/>
      <c r="U54" s="24"/>
      <c r="V54" s="24"/>
      <c r="W54" s="24" t="str">
        <f>IF(AND($BD15&lt;&gt;"H",$BD15&lt;&gt;"V"),"",IF(W15=$BD15,1,0))</f>
        <v/>
      </c>
      <c r="X54" s="24"/>
      <c r="Y54" s="24"/>
      <c r="Z54" s="24"/>
      <c r="AA54" s="24" t="str">
        <f>IF(AND($BD15&lt;&gt;"H",$BD15&lt;&gt;"V"),"",IF(AA15=$BD15,1,0))</f>
        <v/>
      </c>
      <c r="AB54" s="24"/>
      <c r="AC54" s="24"/>
      <c r="AD54" s="24"/>
      <c r="AE54" s="24" t="str">
        <f>IF(AND($BD15&lt;&gt;"H",$BD15&lt;&gt;"V"),"",IF(AE15=$BD15,1,0))</f>
        <v/>
      </c>
      <c r="AF54" s="24"/>
      <c r="AG54" s="24"/>
      <c r="AH54" s="24"/>
      <c r="AI54" s="24" t="str">
        <f>IF(AND($BD15&lt;&gt;"H",$BD15&lt;&gt;"V"),"",IF(AI15=$BD15,1,0))</f>
        <v/>
      </c>
      <c r="AJ54" s="24"/>
      <c r="AK54" s="24"/>
      <c r="AL54" s="24"/>
      <c r="AM54" s="24" t="str">
        <f>IF(AND($BD15&lt;&gt;"H",$BD15&lt;&gt;"V"),"",IF(AM15=$BD15,1,0))</f>
        <v/>
      </c>
      <c r="AN54" s="24"/>
      <c r="AO54" s="24"/>
      <c r="AP54" s="24"/>
      <c r="AQ54" s="24" t="str">
        <f>IF(AND($BD15&lt;&gt;"H",$BD15&lt;&gt;"V"),"",IF(AQ15=$BD15,1,0))</f>
        <v/>
      </c>
      <c r="AR54" s="24"/>
      <c r="AS54" s="24"/>
      <c r="AT54" s="24"/>
      <c r="AU54" s="24" t="str">
        <f>IF(AND($BD15&lt;&gt;"H",$BD15&lt;&gt;"V"),"",IF(AU15=$BD15,1,0))</f>
        <v/>
      </c>
      <c r="AV54" s="24"/>
      <c r="AW54" s="24"/>
      <c r="AX54" s="24"/>
      <c r="AY54" s="24" t="str">
        <f>IF(AND($BD15&lt;&gt;"H",$BD15&lt;&gt;"V"),"",IF(AY15=$BD15,1,0))</f>
        <v/>
      </c>
      <c r="AZ54" s="24"/>
      <c r="BA54" s="24"/>
      <c r="BB54" s="24"/>
      <c r="BH54" s="7"/>
      <c r="BI54" s="24" t="str">
        <f>IF(AND($BD15&lt;&gt;"H",$BD15&lt;&gt;"V"),"",IF(BI15=$BD15,1,0))</f>
        <v/>
      </c>
      <c r="BJ54" s="24"/>
      <c r="BK54" s="24"/>
      <c r="BL54" s="24"/>
      <c r="BN54" s="27"/>
      <c r="BO54" s="4"/>
      <c r="BP54" s="8"/>
      <c r="CB54" s="4"/>
      <c r="CC54" s="4"/>
      <c r="CD54" s="4"/>
      <c r="CE54" s="4"/>
      <c r="CF54" s="4"/>
      <c r="CG54" s="4"/>
      <c r="CH54" s="4"/>
      <c r="CI54" s="4"/>
      <c r="CJ54" s="4"/>
      <c r="CK54" s="4"/>
      <c r="CL54" s="4"/>
      <c r="CM54" s="4"/>
      <c r="CN54" s="4"/>
      <c r="CO54" s="4"/>
      <c r="CP54" s="4"/>
      <c r="CQ54" s="4"/>
      <c r="CR54" s="4"/>
      <c r="CS54" s="4"/>
      <c r="CT54" s="4"/>
      <c r="DK54" s="4"/>
      <c r="DL54" s="212"/>
      <c r="DM54" s="11"/>
      <c r="DN54" s="11"/>
    </row>
    <row r="55" spans="1:118" s="24" customFormat="1" ht="15" hidden="1" customHeight="1" x14ac:dyDescent="0.2">
      <c r="B55" s="22"/>
      <c r="C55" s="22"/>
      <c r="D55" s="22"/>
      <c r="E55" s="22"/>
      <c r="F55" s="26" t="s">
        <v>89</v>
      </c>
      <c r="G55" s="24" t="str">
        <f>IF(AND($BD16&lt;&gt;"H",$BD16&lt;&gt;"V"),"",IF(G16=$BD16,1,0))</f>
        <v/>
      </c>
      <c r="K55" s="24" t="str">
        <f>IF(AND($BD16&lt;&gt;"H",$BD16&lt;&gt;"V"),"",IF(K16=$BD16,1,0))</f>
        <v/>
      </c>
      <c r="O55" s="24" t="str">
        <f>IF(AND($BD16&lt;&gt;"H",$BD16&lt;&gt;"V"),"",IF(O16=$BD16,1,0))</f>
        <v/>
      </c>
      <c r="S55" s="24" t="str">
        <f>IF(AND($BD16&lt;&gt;"H",$BD16&lt;&gt;"V"),"",IF(S16=$BD16,1,0))</f>
        <v/>
      </c>
      <c r="W55" s="24" t="str">
        <f>IF(AND($BD16&lt;&gt;"H",$BD16&lt;&gt;"V"),"",IF(W16=$BD16,1,0))</f>
        <v/>
      </c>
      <c r="AA55" s="24" t="str">
        <f>IF(AND($BD16&lt;&gt;"H",$BD16&lt;&gt;"V"),"",IF(AA16=$BD16,1,0))</f>
        <v/>
      </c>
      <c r="AE55" s="24" t="str">
        <f>IF(AND($BD16&lt;&gt;"H",$BD16&lt;&gt;"V"),"",IF(AE16=$BD16,1,0))</f>
        <v/>
      </c>
      <c r="AI55" s="24" t="str">
        <f>IF(AND($BD16&lt;&gt;"H",$BD16&lt;&gt;"V"),"",IF(AI16=$BD16,1,0))</f>
        <v/>
      </c>
      <c r="AM55" s="24" t="str">
        <f>IF(AND($BD16&lt;&gt;"H",$BD16&lt;&gt;"V"),"",IF(AM16=$BD16,1,0))</f>
        <v/>
      </c>
      <c r="AQ55" s="24" t="str">
        <f>IF(AND($BD16&lt;&gt;"H",$BD16&lt;&gt;"V"),"",IF(AQ16=$BD16,1,0))</f>
        <v/>
      </c>
      <c r="AU55" s="24" t="str">
        <f>IF(AND($BD16&lt;&gt;"H",$BD16&lt;&gt;"V"),"",IF(AU16=$BD16,1,0))</f>
        <v/>
      </c>
      <c r="AY55" s="24" t="str">
        <f>IF(AND($BD16&lt;&gt;"H",$BD16&lt;&gt;"V"),"",IF(AY16=$BD16,1,0))</f>
        <v/>
      </c>
      <c r="BC55" s="6"/>
      <c r="BD55" s="6"/>
      <c r="BE55" s="6"/>
      <c r="BF55" s="6"/>
      <c r="BG55" s="6"/>
      <c r="BH55" s="7"/>
      <c r="BI55" s="24" t="str">
        <f>IF(AND($BD16&lt;&gt;"H",$BD16&lt;&gt;"V"),"",IF(BI16=$BD16,1,0))</f>
        <v/>
      </c>
      <c r="BM55" s="6"/>
      <c r="BN55" s="27"/>
      <c r="BO55" s="4"/>
      <c r="BP55" s="8"/>
      <c r="BQ55" s="6"/>
      <c r="BR55" s="6"/>
      <c r="BS55" s="6"/>
      <c r="BT55" s="6"/>
      <c r="BU55" s="6"/>
      <c r="BV55" s="6"/>
      <c r="BW55" s="6"/>
      <c r="BX55" s="6"/>
      <c r="BY55" s="6"/>
      <c r="BZ55" s="6"/>
      <c r="CA55" s="6"/>
      <c r="CB55" s="4"/>
      <c r="CC55" s="4"/>
      <c r="CD55" s="4"/>
      <c r="CE55" s="4"/>
      <c r="CF55" s="4"/>
      <c r="CG55" s="4"/>
      <c r="CH55" s="4"/>
      <c r="CI55" s="4"/>
      <c r="CJ55" s="4"/>
      <c r="CK55" s="4"/>
      <c r="CL55" s="4"/>
      <c r="CM55" s="4"/>
      <c r="CN55" s="4"/>
      <c r="CO55" s="4"/>
      <c r="CP55" s="4"/>
      <c r="CQ55" s="4"/>
      <c r="CR55" s="4"/>
      <c r="CS55" s="4"/>
      <c r="CT55" s="4"/>
      <c r="DK55" s="4"/>
      <c r="DL55" s="211" t="s">
        <v>30</v>
      </c>
      <c r="DM55" s="11"/>
      <c r="DN55" s="11"/>
    </row>
    <row r="56" spans="1:118" ht="15" hidden="1" customHeight="1" x14ac:dyDescent="0.2">
      <c r="F56" s="26" t="s">
        <v>90</v>
      </c>
      <c r="G56" s="24" t="str">
        <f>IF(AND($BD17&lt;&gt;"H",$BD17&lt;&gt;"V"),"",IF(G17=$BD17,1,0))</f>
        <v/>
      </c>
      <c r="K56" s="24" t="str">
        <f>IF(AND($BD17&lt;&gt;"H",$BD17&lt;&gt;"V"),"",IF(K17=$BD17,1,0))</f>
        <v/>
      </c>
      <c r="O56" s="24" t="str">
        <f>IF(AND($BD17&lt;&gt;"H",$BD17&lt;&gt;"V"),"",IF(O17=$BD17,1,0))</f>
        <v/>
      </c>
      <c r="S56" s="24" t="str">
        <f>IF(AND($BD17&lt;&gt;"H",$BD17&lt;&gt;"V"),"",IF(S17=$BD17,1,0))</f>
        <v/>
      </c>
      <c r="W56" s="24" t="str">
        <f>IF(AND($BD17&lt;&gt;"H",$BD17&lt;&gt;"V"),"",IF(W17=$BD17,1,0))</f>
        <v/>
      </c>
      <c r="AA56" s="24" t="str">
        <f>IF(AND($BD17&lt;&gt;"H",$BD17&lt;&gt;"V"),"",IF(AA17=$BD17,1,0))</f>
        <v/>
      </c>
      <c r="AE56" s="24" t="str">
        <f>IF(AND($BD17&lt;&gt;"H",$BD17&lt;&gt;"V"),"",IF(AE17=$BD17,1,0))</f>
        <v/>
      </c>
      <c r="AI56" s="24" t="str">
        <f>IF(AND($BD17&lt;&gt;"H",$BD17&lt;&gt;"V"),"",IF(AI17=$BD17,1,0))</f>
        <v/>
      </c>
      <c r="AM56" s="24" t="str">
        <f>IF(AND($BD17&lt;&gt;"H",$BD17&lt;&gt;"V"),"",IF(AM17=$BD17,1,0))</f>
        <v/>
      </c>
      <c r="AQ56" s="24" t="str">
        <f>IF(AND($BD17&lt;&gt;"H",$BD17&lt;&gt;"V"),"",IF(AQ17=$BD17,1,0))</f>
        <v/>
      </c>
      <c r="AU56" s="24" t="str">
        <f>IF(AND($BD17&lt;&gt;"H",$BD17&lt;&gt;"V"),"",IF(AU17=$BD17,1,0))</f>
        <v/>
      </c>
      <c r="AY56" s="24" t="str">
        <f>IF(AND($BD17&lt;&gt;"H",$BD17&lt;&gt;"V"),"",IF(AY17=$BD17,1,0))</f>
        <v/>
      </c>
      <c r="BH56" s="7"/>
      <c r="BI56" s="24" t="str">
        <f>IF(AND($BD17&lt;&gt;"H",$BD17&lt;&gt;"V"),"",IF(BI17=$BD17,1,0))</f>
        <v/>
      </c>
      <c r="BN56" s="27"/>
      <c r="CB56" s="4"/>
      <c r="CD56" s="4"/>
      <c r="CE56" s="4"/>
      <c r="CF56" s="4"/>
      <c r="CG56" s="4"/>
      <c r="CH56" s="4"/>
      <c r="CI56" s="4"/>
      <c r="CJ56" s="4"/>
      <c r="CK56" s="4"/>
      <c r="CL56" s="4"/>
      <c r="CM56" s="4"/>
      <c r="CN56" s="4"/>
      <c r="CO56" s="4"/>
      <c r="CP56" s="4"/>
      <c r="CQ56" s="4"/>
      <c r="CR56" s="4"/>
      <c r="CS56" s="4"/>
      <c r="CT56" s="4"/>
      <c r="DK56" s="4"/>
      <c r="DL56" s="211" t="str">
        <f>CONCATENATE($DM$5,$K$5,$DN$5)</f>
        <v xml:space="preserve">   "H",</v>
      </c>
      <c r="DM56" s="11"/>
      <c r="DN56" s="11"/>
    </row>
    <row r="57" spans="1:118" ht="15" hidden="1" customHeight="1" x14ac:dyDescent="0.2">
      <c r="F57" s="26" t="s">
        <v>91</v>
      </c>
      <c r="G57" s="24" t="str">
        <f>IF(AND($BD18&lt;&gt;"H",$BD18&lt;&gt;"V"),"",IF(G18=$BD18,1,0))</f>
        <v/>
      </c>
      <c r="K57" s="24" t="str">
        <f>IF(AND($BD18&lt;&gt;"H",$BD18&lt;&gt;"V"),"",IF(K18=$BD18,1,0))</f>
        <v/>
      </c>
      <c r="O57" s="24" t="str">
        <f>IF(AND($BD18&lt;&gt;"H",$BD18&lt;&gt;"V"),"",IF(O18=$BD18,1,0))</f>
        <v/>
      </c>
      <c r="S57" s="24" t="str">
        <f>IF(AND($BD18&lt;&gt;"H",$BD18&lt;&gt;"V"),"",IF(S18=$BD18,1,0))</f>
        <v/>
      </c>
      <c r="W57" s="24" t="str">
        <f>IF(AND($BD18&lt;&gt;"H",$BD18&lt;&gt;"V"),"",IF(W18=$BD18,1,0))</f>
        <v/>
      </c>
      <c r="AA57" s="24" t="str">
        <f>IF(AND($BD18&lt;&gt;"H",$BD18&lt;&gt;"V"),"",IF(AA18=$BD18,1,0))</f>
        <v/>
      </c>
      <c r="AE57" s="24" t="str">
        <f>IF(AND($BD18&lt;&gt;"H",$BD18&lt;&gt;"V"),"",IF(AE18=$BD18,1,0))</f>
        <v/>
      </c>
      <c r="AI57" s="24" t="str">
        <f>IF(AND($BD18&lt;&gt;"H",$BD18&lt;&gt;"V"),"",IF(AI18=$BD18,1,0))</f>
        <v/>
      </c>
      <c r="AM57" s="24" t="str">
        <f>IF(AND($BD18&lt;&gt;"H",$BD18&lt;&gt;"V"),"",IF(AM18=$BD18,1,0))</f>
        <v/>
      </c>
      <c r="AQ57" s="24" t="str">
        <f>IF(AND($BD18&lt;&gt;"H",$BD18&lt;&gt;"V"),"",IF(AQ18=$BD18,1,0))</f>
        <v/>
      </c>
      <c r="AU57" s="24" t="str">
        <f>IF(AND($BD18&lt;&gt;"H",$BD18&lt;&gt;"V"),"",IF(AU18=$BD18,1,0))</f>
        <v/>
      </c>
      <c r="AY57" s="24" t="str">
        <f>IF(AND($BD18&lt;&gt;"H",$BD18&lt;&gt;"V"),"",IF(AY18=$BD18,1,0))</f>
        <v/>
      </c>
      <c r="BH57" s="7"/>
      <c r="BI57" s="24" t="str">
        <f>IF(AND($BD18&lt;&gt;"H",$BD18&lt;&gt;"V"),"",IF(BI18=$BD18,1,0))</f>
        <v/>
      </c>
      <c r="BN57" s="27"/>
      <c r="CB57" s="4"/>
      <c r="CD57" s="4"/>
      <c r="CE57" s="4"/>
      <c r="CF57" s="4"/>
      <c r="CG57" s="4"/>
      <c r="CH57" s="4"/>
      <c r="CI57" s="4"/>
      <c r="CJ57" s="4"/>
      <c r="CK57" s="4"/>
      <c r="CL57" s="4"/>
      <c r="CM57" s="4"/>
      <c r="CN57" s="4"/>
      <c r="CO57" s="4"/>
      <c r="CP57" s="4"/>
      <c r="CQ57" s="4"/>
      <c r="CR57" s="4"/>
      <c r="CS57" s="4"/>
      <c r="CT57" s="4"/>
      <c r="DK57" s="4"/>
      <c r="DL57" s="211" t="str">
        <f>CONCATENATE($DM$5,$K$6,$DN$5)</f>
        <v xml:space="preserve">   "H",</v>
      </c>
      <c r="DM57" s="11"/>
      <c r="DN57" s="11"/>
    </row>
    <row r="58" spans="1:118" ht="15" hidden="1" customHeight="1" x14ac:dyDescent="0.2">
      <c r="F58" s="26" t="s">
        <v>92</v>
      </c>
      <c r="G58" s="24" t="str">
        <f>IF(AND($BD23&lt;&gt;"H",$BD23&lt;&gt;"V"),"",IF(G23=$BD23,1,0))</f>
        <v/>
      </c>
      <c r="K58" s="24" t="str">
        <f>IF(AND($BD23&lt;&gt;"H",$BD23&lt;&gt;"V"),"",IF(K23=$BD23,1,0))</f>
        <v/>
      </c>
      <c r="O58" s="24" t="str">
        <f>IF(AND($BD23&lt;&gt;"H",$BD23&lt;&gt;"V"),"",IF(O23=$BD23,1,0))</f>
        <v/>
      </c>
      <c r="S58" s="24" t="str">
        <f>IF(AND($BD23&lt;&gt;"H",$BD23&lt;&gt;"V"),"",IF(S23=$BD23,1,0))</f>
        <v/>
      </c>
      <c r="W58" s="24" t="str">
        <f>IF(AND($BD23&lt;&gt;"H",$BD23&lt;&gt;"V"),"",IF(W23=$BD23,1,0))</f>
        <v/>
      </c>
      <c r="AA58" s="24" t="str">
        <f>IF(AND($BD23&lt;&gt;"H",$BD23&lt;&gt;"V"),"",IF(AA23=$BD23,1,0))</f>
        <v/>
      </c>
      <c r="AE58" s="24" t="str">
        <f>IF(AND($BD23&lt;&gt;"H",$BD23&lt;&gt;"V"),"",IF(AE23=$BD23,1,0))</f>
        <v/>
      </c>
      <c r="AI58" s="24" t="str">
        <f>IF(AND($BD23&lt;&gt;"H",$BD23&lt;&gt;"V"),"",IF(AI23=$BD23,1,0))</f>
        <v/>
      </c>
      <c r="AM58" s="24" t="str">
        <f>IF(AND($BD23&lt;&gt;"H",$BD23&lt;&gt;"V"),"",IF(AM23=$BD23,1,0))</f>
        <v/>
      </c>
      <c r="AQ58" s="24" t="str">
        <f>IF(AND($BD23&lt;&gt;"H",$BD23&lt;&gt;"V"),"",IF(AQ23=$BD23,1,0))</f>
        <v/>
      </c>
      <c r="AU58" s="24" t="str">
        <f>IF(AND($BD23&lt;&gt;"H",$BD23&lt;&gt;"V"),"",IF(AU23=$BD23,1,0))</f>
        <v/>
      </c>
      <c r="AY58" s="24" t="str">
        <f>IF(AND($BD23&lt;&gt;"H",$BD23&lt;&gt;"V"),"",IF(AY23=$BD23,1,0))</f>
        <v/>
      </c>
      <c r="BH58" s="7"/>
      <c r="BI58" s="24" t="str">
        <f>IF(AND($BD23&lt;&gt;"H",$BD23&lt;&gt;"V"),"",IF(BI23=$BD23,1,0))</f>
        <v/>
      </c>
      <c r="BN58" s="27"/>
      <c r="CB58" s="4"/>
      <c r="CD58" s="4"/>
      <c r="CE58" s="4"/>
      <c r="CF58" s="4"/>
      <c r="CG58" s="4"/>
      <c r="CH58" s="4"/>
      <c r="CI58" s="4"/>
      <c r="CJ58" s="4"/>
      <c r="CK58" s="4"/>
      <c r="CL58" s="4"/>
      <c r="CM58" s="4"/>
      <c r="CN58" s="4"/>
      <c r="CO58" s="4"/>
      <c r="CP58" s="4"/>
      <c r="CQ58" s="4"/>
      <c r="CR58" s="4"/>
      <c r="CS58" s="4"/>
      <c r="CT58" s="4"/>
      <c r="DK58" s="4"/>
      <c r="DL58" s="211" t="str">
        <f>CONCATENATE($DM$5,$K$7,$DN$5)</f>
        <v xml:space="preserve">   "H",</v>
      </c>
      <c r="DM58" s="11"/>
      <c r="DN58" s="11"/>
    </row>
    <row r="59" spans="1:118" ht="15" hidden="1" customHeight="1" x14ac:dyDescent="0.2">
      <c r="F59" s="26" t="s">
        <v>93</v>
      </c>
      <c r="G59" s="24" t="str">
        <f>IF(AND($BD24&lt;&gt;"H",$BD24&lt;&gt;"V"),"",IF(G24=$BD24,1,0))</f>
        <v/>
      </c>
      <c r="K59" s="24" t="str">
        <f>IF(AND($BD24&lt;&gt;"H",$BD24&lt;&gt;"V"),"",IF(K24=$BD24,1,0))</f>
        <v/>
      </c>
      <c r="O59" s="24" t="str">
        <f>IF(AND($BD24&lt;&gt;"H",$BD24&lt;&gt;"V"),"",IF(O24=$BD24,1,0))</f>
        <v/>
      </c>
      <c r="S59" s="24" t="str">
        <f>IF(AND($BD24&lt;&gt;"H",$BD24&lt;&gt;"V"),"",IF(S24=$BD24,1,0))</f>
        <v/>
      </c>
      <c r="W59" s="24" t="str">
        <f>IF(AND($BD24&lt;&gt;"H",$BD24&lt;&gt;"V"),"",IF(W24=$BD24,1,0))</f>
        <v/>
      </c>
      <c r="AA59" s="24" t="str">
        <f>IF(AND($BD24&lt;&gt;"H",$BD24&lt;&gt;"V"),"",IF(AA24=$BD24,1,0))</f>
        <v/>
      </c>
      <c r="AE59" s="24" t="str">
        <f>IF(AND($BD24&lt;&gt;"H",$BD24&lt;&gt;"V"),"",IF(AE24=$BD24,1,0))</f>
        <v/>
      </c>
      <c r="AI59" s="24" t="str">
        <f>IF(AND($BD24&lt;&gt;"H",$BD24&lt;&gt;"V"),"",IF(AI24=$BD24,1,0))</f>
        <v/>
      </c>
      <c r="AM59" s="24" t="str">
        <f>IF(AND($BD24&lt;&gt;"H",$BD24&lt;&gt;"V"),"",IF(AM24=$BD24,1,0))</f>
        <v/>
      </c>
      <c r="AQ59" s="24" t="str">
        <f>IF(AND($BD24&lt;&gt;"H",$BD24&lt;&gt;"V"),"",IF(AQ24=$BD24,1,0))</f>
        <v/>
      </c>
      <c r="AU59" s="24" t="str">
        <f>IF(AND($BD24&lt;&gt;"H",$BD24&lt;&gt;"V"),"",IF(AU24=$BD24,1,0))</f>
        <v/>
      </c>
      <c r="AY59" s="24" t="str">
        <f>IF(AND($BD24&lt;&gt;"H",$BD24&lt;&gt;"V"),"",IF(AY24=$BD24,1,0))</f>
        <v/>
      </c>
      <c r="BH59" s="7"/>
      <c r="BI59" s="24" t="str">
        <f>IF(AND($BD24&lt;&gt;"H",$BD24&lt;&gt;"V"),"",IF(BI24=$BD24,1,0))</f>
        <v/>
      </c>
      <c r="BN59" s="27"/>
      <c r="CB59" s="4"/>
      <c r="CD59" s="4"/>
      <c r="CE59" s="4"/>
      <c r="CF59" s="4"/>
      <c r="CG59" s="4"/>
      <c r="CH59" s="4"/>
      <c r="CI59" s="4"/>
      <c r="CJ59" s="4"/>
      <c r="CK59" s="4"/>
      <c r="CL59" s="4"/>
      <c r="CM59" s="4"/>
      <c r="CN59" s="4"/>
      <c r="CO59" s="4"/>
      <c r="CP59" s="4"/>
      <c r="CQ59" s="4"/>
      <c r="CR59" s="4"/>
      <c r="CS59" s="4"/>
      <c r="CT59" s="4"/>
      <c r="DK59" s="4"/>
      <c r="DL59" s="211" t="str">
        <f>CONCATENATE($DM$5,$K$8,$DN$5)</f>
        <v xml:space="preserve">   "V",</v>
      </c>
      <c r="DM59" s="11"/>
      <c r="DN59" s="11"/>
    </row>
    <row r="60" spans="1:118" ht="15" hidden="1" customHeight="1" x14ac:dyDescent="0.2">
      <c r="F60" s="26" t="s">
        <v>94</v>
      </c>
      <c r="G60" s="24" t="str">
        <f>IF(AND($BD29&lt;&gt;"H",$BD29&lt;&gt;"V"),"",IF(G29=$BD29,1,0))</f>
        <v/>
      </c>
      <c r="K60" s="24" t="str">
        <f>IF(AND($BD29&lt;&gt;"H",$BD29&lt;&gt;"V"),"",IF(K29=$BD29,1,0))</f>
        <v/>
      </c>
      <c r="O60" s="24" t="str">
        <f>IF(AND($BD29&lt;&gt;"H",$BD29&lt;&gt;"V"),"",IF(O29=$BD29,1,0))</f>
        <v/>
      </c>
      <c r="S60" s="24" t="str">
        <f>IF(AND($BD29&lt;&gt;"H",$BD29&lt;&gt;"V"),"",IF(S29=$BD29,1,0))</f>
        <v/>
      </c>
      <c r="W60" s="24" t="str">
        <f>IF(AND($BD29&lt;&gt;"H",$BD29&lt;&gt;"V"),"",IF(W29=$BD29,1,0))</f>
        <v/>
      </c>
      <c r="AA60" s="24" t="str">
        <f>IF(AND($BD29&lt;&gt;"H",$BD29&lt;&gt;"V"),"",IF(AA29=$BD29,1,0))</f>
        <v/>
      </c>
      <c r="AE60" s="24" t="str">
        <f>IF(AND($BD29&lt;&gt;"H",$BD29&lt;&gt;"V"),"",IF(AE29=$BD29,1,0))</f>
        <v/>
      </c>
      <c r="AI60" s="24" t="str">
        <f>IF(AND($BD29&lt;&gt;"H",$BD29&lt;&gt;"V"),"",IF(AI29=$BD29,1,0))</f>
        <v/>
      </c>
      <c r="AM60" s="24" t="str">
        <f>IF(AND($BD29&lt;&gt;"H",$BD29&lt;&gt;"V"),"",IF(AM29=$BD29,1,0))</f>
        <v/>
      </c>
      <c r="AQ60" s="24" t="str">
        <f>IF(AND($BD29&lt;&gt;"H",$BD29&lt;&gt;"V"),"",IF(AQ29=$BD29,1,0))</f>
        <v/>
      </c>
      <c r="AU60" s="24" t="str">
        <f>IF(AND($BD29&lt;&gt;"H",$BD29&lt;&gt;"V"),"",IF(AU29=$BD29,1,0))</f>
        <v/>
      </c>
      <c r="AY60" s="24" t="str">
        <f>IF(AND($BD29&lt;&gt;"H",$BD29&lt;&gt;"V"),"",IF(AY29=$BD29,1,0))</f>
        <v/>
      </c>
      <c r="BH60" s="7"/>
      <c r="BI60" s="24" t="str">
        <f>IF(AND($BD29&lt;&gt;"H",$BD29&lt;&gt;"V"),"",IF(BI29=$BD29,1,0))</f>
        <v/>
      </c>
      <c r="BN60" s="27"/>
      <c r="CB60" s="4"/>
      <c r="CD60" s="4"/>
      <c r="CE60" s="4"/>
      <c r="CF60" s="4"/>
      <c r="CG60" s="4"/>
      <c r="CH60" s="4"/>
      <c r="CI60" s="4"/>
      <c r="CJ60" s="4"/>
      <c r="CK60" s="4"/>
      <c r="CL60" s="4"/>
      <c r="CM60" s="4"/>
      <c r="CN60" s="4"/>
      <c r="CO60" s="4"/>
      <c r="CP60" s="4"/>
      <c r="CQ60" s="4"/>
      <c r="CR60" s="4"/>
      <c r="CS60" s="4"/>
      <c r="CT60" s="4"/>
      <c r="DK60" s="4"/>
      <c r="DL60" s="211" t="str">
        <f>CONCATENATE($DM$5,$K$9,$DN$5)</f>
        <v xml:space="preserve">   "H",</v>
      </c>
      <c r="DM60" s="11"/>
      <c r="DN60" s="11"/>
    </row>
    <row r="61" spans="1:118" ht="15" hidden="1" customHeight="1" x14ac:dyDescent="0.2">
      <c r="F61" s="26" t="s">
        <v>113</v>
      </c>
      <c r="G61" s="29"/>
      <c r="H61" s="29"/>
      <c r="I61" s="29"/>
      <c r="J61" s="29">
        <f>IF(J62="",999,IF(J62&lt;0,ABS(J62)+0.1,ABS(J62)))</f>
        <v>999</v>
      </c>
      <c r="K61" s="29"/>
      <c r="L61" s="29"/>
      <c r="M61" s="29"/>
      <c r="N61" s="29">
        <f>IF(N62="",999,IF(N62&lt;0,ABS(N62)+0.1,ABS(N62)))</f>
        <v>999</v>
      </c>
      <c r="O61" s="29"/>
      <c r="P61" s="29"/>
      <c r="Q61" s="29"/>
      <c r="R61" s="29">
        <f>IF(R62="",999,IF(R62&lt;0,ABS(R62)+0.1,ABS(R62)))</f>
        <v>999</v>
      </c>
      <c r="S61" s="29"/>
      <c r="T61" s="29"/>
      <c r="U61" s="29"/>
      <c r="V61" s="29">
        <f>IF(V62="",999,IF(V62&lt;0,ABS(V62)+0.1,ABS(V62)))</f>
        <v>999</v>
      </c>
      <c r="W61" s="29"/>
      <c r="X61" s="29"/>
      <c r="Y61" s="29"/>
      <c r="Z61" s="29">
        <f>IF(Z62="",999,IF(Z62&lt;0,ABS(Z62)+0.1,ABS(Z62)))</f>
        <v>999</v>
      </c>
      <c r="AA61" s="29"/>
      <c r="AB61" s="29"/>
      <c r="AC61" s="29"/>
      <c r="AD61" s="29">
        <f>IF(AD62="",999,IF(AD62&lt;0,ABS(AD62)+0.1,ABS(AD62)))</f>
        <v>999</v>
      </c>
      <c r="AE61" s="29"/>
      <c r="AF61" s="29"/>
      <c r="AG61" s="29"/>
      <c r="AH61" s="29">
        <f>IF(AH62="",999,IF(AH62&lt;0,ABS(AH62)+0.1,ABS(AH62)))</f>
        <v>999</v>
      </c>
      <c r="AI61" s="29"/>
      <c r="AJ61" s="29"/>
      <c r="AK61" s="29"/>
      <c r="AL61" s="29">
        <f>IF(AL62="",999,IF(AL62&lt;0,ABS(AL62)+0.1,ABS(AL62)))</f>
        <v>999</v>
      </c>
      <c r="AM61" s="29"/>
      <c r="AN61" s="29"/>
      <c r="AO61" s="29"/>
      <c r="AP61" s="29">
        <f>IF(AP62="",999,IF(AP62&lt;0,ABS(AP62)+0.1,ABS(AP62)))</f>
        <v>999</v>
      </c>
      <c r="AQ61" s="29"/>
      <c r="AR61" s="29"/>
      <c r="AS61" s="29"/>
      <c r="AT61" s="29">
        <f>IF(AT62="",999,IF(AT62&lt;0,ABS(AT62)+0.1,ABS(AT62)))</f>
        <v>999</v>
      </c>
      <c r="AU61" s="29"/>
      <c r="AV61" s="29"/>
      <c r="AW61" s="29"/>
      <c r="AX61" s="29">
        <f>IF(AX62="",999,IF(AX62&lt;0,ABS(AX62)+0.1,ABS(AX62)))</f>
        <v>999</v>
      </c>
      <c r="AY61" s="29"/>
      <c r="AZ61" s="29"/>
      <c r="BA61" s="29"/>
      <c r="BB61" s="29">
        <f>IF(BB62="",999,IF(BB62&lt;0,ABS(BB62)+0.1,ABS(BB62)))</f>
        <v>999</v>
      </c>
      <c r="BH61" s="7"/>
      <c r="BN61" s="27"/>
      <c r="CB61" s="4"/>
      <c r="CD61" s="4"/>
      <c r="CE61" s="4"/>
      <c r="CF61" s="4"/>
      <c r="CG61" s="4"/>
      <c r="CH61" s="4"/>
      <c r="CI61" s="4"/>
      <c r="CJ61" s="4"/>
      <c r="CK61" s="4"/>
      <c r="CL61" s="4"/>
      <c r="CM61" s="4"/>
      <c r="CN61" s="4"/>
      <c r="CO61" s="4"/>
      <c r="CP61" s="4"/>
      <c r="CQ61" s="4"/>
      <c r="CR61" s="4"/>
      <c r="CS61" s="4"/>
      <c r="CT61" s="4"/>
      <c r="DK61" s="4"/>
      <c r="DL61" s="211" t="str">
        <f>CONCATENATE($DM$5,$K$10,$DN$5)</f>
        <v xml:space="preserve">   "H",</v>
      </c>
      <c r="DM61" s="11"/>
      <c r="DN61" s="11"/>
    </row>
    <row r="62" spans="1:118" ht="15" hidden="1" customHeight="1" x14ac:dyDescent="0.2">
      <c r="F62" s="26"/>
      <c r="G62" s="29"/>
      <c r="H62" s="29"/>
      <c r="I62" s="29"/>
      <c r="J62" s="29" t="str">
        <f>IF(OR($F11="",I11="",J12=""),"",IF(AND(COUNTIF($J39:$BB39,J39)&gt;1,RANK(J39,$J39:$BB39,1)=1),$F11-I11,""))</f>
        <v/>
      </c>
      <c r="K62" s="29"/>
      <c r="L62" s="29"/>
      <c r="M62" s="29"/>
      <c r="N62" s="29" t="str">
        <f>IF(OR($F11="",M11="",N12=""),"",IF(AND(COUNTIF($J39:$BB39,N39)&gt;1,RANK(N39,$J39:$BB39,1)=1),$F11-M11,""))</f>
        <v/>
      </c>
      <c r="O62" s="29"/>
      <c r="P62" s="29"/>
      <c r="Q62" s="29"/>
      <c r="R62" s="29" t="str">
        <f>IF(OR($F11="",Q11="",R12=""),"",IF(AND(COUNTIF($J39:$BB39,R39)&gt;1,RANK(R39,$J39:$BB39,1)=1),$F11-Q11,""))</f>
        <v/>
      </c>
      <c r="S62" s="29"/>
      <c r="T62" s="29"/>
      <c r="U62" s="29"/>
      <c r="V62" s="29" t="str">
        <f>IF(OR($F11="",U11="",V12=""),"",IF(AND(COUNTIF($J39:$BB39,V39)&gt;1,RANK(V39,$J39:$BB39,1)=1),$F11-U11,""))</f>
        <v/>
      </c>
      <c r="W62" s="29"/>
      <c r="X62" s="29"/>
      <c r="Y62" s="29"/>
      <c r="Z62" s="29" t="str">
        <f>IF(OR($F11="",Y11="",Z12=""),"",IF(AND(COUNTIF($J39:$BB39,Z39)&gt;1,RANK(Z39,$J39:$BB39,1)=1),$F11-Y11,""))</f>
        <v/>
      </c>
      <c r="AA62" s="29"/>
      <c r="AB62" s="29"/>
      <c r="AC62" s="29"/>
      <c r="AD62" s="29" t="str">
        <f>IF(OR($F11="",AC11="",AD12=""),"",IF(AND(COUNTIF($J39:$BB39,AD39)&gt;1,RANK(AD39,$J39:$BB39,1)=1),$F11-AC11,""))</f>
        <v/>
      </c>
      <c r="AE62" s="29"/>
      <c r="AF62" s="29"/>
      <c r="AG62" s="29"/>
      <c r="AH62" s="29" t="str">
        <f>IF(OR($F11="",AG11="",AH12=""),"",IF(AND(COUNTIF($J39:$BB39,AH39)&gt;1,RANK(AH39,$J39:$BB39,1)=1),$F11-AG11,""))</f>
        <v/>
      </c>
      <c r="AI62" s="29"/>
      <c r="AJ62" s="29"/>
      <c r="AK62" s="29"/>
      <c r="AL62" s="29" t="str">
        <f>IF(OR($F11="",AK11="",AL12=""),"",IF(AND(COUNTIF($J39:$BB39,AL39)&gt;1,RANK(AL39,$J39:$BB39,1)=1),$F11-AK11,""))</f>
        <v/>
      </c>
      <c r="AM62" s="29"/>
      <c r="AN62" s="29"/>
      <c r="AO62" s="29"/>
      <c r="AP62" s="29" t="str">
        <f>IF(OR($F11="",AO11="",AP12=""),"",IF(AND(COUNTIF($J39:$BB39,AP39)&gt;1,RANK(AP39,$J39:$BB39,1)=1),$F11-AO11,""))</f>
        <v/>
      </c>
      <c r="AQ62" s="29"/>
      <c r="AR62" s="29"/>
      <c r="AS62" s="29"/>
      <c r="AT62" s="29" t="str">
        <f>IF(OR($F11="",AS11="",AT12=""),"",IF(AND(COUNTIF($J39:$BB39,AT39)&gt;1,RANK(AT39,$J39:$BB39,1)=1),$F11-AS11,""))</f>
        <v/>
      </c>
      <c r="AU62" s="29"/>
      <c r="AV62" s="29"/>
      <c r="AW62" s="29"/>
      <c r="AX62" s="29" t="str">
        <f>IF(OR($F11="",AW11="",AX12=""),"",IF(AND(COUNTIF($J39:$BB39,AX39)&gt;1,RANK(AX39,$J39:$BB39,1)=1),$F11-AW11,""))</f>
        <v/>
      </c>
      <c r="AY62" s="29"/>
      <c r="AZ62" s="29"/>
      <c r="BA62" s="29"/>
      <c r="BB62" s="29" t="str">
        <f>IF(OR($F11="",BA11="",BB12=""),"",IF(AND(COUNTIF($J39:$BB39,BB39)&gt;1,RANK(BB39,$J39:$BB39,1)=1),$F11-BA11,""))</f>
        <v/>
      </c>
      <c r="BH62" s="7"/>
      <c r="BN62" s="27"/>
      <c r="CB62" s="4"/>
      <c r="CD62" s="4"/>
      <c r="CE62" s="4"/>
      <c r="CF62" s="4"/>
      <c r="CG62" s="4"/>
      <c r="CH62" s="4"/>
      <c r="CI62" s="4"/>
      <c r="CJ62" s="4"/>
      <c r="CK62" s="4"/>
      <c r="CL62" s="4"/>
      <c r="CM62" s="4"/>
      <c r="CN62" s="4"/>
      <c r="CO62" s="4"/>
      <c r="CP62" s="4"/>
      <c r="CQ62" s="4"/>
      <c r="CR62" s="4"/>
      <c r="CS62" s="4"/>
      <c r="CT62" s="4"/>
      <c r="DK62" s="4"/>
      <c r="DL62" s="211" t="str">
        <f>CONCATENATE($DM$5,$K$15,$DN$5)</f>
        <v xml:space="preserve">   "",</v>
      </c>
      <c r="DM62" s="11"/>
      <c r="DN62" s="11"/>
    </row>
    <row r="63" spans="1:118" ht="15" hidden="1" customHeight="1" x14ac:dyDescent="0.2">
      <c r="F63" s="26" t="s">
        <v>114</v>
      </c>
      <c r="G63" s="29"/>
      <c r="H63" s="29"/>
      <c r="I63" s="29"/>
      <c r="J63" s="29">
        <f>IF(J64="",999,IF(J64&lt;0,ABS(J64)+0.1,ABS(J64)))</f>
        <v>999</v>
      </c>
      <c r="K63" s="29"/>
      <c r="L63" s="29"/>
      <c r="M63" s="29"/>
      <c r="N63" s="29">
        <f>IF(N64="",999,IF(N64&lt;0,ABS(N64)+0.1,ABS(N64)))</f>
        <v>999</v>
      </c>
      <c r="O63" s="29"/>
      <c r="P63" s="29"/>
      <c r="Q63" s="29"/>
      <c r="R63" s="29">
        <f>IF(R64="",999,IF(R64&lt;0,ABS(R64)+0.1,ABS(R64)))</f>
        <v>999</v>
      </c>
      <c r="S63" s="29"/>
      <c r="T63" s="29"/>
      <c r="U63" s="29"/>
      <c r="V63" s="29">
        <f>IF(V64="",999,IF(V64&lt;0,ABS(V64)+0.1,ABS(V64)))</f>
        <v>999</v>
      </c>
      <c r="W63" s="29"/>
      <c r="X63" s="29"/>
      <c r="Y63" s="29"/>
      <c r="Z63" s="29">
        <f>IF(Z64="",999,IF(Z64&lt;0,ABS(Z64)+0.1,ABS(Z64)))</f>
        <v>999</v>
      </c>
      <c r="AA63" s="29"/>
      <c r="AB63" s="29"/>
      <c r="AC63" s="29"/>
      <c r="AD63" s="29">
        <f>IF(AD64="",999,IF(AD64&lt;0,ABS(AD64)+0.1,ABS(AD64)))</f>
        <v>999</v>
      </c>
      <c r="AE63" s="29"/>
      <c r="AF63" s="29"/>
      <c r="AG63" s="29"/>
      <c r="AH63" s="29">
        <f>IF(AH64="",999,IF(AH64&lt;0,ABS(AH64)+0.1,ABS(AH64)))</f>
        <v>999</v>
      </c>
      <c r="AI63" s="29"/>
      <c r="AJ63" s="29"/>
      <c r="AK63" s="29"/>
      <c r="AL63" s="29">
        <f>IF(AL64="",999,IF(AL64&lt;0,ABS(AL64)+0.1,ABS(AL64)))</f>
        <v>999</v>
      </c>
      <c r="AM63" s="29"/>
      <c r="AN63" s="29"/>
      <c r="AO63" s="29"/>
      <c r="AP63" s="29">
        <f>IF(AP64="",999,IF(AP64&lt;0,ABS(AP64)+0.1,ABS(AP64)))</f>
        <v>999</v>
      </c>
      <c r="AQ63" s="29"/>
      <c r="AR63" s="29"/>
      <c r="AS63" s="29"/>
      <c r="AT63" s="29">
        <f>IF(AT64="",999,IF(AT64&lt;0,ABS(AT64)+0.1,ABS(AT64)))</f>
        <v>999</v>
      </c>
      <c r="AU63" s="29"/>
      <c r="AV63" s="29"/>
      <c r="AW63" s="29"/>
      <c r="AX63" s="29">
        <f>IF(AX64="",999,IF(AX64&lt;0,ABS(AX64)+0.1,ABS(AX64)))</f>
        <v>999</v>
      </c>
      <c r="AY63" s="29"/>
      <c r="AZ63" s="29"/>
      <c r="BA63" s="29"/>
      <c r="BB63" s="29">
        <f>IF(BB64="",999,IF(BB64&lt;0,ABS(BB64)+0.1,ABS(BB64)))</f>
        <v>999</v>
      </c>
      <c r="BH63" s="7"/>
      <c r="BN63" s="27"/>
      <c r="CB63" s="4"/>
      <c r="CD63" s="4"/>
      <c r="CE63" s="4"/>
      <c r="CF63" s="4"/>
      <c r="CG63" s="4"/>
      <c r="CH63" s="4"/>
      <c r="CI63" s="4"/>
      <c r="CJ63" s="4"/>
      <c r="CK63" s="4"/>
      <c r="CL63" s="4"/>
      <c r="CM63" s="4"/>
      <c r="CN63" s="4"/>
      <c r="CO63" s="4"/>
      <c r="CP63" s="4"/>
      <c r="CQ63" s="4"/>
      <c r="CR63" s="4"/>
      <c r="CS63" s="4"/>
      <c r="CT63" s="4"/>
      <c r="DK63" s="4"/>
      <c r="DL63" s="211" t="str">
        <f>CONCATENATE($DM$5,$K$16,$DN$5)</f>
        <v xml:space="preserve">   "",</v>
      </c>
      <c r="DM63" s="11"/>
      <c r="DN63" s="11"/>
    </row>
    <row r="64" spans="1:118" ht="15" hidden="1" customHeight="1" x14ac:dyDescent="0.2">
      <c r="F64" s="26"/>
      <c r="G64" s="29"/>
      <c r="H64" s="29"/>
      <c r="I64" s="29"/>
      <c r="J64" s="29" t="str">
        <f>IF(OR($F19="",I19="",J20=""),"",IF(AND(COUNTIF($J41:$BB41,J41)&gt;1,RANK(J41,$J41:$BB41,1)=1),$F19-I19,""))</f>
        <v/>
      </c>
      <c r="K64" s="29"/>
      <c r="L64" s="29"/>
      <c r="M64" s="29"/>
      <c r="N64" s="29" t="str">
        <f>IF(OR($F19="",M19="",N20=""),"",IF(AND(COUNTIF($J41:$BB41,N41)&gt;1,RANK(N41,$J41:$BB41,1)=1),$F19-M19,""))</f>
        <v/>
      </c>
      <c r="O64" s="29"/>
      <c r="P64" s="29"/>
      <c r="Q64" s="29"/>
      <c r="R64" s="29" t="str">
        <f>IF(OR($F19="",Q19="",R20=""),"",IF(AND(COUNTIF($J41:$BB41,R41)&gt;1,RANK(R41,$J41:$BB41,1)=1),$F19-Q19,""))</f>
        <v/>
      </c>
      <c r="S64" s="29"/>
      <c r="T64" s="29"/>
      <c r="U64" s="29"/>
      <c r="V64" s="29" t="str">
        <f>IF(OR($F19="",U19="",V20=""),"",IF(AND(COUNTIF($J41:$BB41,V41)&gt;1,RANK(V41,$J41:$BB41,1)=1),$F19-U19,""))</f>
        <v/>
      </c>
      <c r="W64" s="29"/>
      <c r="X64" s="29"/>
      <c r="Y64" s="29"/>
      <c r="Z64" s="29" t="str">
        <f>IF(OR($F19="",Y19="",Z20=""),"",IF(AND(COUNTIF($J41:$BB41,Z41)&gt;1,RANK(Z41,$J41:$BB41,1)=1),$F19-Y19,""))</f>
        <v/>
      </c>
      <c r="AA64" s="29"/>
      <c r="AB64" s="29"/>
      <c r="AC64" s="29"/>
      <c r="AD64" s="29" t="str">
        <f>IF(OR($F19="",AC19="",AD20=""),"",IF(AND(COUNTIF($J41:$BB41,AD41)&gt;1,RANK(AD41,$J41:$BB41,1)=1),$F19-AC19,""))</f>
        <v/>
      </c>
      <c r="AE64" s="29"/>
      <c r="AF64" s="29"/>
      <c r="AG64" s="29"/>
      <c r="AH64" s="29" t="str">
        <f>IF(OR($F19="",AG19="",AH20=""),"",IF(AND(COUNTIF($J41:$BB41,AH41)&gt;1,RANK(AH41,$J41:$BB41,1)=1),$F19-AG19,""))</f>
        <v/>
      </c>
      <c r="AI64" s="29"/>
      <c r="AJ64" s="29"/>
      <c r="AK64" s="29"/>
      <c r="AL64" s="29" t="str">
        <f>IF(OR($F19="",AK19="",AL20=""),"",IF(AND(COUNTIF($J41:$BB41,AL41)&gt;1,RANK(AL41,$J41:$BB41,1)=1),$F19-AK19,""))</f>
        <v/>
      </c>
      <c r="AM64" s="29"/>
      <c r="AN64" s="29"/>
      <c r="AO64" s="29"/>
      <c r="AP64" s="29" t="str">
        <f>IF(OR($F19="",AO19="",AP20=""),"",IF(AND(COUNTIF($J41:$BB41,AP41)&gt;1,RANK(AP41,$J41:$BB41,1)=1),$F19-AO19,""))</f>
        <v/>
      </c>
      <c r="AQ64" s="29"/>
      <c r="AR64" s="29"/>
      <c r="AS64" s="29"/>
      <c r="AT64" s="29" t="str">
        <f>IF(OR($F19="",AS19="",AT20=""),"",IF(AND(COUNTIF($J41:$BB41,AT41)&gt;1,RANK(AT41,$J41:$BB41,1)=1),$F19-AS19,""))</f>
        <v/>
      </c>
      <c r="AU64" s="29"/>
      <c r="AV64" s="29"/>
      <c r="AW64" s="29"/>
      <c r="AX64" s="29" t="str">
        <f>IF(OR($F19="",AW19="",AX20=""),"",IF(AND(COUNTIF($J41:$BB41,AX41)&gt;1,RANK(AX41,$J41:$BB41,1)=1),$F19-AW19,""))</f>
        <v/>
      </c>
      <c r="AY64" s="29"/>
      <c r="AZ64" s="29"/>
      <c r="BA64" s="29"/>
      <c r="BB64" s="29" t="str">
        <f>IF(OR($F19="",BA19="",BB20=""),"",IF(AND(COUNTIF($J41:$BB41,BB41)&gt;1,RANK(BB41,$J41:$BB41,1)=1),$F19-BA19,""))</f>
        <v/>
      </c>
      <c r="BH64" s="7"/>
      <c r="BN64" s="27"/>
      <c r="CB64" s="4"/>
      <c r="CD64" s="4"/>
      <c r="CE64" s="4"/>
      <c r="CF64" s="4"/>
      <c r="CG64" s="4"/>
      <c r="CH64" s="4"/>
      <c r="CI64" s="4"/>
      <c r="CJ64" s="4"/>
      <c r="CK64" s="4"/>
      <c r="CL64" s="4"/>
      <c r="CM64" s="4"/>
      <c r="CN64" s="4"/>
      <c r="CO64" s="4"/>
      <c r="CP64" s="4"/>
      <c r="CQ64" s="4"/>
      <c r="CR64" s="4"/>
      <c r="CS64" s="4"/>
      <c r="CT64" s="4"/>
      <c r="DK64" s="4"/>
      <c r="DL64" s="211" t="str">
        <f>CONCATENATE($DM$5,$K$17,$DN$5)</f>
        <v xml:space="preserve">   "",</v>
      </c>
      <c r="DM64" s="11"/>
      <c r="DN64" s="11"/>
    </row>
    <row r="65" spans="2:118" ht="15" hidden="1" customHeight="1" x14ac:dyDescent="0.2">
      <c r="F65" s="26" t="s">
        <v>115</v>
      </c>
      <c r="J65" s="29">
        <f>IF(J66="",999,IF(J66&lt;0,ABS(J66)+0.1,ABS(J66)))</f>
        <v>999</v>
      </c>
      <c r="N65" s="29">
        <f>IF(N66="",999,IF(N66&lt;0,ABS(N66)+0.1,ABS(N66)))</f>
        <v>999</v>
      </c>
      <c r="R65" s="29">
        <f>IF(R66="",999,IF(R66&lt;0,ABS(R66)+0.1,ABS(R66)))</f>
        <v>999</v>
      </c>
      <c r="V65" s="29">
        <f>IF(V66="",999,IF(V66&lt;0,ABS(V66)+0.1,ABS(V66)))</f>
        <v>999</v>
      </c>
      <c r="Z65" s="29">
        <f>IF(Z66="",999,IF(Z66&lt;0,ABS(Z66)+0.1,ABS(Z66)))</f>
        <v>999</v>
      </c>
      <c r="AD65" s="29">
        <f>IF(AD66="",999,IF(AD66&lt;0,ABS(AD66)+0.1,ABS(AD66)))</f>
        <v>999</v>
      </c>
      <c r="AH65" s="29">
        <f>IF(AH66="",999,IF(AH66&lt;0,ABS(AH66)+0.1,ABS(AH66)))</f>
        <v>999</v>
      </c>
      <c r="AL65" s="29">
        <f>IF(AL66="",999,IF(AL66&lt;0,ABS(AL66)+0.1,ABS(AL66)))</f>
        <v>999</v>
      </c>
      <c r="AP65" s="29">
        <f>IF(AP66="",999,IF(AP66&lt;0,ABS(AP66)+0.1,ABS(AP66)))</f>
        <v>999</v>
      </c>
      <c r="AT65" s="29">
        <f>IF(AT66="",999,IF(AT66&lt;0,ABS(AT66)+0.1,ABS(AT66)))</f>
        <v>999</v>
      </c>
      <c r="AX65" s="29">
        <f>IF(AX66="",999,IF(AX66&lt;0,ABS(AX66)+0.1,ABS(AX66)))</f>
        <v>999</v>
      </c>
      <c r="BB65" s="29">
        <f>IF(BB66="",999,IF(BB66&lt;0,ABS(BB66)+0.1,ABS(BB66)))</f>
        <v>999</v>
      </c>
      <c r="BH65" s="7"/>
      <c r="BN65" s="27"/>
      <c r="CB65" s="4"/>
      <c r="CD65" s="4"/>
      <c r="CE65" s="4"/>
      <c r="CF65" s="4"/>
      <c r="CG65" s="4"/>
      <c r="CH65" s="4"/>
      <c r="CI65" s="4"/>
      <c r="CJ65" s="4"/>
      <c r="CK65" s="4"/>
      <c r="CL65" s="4"/>
      <c r="CM65" s="4"/>
      <c r="CN65" s="4"/>
      <c r="CO65" s="4"/>
      <c r="CP65" s="4"/>
      <c r="CQ65" s="4"/>
      <c r="CR65" s="4"/>
      <c r="CS65" s="4"/>
      <c r="CT65" s="4"/>
      <c r="DK65" s="4"/>
      <c r="DL65" s="211" t="str">
        <f>CONCATENATE($DM$5,$K$18,$DN$5)</f>
        <v xml:space="preserve">   "",</v>
      </c>
      <c r="DM65" s="11"/>
      <c r="DN65" s="11"/>
    </row>
    <row r="66" spans="2:118" ht="15" hidden="1" customHeight="1" x14ac:dyDescent="0.2">
      <c r="F66" s="26"/>
      <c r="J66" s="29" t="str">
        <f>IF(OR($F25="",I25="",J26=""),"",IF(AND(COUNTIF($J43:$BB43,J43)&gt;1,RANK(J43,$J43:$BB43,1)=1),$F25-I25,""))</f>
        <v/>
      </c>
      <c r="N66" s="29" t="str">
        <f>IF(OR($F25="",M25="",N26=""),"",IF(AND(COUNTIF($J43:$BB43,N43)&gt;1,RANK(N43,$J43:$BB43,1)=1),$F25-M25,""))</f>
        <v/>
      </c>
      <c r="R66" s="29" t="str">
        <f>IF(OR($F25="",Q25="",R26=""),"",IF(AND(COUNTIF($J43:$BB43,R43)&gt;1,RANK(R43,$J43:$BB43,1)=1),$F25-Q25,""))</f>
        <v/>
      </c>
      <c r="V66" s="29" t="str">
        <f>IF(OR($F25="",U25="",V26=""),"",IF(AND(COUNTIF($J43:$BB43,V43)&gt;1,RANK(V43,$J43:$BB43,1)=1),$F25-U25,""))</f>
        <v/>
      </c>
      <c r="Z66" s="29" t="str">
        <f>IF(OR($F25="",Y25="",Z26=""),"",IF(AND(COUNTIF($J43:$BB43,Z43)&gt;1,RANK(Z43,$J43:$BB43,1)=1),$F25-Y25,""))</f>
        <v/>
      </c>
      <c r="AD66" s="29" t="str">
        <f>IF(OR($F25="",AC25="",AD26=""),"",IF(AND(COUNTIF($J43:$BB43,AD43)&gt;1,RANK(AD43,$J43:$BB43,1)=1),$F25-AC25,""))</f>
        <v/>
      </c>
      <c r="AH66" s="29" t="str">
        <f>IF(OR($F25="",AG25="",AH26=""),"",IF(AND(COUNTIF($J43:$BB43,AH43)&gt;1,RANK(AH43,$J43:$BB43,1)=1),$F25-AG25,""))</f>
        <v/>
      </c>
      <c r="AL66" s="29" t="str">
        <f>IF(OR($F25="",AK25="",AL26=""),"",IF(AND(COUNTIF($J43:$BB43,AL43)&gt;1,RANK(AL43,$J43:$BB43,1)=1),$F25-AK25,""))</f>
        <v/>
      </c>
      <c r="AP66" s="29" t="str">
        <f>IF(OR($F25="",AO25="",AP26=""),"",IF(AND(COUNTIF($J43:$BB43,AP43)&gt;1,RANK(AP43,$J43:$BB43,1)=1),$F25-AO25,""))</f>
        <v/>
      </c>
      <c r="AT66" s="29" t="str">
        <f>IF(OR($F25="",AS25="",AT26=""),"",IF(AND(COUNTIF($J43:$BB43,AT43)&gt;1,RANK(AT43,$J43:$BB43,1)=1),$F25-AS25,""))</f>
        <v/>
      </c>
      <c r="AX66" s="29" t="str">
        <f>IF(OR($F25="",AW25="",AX26=""),"",IF(AND(COUNTIF($J43:$BB43,AX43)&gt;1,RANK(AX43,$J43:$BB43,1)=1),$F25-AW25,""))</f>
        <v/>
      </c>
      <c r="BB66" s="29" t="str">
        <f>IF(OR($F25="",BA25="",BB26=""),"",IF(AND(COUNTIF($J43:$BB43,BB43)&gt;1,RANK(BB43,$J43:$BB43,1)=1),$F25-BA25,""))</f>
        <v/>
      </c>
      <c r="BH66" s="7"/>
      <c r="BN66" s="27"/>
      <c r="CB66" s="4"/>
      <c r="CD66" s="4"/>
      <c r="CE66" s="4"/>
      <c r="CF66" s="4"/>
      <c r="CG66" s="4"/>
      <c r="CH66" s="4"/>
      <c r="CI66" s="4"/>
      <c r="CJ66" s="4"/>
      <c r="CK66" s="4"/>
      <c r="CL66" s="4"/>
      <c r="CM66" s="4"/>
      <c r="CN66" s="4"/>
      <c r="CO66" s="4"/>
      <c r="CP66" s="4"/>
      <c r="CQ66" s="4"/>
      <c r="CR66" s="4"/>
      <c r="CS66" s="4"/>
      <c r="CT66" s="4"/>
      <c r="DK66" s="4"/>
      <c r="DL66" s="211" t="str">
        <f>CONCATENATE($DM$5,$K$23,$DN$5)</f>
        <v xml:space="preserve">   "",</v>
      </c>
      <c r="DM66" s="11"/>
      <c r="DN66" s="11"/>
    </row>
    <row r="67" spans="2:118" ht="15" hidden="1" customHeight="1" x14ac:dyDescent="0.2">
      <c r="F67" s="26" t="s">
        <v>116</v>
      </c>
      <c r="J67" s="29">
        <f>IF(J68="",999,IF(J68&lt;0,ABS(J68)+0.1,ABS(J68)))</f>
        <v>999</v>
      </c>
      <c r="N67" s="29">
        <f>IF(N68="",999,IF(N68&lt;0,ABS(N68)+0.1,ABS(N68)))</f>
        <v>999</v>
      </c>
      <c r="R67" s="29">
        <f>IF(R68="",999,IF(R68&lt;0,ABS(R68)+0.1,ABS(R68)))</f>
        <v>999</v>
      </c>
      <c r="V67" s="29">
        <f>IF(V68="",999,IF(V68&lt;0,ABS(V68)+0.1,ABS(V68)))</f>
        <v>999</v>
      </c>
      <c r="Z67" s="29">
        <f>IF(Z68="",999,IF(Z68&lt;0,ABS(Z68)+0.1,ABS(Z68)))</f>
        <v>999</v>
      </c>
      <c r="AD67" s="29">
        <f>IF(AD68="",999,IF(AD68&lt;0,ABS(AD68)+0.1,ABS(AD68)))</f>
        <v>999</v>
      </c>
      <c r="AH67" s="29">
        <f>IF(AH68="",999,IF(AH68&lt;0,ABS(AH68)+0.1,ABS(AH68)))</f>
        <v>999</v>
      </c>
      <c r="AL67" s="29">
        <f>IF(AL68="",999,IF(AL68&lt;0,ABS(AL68)+0.1,ABS(AL68)))</f>
        <v>999</v>
      </c>
      <c r="AP67" s="29">
        <f>IF(AP68="",999,IF(AP68&lt;0,ABS(AP68)+0.1,ABS(AP68)))</f>
        <v>999</v>
      </c>
      <c r="AT67" s="29">
        <f>IF(AT68="",999,IF(AT68&lt;0,ABS(AT68)+0.1,ABS(AT68)))</f>
        <v>999</v>
      </c>
      <c r="AX67" s="29">
        <f>IF(AX68="",999,IF(AX68&lt;0,ABS(AX68)+0.1,ABS(AX68)))</f>
        <v>999</v>
      </c>
      <c r="BB67" s="29">
        <f>IF(BB68="",999,IF(BB68&lt;0,ABS(BB68)+0.1,ABS(BB68)))</f>
        <v>999</v>
      </c>
      <c r="BH67" s="7"/>
      <c r="BN67" s="27"/>
      <c r="CB67" s="4"/>
      <c r="CD67" s="4"/>
      <c r="CE67" s="4"/>
      <c r="CF67" s="4"/>
      <c r="CG67" s="4"/>
      <c r="CH67" s="4"/>
      <c r="CI67" s="4"/>
      <c r="CJ67" s="4"/>
      <c r="CK67" s="4"/>
      <c r="CL67" s="4"/>
      <c r="CM67" s="4"/>
      <c r="CN67" s="4"/>
      <c r="CO67" s="4"/>
      <c r="CP67" s="4"/>
      <c r="CQ67" s="4"/>
      <c r="CR67" s="4"/>
      <c r="CS67" s="4"/>
      <c r="CT67" s="4"/>
      <c r="DK67" s="4"/>
      <c r="DL67" s="211" t="str">
        <f>CONCATENATE($DM$5,$K$24,$DN$5)</f>
        <v xml:space="preserve">   "",</v>
      </c>
      <c r="DM67" s="11"/>
      <c r="DN67" s="11"/>
    </row>
    <row r="68" spans="2:118" ht="15" hidden="1" customHeight="1" x14ac:dyDescent="0.2">
      <c r="F68" s="26"/>
      <c r="J68" s="29" t="str">
        <f>IF(OR($F30="",I30="",J31=""),"",IF(AND(COUNTIF($J45:$BB45,J45)&gt;1,RANK(J45,$J45:$BB45,1)=1),$F30-I30,""))</f>
        <v/>
      </c>
      <c r="N68" s="29" t="str">
        <f>IF(OR($F30="",M30="",N31=""),"",IF(AND(COUNTIF($J45:$BB45,N45)&gt;1,RANK(N45,$J45:$BB45,1)=1),$F30-M30,""))</f>
        <v/>
      </c>
      <c r="R68" s="29" t="str">
        <f>IF(OR($F30="",Q30="",R31=""),"",IF(AND(COUNTIF($J45:$BB45,R45)&gt;1,RANK(R45,$J45:$BB45,1)=1),$F30-Q30,""))</f>
        <v/>
      </c>
      <c r="V68" s="29" t="str">
        <f>IF(OR($F30="",U30="",V31=""),"",IF(AND(COUNTIF($J45:$BB45,V45)&gt;1,RANK(V45,$J45:$BB45,1)=1),$F30-U30,""))</f>
        <v/>
      </c>
      <c r="Z68" s="29" t="str">
        <f>IF(OR($F30="",Y30="",Z31=""),"",IF(AND(COUNTIF($J45:$BB45,Z45)&gt;1,RANK(Z45,$J45:$BB45,1)=1),$F30-Y30,""))</f>
        <v/>
      </c>
      <c r="AD68" s="29" t="str">
        <f>IF(OR($F30="",AC30="",AD31=""),"",IF(AND(COUNTIF($J45:$BB45,AD45)&gt;1,RANK(AD45,$J45:$BB45,1)=1),$F30-AC30,""))</f>
        <v/>
      </c>
      <c r="AH68" s="29" t="str">
        <f>IF(OR($F30="",AG30="",AH31=""),"",IF(AND(COUNTIF($J45:$BB45,AH45)&gt;1,RANK(AH45,$J45:$BB45,1)=1),$F30-AG30,""))</f>
        <v/>
      </c>
      <c r="AL68" s="29" t="str">
        <f>IF(OR($F30="",AK30="",AL31=""),"",IF(AND(COUNTIF($J45:$BB45,AL45)&gt;1,RANK(AL45,$J45:$BB45,1)=1),$F30-AK30,""))</f>
        <v/>
      </c>
      <c r="AP68" s="29" t="str">
        <f>IF(OR($F30="",AO30="",AP31=""),"",IF(AND(COUNTIF($J45:$BB45,AP45)&gt;1,RANK(AP45,$J45:$BB45,1)=1),$F30-AO30,""))</f>
        <v/>
      </c>
      <c r="AT68" s="29" t="str">
        <f>IF(OR($F30="",AS30="",AT31=""),"",IF(AND(COUNTIF($J45:$BB45,AT45)&gt;1,RANK(AT45,$J45:$BB45,1)=1),$F30-AS30,""))</f>
        <v/>
      </c>
      <c r="AX68" s="29" t="str">
        <f>IF(OR($F30="",AW30="",AX31=""),"",IF(AND(COUNTIF($J45:$BB45,AX45)&gt;1,RANK(AX45,$J45:$BB45,1)=1),$F30-AW30,""))</f>
        <v/>
      </c>
      <c r="BB68" s="29" t="str">
        <f>IF(OR($F30="",BA30="",BB31=""),"",IF(AND(COUNTIF($J45:$BB45,BB45)&gt;1,RANK(BB45,$J45:$BB45,1)=1),$F30-BA30,""))</f>
        <v/>
      </c>
      <c r="BH68" s="7"/>
      <c r="BN68" s="27"/>
      <c r="CB68" s="4"/>
      <c r="CD68" s="4"/>
      <c r="CE68" s="4"/>
      <c r="CF68" s="4"/>
      <c r="CG68" s="4"/>
      <c r="CH68" s="4"/>
      <c r="CI68" s="4"/>
      <c r="CJ68" s="4"/>
      <c r="CK68" s="4"/>
      <c r="CL68" s="4"/>
      <c r="CM68" s="4"/>
      <c r="CN68" s="4"/>
      <c r="CO68" s="4"/>
      <c r="CP68" s="4"/>
      <c r="CQ68" s="4"/>
      <c r="CR68" s="4"/>
      <c r="CS68" s="4"/>
      <c r="CT68" s="4"/>
      <c r="DK68" s="4"/>
      <c r="DL68" s="211" t="str">
        <f>CONCATENATE($DM$5,$K$29,$DN$6)</f>
        <v xml:space="preserve">   ""</v>
      </c>
      <c r="DM68" s="11"/>
      <c r="DN68" s="11"/>
    </row>
    <row r="69" spans="2:118" ht="15" hidden="1" customHeight="1" x14ac:dyDescent="0.2">
      <c r="F69" s="26" t="s">
        <v>95</v>
      </c>
      <c r="G69" s="30" t="str">
        <f>G2</f>
        <v>BM</v>
      </c>
      <c r="H69" s="30" t="str">
        <f>K2</f>
        <v>CK</v>
      </c>
      <c r="I69" s="30" t="str">
        <f>O2</f>
        <v>CP</v>
      </c>
      <c r="J69" s="30" t="str">
        <f>S2</f>
        <v>DC</v>
      </c>
      <c r="K69" s="30" t="str">
        <f>W2</f>
        <v>DH</v>
      </c>
      <c r="L69" s="30" t="str">
        <f>AA2</f>
        <v>JG</v>
      </c>
      <c r="M69" s="30" t="str">
        <f>AE2</f>
        <v>JL</v>
      </c>
      <c r="N69" s="30" t="str">
        <f>AI2</f>
        <v>KC</v>
      </c>
      <c r="O69" s="30" t="str">
        <f>AM2</f>
        <v>KK</v>
      </c>
      <c r="P69" s="30" t="str">
        <f>AQ2</f>
        <v>MB</v>
      </c>
      <c r="Q69" s="30" t="str">
        <f>AU2</f>
        <v>RR</v>
      </c>
      <c r="R69" s="30" t="str">
        <f>AY2</f>
        <v>TB</v>
      </c>
      <c r="S69" s="22"/>
      <c r="T69" s="22"/>
      <c r="U69" s="22"/>
      <c r="BH69" s="7"/>
      <c r="BN69" s="27"/>
      <c r="CB69" s="4"/>
      <c r="CD69" s="4"/>
      <c r="CE69" s="4"/>
      <c r="CF69" s="4"/>
      <c r="CG69" s="4"/>
      <c r="CH69" s="4"/>
      <c r="CI69" s="4"/>
      <c r="CJ69" s="4"/>
      <c r="CK69" s="4"/>
      <c r="CL69" s="4"/>
      <c r="CM69" s="4"/>
      <c r="CN69" s="4"/>
      <c r="CO69" s="4"/>
      <c r="CP69" s="4"/>
      <c r="CQ69" s="4"/>
      <c r="CR69" s="4"/>
      <c r="CS69" s="4"/>
      <c r="CT69" s="4"/>
      <c r="DK69" s="4"/>
      <c r="DL69" s="211" t="s">
        <v>28</v>
      </c>
      <c r="DM69" s="11"/>
      <c r="DN69" s="11"/>
    </row>
    <row r="70" spans="2:118" ht="15" hidden="1" customHeight="1" thickBot="1" x14ac:dyDescent="0.25">
      <c r="F70" s="26" t="s">
        <v>96</v>
      </c>
      <c r="G70" s="31">
        <f>IF($BD$29="",IF($BD$23="",IF($BD$15="",IF($BD$5="",0,-22),-14),-8),-3)</f>
        <v>-22</v>
      </c>
      <c r="J70" s="22"/>
      <c r="K70" s="32"/>
      <c r="BH70" s="7"/>
      <c r="BN70" s="27"/>
      <c r="CB70" s="4"/>
      <c r="CD70" s="4"/>
      <c r="CE70" s="4"/>
      <c r="CF70" s="4"/>
      <c r="CG70" s="4"/>
      <c r="CH70" s="4"/>
      <c r="CI70" s="4"/>
      <c r="CJ70" s="4"/>
      <c r="CK70" s="4"/>
      <c r="CL70" s="4"/>
      <c r="CM70" s="4"/>
      <c r="CN70" s="4"/>
      <c r="CO70" s="4"/>
      <c r="CP70" s="4"/>
      <c r="CQ70" s="4"/>
      <c r="CR70" s="4"/>
      <c r="CS70" s="4"/>
      <c r="CT70" s="4"/>
      <c r="DK70" s="4"/>
      <c r="DL70" s="211"/>
      <c r="DM70" s="11"/>
      <c r="DN70" s="11"/>
    </row>
    <row r="71" spans="2:118" ht="18" customHeight="1" thickTop="1" thickBot="1" x14ac:dyDescent="0.25">
      <c r="BH71" s="7"/>
      <c r="BN71" s="27"/>
      <c r="CA71" s="35"/>
      <c r="CB71" s="248" t="str">
        <f>CONCATENATE("Week ",IF($BD$29="",IF($BD$23="",IF($BD$15="",IF($BD$7="",0,1),2),3),4)," Scores")</f>
        <v>Week 1 Scores</v>
      </c>
      <c r="CC71" s="249"/>
      <c r="CD71" s="250"/>
      <c r="CE71" s="144"/>
      <c r="CF71" s="248" t="s">
        <v>103</v>
      </c>
      <c r="CG71" s="249"/>
      <c r="CH71" s="250"/>
      <c r="CI71" s="38"/>
      <c r="CJ71" s="248" t="s">
        <v>112</v>
      </c>
      <c r="CK71" s="249"/>
      <c r="CL71" s="250"/>
      <c r="CM71" s="248" t="s">
        <v>108</v>
      </c>
      <c r="CN71" s="249"/>
      <c r="CO71" s="249"/>
      <c r="CP71" s="249"/>
      <c r="CQ71" s="249"/>
      <c r="CR71" s="249"/>
      <c r="CS71" s="250"/>
      <c r="CT71" s="1"/>
      <c r="DK71" s="1"/>
      <c r="DL71" s="211" t="s">
        <v>31</v>
      </c>
      <c r="DM71" s="11"/>
      <c r="DN71" s="11"/>
    </row>
    <row r="72" spans="2:118" ht="18" customHeight="1" thickTop="1" x14ac:dyDescent="0.2">
      <c r="BH72" s="7"/>
      <c r="CB72" s="2" t="s">
        <v>4</v>
      </c>
      <c r="CC72" s="39" t="s">
        <v>5</v>
      </c>
      <c r="CD72" s="40" t="s">
        <v>7</v>
      </c>
      <c r="CE72" s="144"/>
      <c r="CF72" s="3" t="s">
        <v>4</v>
      </c>
      <c r="CG72" s="39" t="s">
        <v>5</v>
      </c>
      <c r="CH72" s="40" t="s">
        <v>7</v>
      </c>
      <c r="CI72" s="143"/>
      <c r="CJ72" s="2" t="s">
        <v>4</v>
      </c>
      <c r="CK72" s="39" t="s">
        <v>5</v>
      </c>
      <c r="CL72" s="40" t="s">
        <v>6</v>
      </c>
      <c r="CM72" s="53" t="s">
        <v>104</v>
      </c>
      <c r="CN72" s="253" t="s">
        <v>105</v>
      </c>
      <c r="CO72" s="282"/>
      <c r="CP72" s="253" t="s">
        <v>106</v>
      </c>
      <c r="CQ72" s="282"/>
      <c r="CR72" s="253" t="s">
        <v>107</v>
      </c>
      <c r="CS72" s="254"/>
      <c r="CT72" s="1"/>
      <c r="DK72" s="1"/>
      <c r="DL72" s="211" t="str">
        <f>CONCATENATE($DM$5,$M$5,$DN$5)</f>
        <v xml:space="preserve">   "15",</v>
      </c>
      <c r="DM72" s="11"/>
      <c r="DN72" s="11"/>
    </row>
    <row r="73" spans="2:118" ht="15" customHeight="1" x14ac:dyDescent="0.2">
      <c r="BH73" s="7"/>
      <c r="BO73" s="35"/>
      <c r="BP73" s="36"/>
      <c r="BQ73" s="35"/>
      <c r="BR73" s="35"/>
      <c r="BS73" s="35"/>
      <c r="BT73" s="35"/>
      <c r="BU73" s="35"/>
      <c r="BV73" s="35"/>
      <c r="BW73" s="35"/>
      <c r="BX73" s="35"/>
      <c r="BY73" s="35"/>
      <c r="BZ73" s="35"/>
      <c r="CB73" s="41">
        <f ca="1">IF(CC73="","",OFFSET($M$34,$G$70,0))</f>
        <v>1</v>
      </c>
      <c r="CC73" s="187" t="str">
        <f ca="1">IF(OR($K$2="",$K$2=0,CD73=""),"",$K$2)</f>
        <v>CK</v>
      </c>
      <c r="CD73" s="214">
        <f ca="1">OFFSET($N$34,$G$70,0)</f>
        <v>50</v>
      </c>
      <c r="CE73" s="144"/>
      <c r="CF73" s="44">
        <f>IF(CH73="","",RANK(CH73,CH$73:CH$84,1))</f>
        <v>1</v>
      </c>
      <c r="CG73" s="187" t="str">
        <f>IF(OR($K$2="",$K$2=0,CH73=""),"",$K$2)</f>
        <v>CK</v>
      </c>
      <c r="CH73" s="214">
        <f>$N$34</f>
        <v>50</v>
      </c>
      <c r="CI73" s="144"/>
      <c r="CJ73" s="47">
        <f>IF(CK73="","",RANK(CL73,CL$73:CL$84,0))</f>
        <v>1</v>
      </c>
      <c r="CK73" s="187" t="str">
        <f>IF(OR($K$2="",$K$2=0),"",$K$2)</f>
        <v>CK</v>
      </c>
      <c r="CL73" s="188">
        <f>IF(OR(CK73="",CK73=0),"",SUM(CM73,CO73,CQ73,CS73))</f>
        <v>60</v>
      </c>
      <c r="CM73" s="54">
        <f>IF(CK73="","",-$BO$6)</f>
        <v>-10</v>
      </c>
      <c r="CN73" s="189">
        <f>IF(IF($BO$48&gt;0,COUNTIF($M$12,1),0)+IF($BO$48&gt;1,COUNTIF($M$20,1),0)+IF($BO$48&gt;2,COUNTIF($M$26,1),0)+IF($BO$48&gt;3,COUNTIF($M$31,1),0)&gt;0,IF($BO$48&gt;0,COUNTIF($M$12,1),0)+IF($BO$48&gt;1,COUNTIF($M$20,1),0)+IF($BO$48&gt;2,COUNTIF($M$26,1),0)+IF($BO$48&gt;3,COUNTIF($M$31,1),0),"")</f>
        <v>1</v>
      </c>
      <c r="CO73" s="57">
        <f>IF(CN73="","",IF(AND($BO$48&gt;0,$M$12=1),$BO$8/$BO$14,0)+IF(AND($BO$48&gt;1,$M$20=1),$BO$8/$BO$22,0)+IF(AND($BO$48&gt;2,$M$26=1),$BO$8/$BO$28,0)+IF(AND($BO$48&gt;3,$M$31=1),$BO$8/$BO$33,0))</f>
        <v>10</v>
      </c>
      <c r="CP73" s="190" t="str">
        <f>IF($M$34=1,"✓","")</f>
        <v>✓</v>
      </c>
      <c r="CQ73" s="57">
        <f>IF(CP73="✓",IF($BO$35&gt;1,($BO$9+$BO$10)/$BO$35,$BO$9/$BO$35),"")</f>
        <v>60</v>
      </c>
      <c r="CR73" s="190" t="str">
        <f>IF($M$34=2,"✓","")</f>
        <v/>
      </c>
      <c r="CS73" s="48" t="str">
        <f>IF(CR73="✓",$BO$10/$BP$35,"")</f>
        <v/>
      </c>
      <c r="CT73" s="1"/>
      <c r="DK73" s="1"/>
      <c r="DL73" s="211" t="str">
        <f>CONCATENATE($DM$5,$M$6,$DN$5)</f>
        <v xml:space="preserve">   "7",</v>
      </c>
      <c r="DM73" s="11"/>
      <c r="DN73" s="11"/>
    </row>
    <row r="74" spans="2:118" ht="15" customHeight="1" x14ac:dyDescent="0.2">
      <c r="B74" s="24"/>
      <c r="C74" s="24"/>
      <c r="D74" s="24"/>
      <c r="E74" s="24"/>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I74" s="33"/>
      <c r="BJ74" s="33"/>
      <c r="BK74" s="33"/>
      <c r="BL74" s="33"/>
      <c r="CB74" s="42">
        <f ca="1">IF(CC74="","",OFFSET($AO$34,$G$70,0))</f>
        <v>2</v>
      </c>
      <c r="CC74" s="191" t="str">
        <f ca="1">IF(OR($AM$2="",$AM$2=0,CD74=""),"",$AM$2)</f>
        <v>KK</v>
      </c>
      <c r="CD74" s="215">
        <f ca="1">OFFSET($AP$34,$G$70,0)</f>
        <v>54</v>
      </c>
      <c r="CE74" s="145"/>
      <c r="CF74" s="45">
        <f>IF(CH74="","",RANK(CH74,CH$73:CH$84,1))</f>
        <v>2</v>
      </c>
      <c r="CG74" s="191" t="str">
        <f>IF(OR($AM$2="",$AM$2=0,CH74=""),"",$AM$2)</f>
        <v>KK</v>
      </c>
      <c r="CH74" s="215">
        <f>$AP$34</f>
        <v>54</v>
      </c>
      <c r="CI74" s="144"/>
      <c r="CJ74" s="49">
        <f>IF(CK74="","",RANK(CL74,CL$73:CL$84,0))</f>
        <v>2</v>
      </c>
      <c r="CK74" s="191" t="str">
        <f>IF(OR($AM$2="",$AM$2=0),"",$AM$2)</f>
        <v>KK</v>
      </c>
      <c r="CL74" s="192">
        <f>IF(OR(CK74="",CK74=0),"",SUM(CM74,CO74,CQ74,CS74))</f>
        <v>10</v>
      </c>
      <c r="CM74" s="55">
        <f>IF(CK74="","",-$BO$6)</f>
        <v>-10</v>
      </c>
      <c r="CN74" s="193" t="str">
        <f>IF(IF($BO$48&gt;0,COUNTIF($AO$12,1),0)+IF($BO$48&gt;1,COUNTIF($AO$20,1),0)+IF($BO$48&gt;2,COUNTIF($AO$26,1),0)+IF($BO$48&gt;3,COUNTIF($AO$31,1),0)&gt;0,IF($BO$48&gt;0,COUNTIF($AO$12,1),0)+IF($BO$48&gt;1,COUNTIF($AO$20,1),0)+IF($BO$48&gt;2,COUNTIF($AO$26,1),0)+IF($BO$48&gt;3,COUNTIF($AO$31,1),0),"")</f>
        <v/>
      </c>
      <c r="CO74" s="58" t="str">
        <f>IF(CN74="","",IF(AND($BO$48&gt;0,$AO$12=1),$BO$8/$BO$14,0)+IF(AND($BO$48&gt;1,$AO$20=1),$BO$8/$BO$22,0)+IF(AND($BO$48&gt;2,$AO$26=1),$BO$8/$BO$28,0)+IF(AND($BO$48&gt;3,$AO$31=1),$BO$8/$BO$33,0))</f>
        <v/>
      </c>
      <c r="CP74" s="194" t="str">
        <f>IF($AO$34=1,"✓","")</f>
        <v/>
      </c>
      <c r="CQ74" s="58" t="str">
        <f>IF(CP74="✓",IF($BO$35&gt;1,($BO$9+$BO$10)/$BO$35,$BO$9/$BO$35),"")</f>
        <v/>
      </c>
      <c r="CR74" s="194" t="str">
        <f>IF($AO$34=2,"✓","")</f>
        <v>✓</v>
      </c>
      <c r="CS74" s="50">
        <f>IF(CR74="✓",$BO$10/$BP$35,"")</f>
        <v>20</v>
      </c>
      <c r="CT74" s="1"/>
      <c r="DK74" s="1"/>
      <c r="DL74" s="211" t="str">
        <f>CONCATENATE($DM$5,$M$7,$DN$5)</f>
        <v xml:space="preserve">   "9",</v>
      </c>
      <c r="DM74" s="11"/>
      <c r="DN74" s="11"/>
    </row>
    <row r="75" spans="2:118" ht="15" customHeight="1" x14ac:dyDescent="0.2">
      <c r="CB75" s="42">
        <f ca="1">IF(CC75="","",OFFSET($Y$34,$G$70,0))</f>
        <v>3</v>
      </c>
      <c r="CC75" s="191" t="str">
        <f ca="1">IF(OR($W$2="",$W$2=0,CD75=""),"",$W$2)</f>
        <v>DH</v>
      </c>
      <c r="CD75" s="215">
        <f ca="1">OFFSET($Z$34,$G$70,0)</f>
        <v>56</v>
      </c>
      <c r="CE75" s="145"/>
      <c r="CF75" s="45">
        <f>IF(CH75="","",RANK(CH75,CH$73:CH$84,1))</f>
        <v>3</v>
      </c>
      <c r="CG75" s="191" t="str">
        <f>IF(OR($W$2="",$W$2=0,CH75=""),"",$W$2)</f>
        <v>DH</v>
      </c>
      <c r="CH75" s="215">
        <f>$Z$34</f>
        <v>56</v>
      </c>
      <c r="CI75" s="144"/>
      <c r="CJ75" s="49">
        <f>IF(CK75="","",RANK(CL75,CL$73:CL$84,0))</f>
        <v>3</v>
      </c>
      <c r="CK75" s="191" t="str">
        <f>IF(OR($G$2="",$G$2=0),"",$G$2)</f>
        <v>BM</v>
      </c>
      <c r="CL75" s="192">
        <f>IF(OR(CK75="",CK75=0),"",SUM(CM75,CO75,CQ75,CS75))</f>
        <v>-10</v>
      </c>
      <c r="CM75" s="55">
        <f>IF(CK75="","",-$BO$6)</f>
        <v>-10</v>
      </c>
      <c r="CN75" s="193" t="str">
        <f>IF(IF($BO$48&gt;0,COUNTIF($I$12,1),0)+IF($BO$48&gt;1,COUNTIF($I$20,1),0)+IF($BO$48&gt;2,COUNTIF($I$26,1),0)+IF($BO$48&gt;3,COUNTIF($I$31,1),0)&gt;0,IF($BO$48&gt;0,COUNTIF($I$12,1),0)+IF($BO$48&gt;1,COUNTIF($I$20,1),0)+IF($BO$48&gt;2,COUNTIF($I$26,1),0)+IF($BO$48&gt;3,COUNTIF($I$31,1),0),"")</f>
        <v/>
      </c>
      <c r="CO75" s="58" t="str">
        <f>IF(CN75="","",IF(AND($BO$48&gt;0,$I$12=1),$BO$8/$BO$14,0)+IF(AND($BO$48&gt;1,$I$20=1),$BO$8/$BO$22,0)+IF(AND($BO$48&gt;2,$I$26=1),$BO$8/$BO$28,0)+IF(AND($BO$48&gt;3,$I$31=1),$BO$8/$BO$33,0))</f>
        <v/>
      </c>
      <c r="CP75" s="194" t="str">
        <f>IF($I$34=1,"✓","")</f>
        <v/>
      </c>
      <c r="CQ75" s="58" t="str">
        <f>IF(CP75="✓",IF($BO$35&gt;1,($BO$9+$BO$10)/$BO$35,$BO$9/$BO$35),"")</f>
        <v/>
      </c>
      <c r="CR75" s="194" t="str">
        <f>IF($I$34=2,"✓","")</f>
        <v/>
      </c>
      <c r="CS75" s="50" t="str">
        <f>IF(CR75="✓",$BO$10/$BP$35,"")</f>
        <v/>
      </c>
      <c r="CT75" s="1"/>
      <c r="DK75" s="1"/>
      <c r="DL75" s="211" t="str">
        <f>CONCATENATE($DM$5,$M$8,$DN$5)</f>
        <v xml:space="preserve">   "3",</v>
      </c>
      <c r="DM75" s="11"/>
      <c r="DN75" s="11"/>
    </row>
    <row r="76" spans="2:118" ht="15" customHeight="1" x14ac:dyDescent="0.2">
      <c r="CB76" s="42">
        <f ca="1">IF(CC76="","",OFFSET($I$34,$G$70,0))</f>
        <v>4</v>
      </c>
      <c r="CC76" s="191" t="str">
        <f ca="1">IF(OR($G$2="",$G$2=0,CD76=""),"",$G$2)</f>
        <v>BM</v>
      </c>
      <c r="CD76" s="215">
        <f ca="1">OFFSET($J$34,$G$70,0)</f>
        <v>57</v>
      </c>
      <c r="CE76" s="145"/>
      <c r="CF76" s="45">
        <f>IF(CH76="","",RANK(CH76,CH$73:CH$84,1))</f>
        <v>4</v>
      </c>
      <c r="CG76" s="191" t="str">
        <f>IF(OR($G$2="",$G$2=0,CH76=""),"",$G$2)</f>
        <v>BM</v>
      </c>
      <c r="CH76" s="215">
        <f>$J$34</f>
        <v>57</v>
      </c>
      <c r="CI76" s="144"/>
      <c r="CJ76" s="49">
        <f>IF(CK76="","",RANK(CL76,CL$73:CL$84,0))</f>
        <v>3</v>
      </c>
      <c r="CK76" s="191" t="str">
        <f>IF(OR($O$2="",$O$2=0),"",$O$2)</f>
        <v>CP</v>
      </c>
      <c r="CL76" s="192">
        <f>IF(OR(CK76="",CK76=0),"",SUM(CM76,CO76,CQ76,CS76))</f>
        <v>-10</v>
      </c>
      <c r="CM76" s="55">
        <f>IF(CK76="","",-$BO$6)</f>
        <v>-10</v>
      </c>
      <c r="CN76" s="193" t="str">
        <f>IF(IF($BO$48&gt;0,COUNTIF($Q$12,1),0)+IF($BO$48&gt;1,COUNTIF($Q$20,1),0)+IF($BO$48&gt;2,COUNTIF($Q$26,1),0)+IF($BO$48&gt;3,COUNTIF($Q$31,1),0)&gt;0,IF($BO$48&gt;0,COUNTIF($Q$12,1),0)+IF($BO$48&gt;1,COUNTIF($Q$20,1),0)+IF($BO$48&gt;2,COUNTIF($Q$26,1),0)+IF($BO$48&gt;3,COUNTIF($Q$31,1),0),"")</f>
        <v/>
      </c>
      <c r="CO76" s="58" t="str">
        <f>IF(CN76="","",IF(AND($BO$48&gt;0,$Q$12=1),$BO$8/$BO$14,0)+IF(AND($BO$48&gt;1,$Q$20=1),$BO$8/$BO$22,0)+IF(AND($BO$48&gt;2,$Q$26=1),$BO$8/$BO$28,0)+IF(AND($BO$48&gt;3,$Q$31=1),$BO$8/$BO$33,0))</f>
        <v/>
      </c>
      <c r="CP76" s="194" t="str">
        <f>IF($Q$34=1,"✓","")</f>
        <v/>
      </c>
      <c r="CQ76" s="58" t="str">
        <f>IF(CP76="✓",IF($BO$35&gt;1,($BO$9+$BO$10)/$BO$35,$BO$9/$BO$35),"")</f>
        <v/>
      </c>
      <c r="CR76" s="194" t="str">
        <f>IF($Q$34=2,"✓","")</f>
        <v/>
      </c>
      <c r="CS76" s="50" t="str">
        <f>IF(CR76="✓",$BO$10/$BP$35,"")</f>
        <v/>
      </c>
      <c r="CT76" s="1"/>
      <c r="DK76" s="1"/>
      <c r="DL76" s="211" t="str">
        <f>CONCATENATE($DM$5,$M$9,$DN$5)</f>
        <v xml:space="preserve">   "10",</v>
      </c>
      <c r="DM76" s="11"/>
      <c r="DN76" s="11"/>
    </row>
    <row r="77" spans="2:118" ht="15" customHeight="1" x14ac:dyDescent="0.2">
      <c r="CB77" s="42">
        <f ca="1">IF(CC77="","",OFFSET($Q$34,$G$70,0))</f>
        <v>5</v>
      </c>
      <c r="CC77" s="191" t="str">
        <f ca="1">IF(OR($O$2="",$O$2=0,CD77=""),"",$O$2)</f>
        <v>CP</v>
      </c>
      <c r="CD77" s="215">
        <f ca="1">OFFSET($R$34,$G$70,0)</f>
        <v>60</v>
      </c>
      <c r="CE77" s="145"/>
      <c r="CF77" s="45">
        <f>IF(CH77="","",RANK(CH77,CH$73:CH$84,1))</f>
        <v>5</v>
      </c>
      <c r="CG77" s="191" t="str">
        <f>IF(OR($O$2="",$O$2=0,CH77=""),"",$O$2)</f>
        <v>CP</v>
      </c>
      <c r="CH77" s="215">
        <f>$R$34</f>
        <v>60</v>
      </c>
      <c r="CI77" s="144"/>
      <c r="CJ77" s="49">
        <f>IF(CK77="","",RANK(CL77,CL$73:CL$84,0))</f>
        <v>3</v>
      </c>
      <c r="CK77" s="191" t="str">
        <f>IF(OR($S$2="",$S$2=0),"",$S$2)</f>
        <v>DC</v>
      </c>
      <c r="CL77" s="192">
        <f>IF(OR(CK77="",CK77=0),"",SUM(CM77,CO77,CQ77,CS77))</f>
        <v>-10</v>
      </c>
      <c r="CM77" s="55">
        <f>IF(CK77="","",-$BO$6)</f>
        <v>-10</v>
      </c>
      <c r="CN77" s="193" t="str">
        <f>IF(IF($BO$48&gt;0,COUNTIF($U$12,1),0)+IF($BO$48&gt;1,COUNTIF($U$20,1),0)+IF($BO$48&gt;2,COUNTIF($U$26,1),0)+IF($BO$48&gt;3,COUNTIF($U$31,1),0)&gt;0,IF($BO$48&gt;0,COUNTIF($U$12,1),0)+IF($BO$48&gt;1,COUNTIF($U$20,1),0)+IF($BO$48&gt;2,COUNTIF($U$26,1),0)+IF($BO$48&gt;3,COUNTIF($U$31,1),0),"")</f>
        <v/>
      </c>
      <c r="CO77" s="58" t="str">
        <f>IF(CN77="","",IF(AND($BO$48&gt;0,$U$12=1),$BO$8/$BO$14,0)+IF(AND($BO$48&gt;1,$U$20=1),$BO$8/$BO$22,0)+IF(AND($BO$48&gt;2,$U$26=1),$BO$8/$BO$28,0)+IF(AND($BO$48&gt;3,$U$31=1),$BO$8/$BO$33,0))</f>
        <v/>
      </c>
      <c r="CP77" s="194" t="str">
        <f>IF($U$34=1,"✓","")</f>
        <v/>
      </c>
      <c r="CQ77" s="58" t="str">
        <f>IF(CP77="✓",IF($BO$35&gt;1,($BO$9+$BO$10)/$BO$35,$BO$9/$BO$35),"")</f>
        <v/>
      </c>
      <c r="CR77" s="194" t="str">
        <f>IF($U$34=2,"✓","")</f>
        <v/>
      </c>
      <c r="CS77" s="50" t="str">
        <f>IF(CR77="✓",$BO$10/$BP$35,"")</f>
        <v/>
      </c>
      <c r="CT77" s="1"/>
      <c r="DK77" s="1"/>
      <c r="DL77" s="211" t="str">
        <f>CONCATENATE($DM$5,$M$10,$DN$5)</f>
        <v xml:space="preserve">   "4",</v>
      </c>
      <c r="DM77" s="11"/>
      <c r="DN77" s="11"/>
    </row>
    <row r="78" spans="2:118" ht="15" customHeight="1" x14ac:dyDescent="0.2">
      <c r="CB78" s="42">
        <f ca="1">IF(CC78="","",OFFSET($U$34,$G$70,0))</f>
        <v>6</v>
      </c>
      <c r="CC78" s="191" t="str">
        <f ca="1">IF(OR($S$2="",$S$2=0,CD78=""),"",$S$2)</f>
        <v>DC</v>
      </c>
      <c r="CD78" s="215">
        <f ca="1">OFFSET($V$34,$G$70,0)</f>
        <v>62</v>
      </c>
      <c r="CE78" s="145"/>
      <c r="CF78" s="45">
        <f>IF(CH78="","",RANK(CH78,CH$73:CH$84,1))</f>
        <v>6</v>
      </c>
      <c r="CG78" s="191" t="str">
        <f>IF(OR($S$2="",$S$2=0,CH78=""),"",$S$2)</f>
        <v>DC</v>
      </c>
      <c r="CH78" s="215">
        <f>$V$34</f>
        <v>62</v>
      </c>
      <c r="CI78" s="144"/>
      <c r="CJ78" s="49">
        <f>IF(CK78="","",RANK(CL78,CL$73:CL$84,0))</f>
        <v>3</v>
      </c>
      <c r="CK78" s="191" t="str">
        <f>IF(OR($W$2="",$W$2=0),"",$W$2)</f>
        <v>DH</v>
      </c>
      <c r="CL78" s="192">
        <f>IF(OR(CK78="",CK78=0),"",SUM(CM78,CO78,CQ78,CS78))</f>
        <v>-10</v>
      </c>
      <c r="CM78" s="55">
        <f>IF(CK78="","",-$BO$6)</f>
        <v>-10</v>
      </c>
      <c r="CN78" s="193" t="str">
        <f>IF(IF($BO$48&gt;0,COUNTIF($Y$12,1),0)+IF($BO$48&gt;1,COUNTIF($Y$20,1),0)+IF($BO$48&gt;2,COUNTIF($Y$26,1),0)+IF($BO$48&gt;3,COUNTIF($Y$31,1),0)&gt;0,IF($BO$48&gt;0,COUNTIF($Y$12,1),0)+IF($BO$48&gt;1,COUNTIF($Y$20,1),0)+IF($BO$48&gt;2,COUNTIF($Y$26,1),0)+IF($BO$48&gt;3,COUNTIF($Y$31,1),0),"")</f>
        <v/>
      </c>
      <c r="CO78" s="58" t="str">
        <f>IF(CN78="","",IF(AND($BO$48&gt;0,$Y$12=1),$BO$8/$BO$14,0)+IF(AND($BO$48&gt;1,$Y$20=1),$BO$8/$BO$22,0)+IF(AND($BO$48&gt;2,$Y$26=1),$BO$8/$BO$28,0)+IF(AND($BO$48&gt;3,$Y$31=1),$BO$8/$BO$33,0))</f>
        <v/>
      </c>
      <c r="CP78" s="194" t="str">
        <f>IF($Y$34=1,"✓","")</f>
        <v/>
      </c>
      <c r="CQ78" s="58" t="str">
        <f>IF(CP78="✓",IF($BO$35&gt;1,($BO$9+$BO$10)/$BO$35,$BO$9/$BO$35),"")</f>
        <v/>
      </c>
      <c r="CR78" s="194" t="str">
        <f>IF($Y$34=2,"✓","")</f>
        <v/>
      </c>
      <c r="CS78" s="50" t="str">
        <f>IF(CR78="✓",$BO$10/$BP$35,"")</f>
        <v/>
      </c>
      <c r="CT78" s="1"/>
      <c r="DK78" s="1"/>
      <c r="DL78" s="211" t="str">
        <f>CONCATENATE($DM$5,$M$15,$DN$5)</f>
        <v xml:space="preserve">   "",</v>
      </c>
      <c r="DM78" s="11"/>
      <c r="DN78" s="11"/>
    </row>
    <row r="79" spans="2:118" ht="15" customHeight="1" x14ac:dyDescent="0.2">
      <c r="CB79" s="42">
        <f ca="1">IF(CC79="","",OFFSET($AK$34,$G$70,0))</f>
        <v>6</v>
      </c>
      <c r="CC79" s="191" t="str">
        <f ca="1">IF(OR($AI$2="",$AI$2=0,CD79=""),"",$AI$2)</f>
        <v>KC</v>
      </c>
      <c r="CD79" s="215">
        <f ca="1">OFFSET($AL$34,$G$70,0)</f>
        <v>62</v>
      </c>
      <c r="CE79" s="145"/>
      <c r="CF79" s="45">
        <f>IF(CH79="","",RANK(CH79,CH$73:CH$84,1))</f>
        <v>6</v>
      </c>
      <c r="CG79" s="191" t="str">
        <f>IF(OR($AI$2="",$AI$2=0,CH79=""),"",$AI$2)</f>
        <v>KC</v>
      </c>
      <c r="CH79" s="215">
        <f>$AL$34</f>
        <v>62</v>
      </c>
      <c r="CI79" s="144"/>
      <c r="CJ79" s="49">
        <f>IF(CK79="","",RANK(CL79,CL$73:CL$84,0))</f>
        <v>3</v>
      </c>
      <c r="CK79" s="191" t="str">
        <f>IF(OR($AA$2="",$AA$2=0),"",$AA$2)</f>
        <v>JG</v>
      </c>
      <c r="CL79" s="192">
        <f>IF(OR(CK79="",CK79=0),"",SUM(CM79,CO79,CQ79,CS79))</f>
        <v>-10</v>
      </c>
      <c r="CM79" s="55">
        <f>IF(CK79="","",-$BO$6)</f>
        <v>-10</v>
      </c>
      <c r="CN79" s="193" t="str">
        <f>IF(IF($BO$48&gt;0,COUNTIF($AC$12,1),0)+IF($BO$48&gt;1,COUNTIF($AC$20,1),0)+IF($BO$48&gt;2,COUNTIF($AC$26,1),0)+IF($BO$48&gt;3,COUNTIF($AC$31,1),0)&gt;0,IF($BO$48&gt;0,COUNTIF($AC$12,1),0)+IF($BO$48&gt;1,COUNTIF($AC$20,1),0)+IF($BO$48&gt;2,COUNTIF($AC$26,1),0)+IF($BO$48&gt;3,COUNTIF($AC$31,1),0),"")</f>
        <v/>
      </c>
      <c r="CO79" s="58" t="str">
        <f>IF(CN79="","",IF(AND($BO$48&gt;0,$AC$12=1),$BO$8/$BO$14,0)+IF(AND($BO$48&gt;1,$AC$20=1),$BO$8/$BO$22,0)+IF(AND($BO$48&gt;2,$AC$26=1),$BO$8/$BO$28,0)+IF(AND($BO$48&gt;3,$AC$31=1),$BO$8/$BO$33,0))</f>
        <v/>
      </c>
      <c r="CP79" s="194" t="str">
        <f>IF($AC$34=1,"✓","")</f>
        <v/>
      </c>
      <c r="CQ79" s="58" t="str">
        <f>IF(CP79="✓",IF($BO$35&gt;1,($BO$9+$BO$10)/$BO$35,$BO$9/$BO$35),"")</f>
        <v/>
      </c>
      <c r="CR79" s="194" t="str">
        <f>IF($AC$34=2,"✓","")</f>
        <v/>
      </c>
      <c r="CS79" s="50" t="str">
        <f>IF(CR79="✓",$BO$10/$BP$35,"")</f>
        <v/>
      </c>
      <c r="CT79" s="1"/>
      <c r="DK79" s="1"/>
      <c r="DL79" s="211" t="str">
        <f>CONCATENATE($DM$5,$M$16,$DN$5)</f>
        <v xml:space="preserve">   "",</v>
      </c>
      <c r="DM79" s="11"/>
      <c r="DN79" s="11"/>
    </row>
    <row r="80" spans="2:118" ht="15" customHeight="1" x14ac:dyDescent="0.2">
      <c r="CB80" s="42">
        <f ca="1">IF(CC80="","",OFFSET($AG$34,$G$70,0))</f>
        <v>8</v>
      </c>
      <c r="CC80" s="191" t="str">
        <f ca="1">IF(OR($AE$2="",$AE$2=0,CD80=""),"",$AE$2)</f>
        <v>JL</v>
      </c>
      <c r="CD80" s="215">
        <f ca="1">OFFSET($AH$34,$G$70,0)</f>
        <v>65</v>
      </c>
      <c r="CE80" s="145"/>
      <c r="CF80" s="45">
        <f>IF(CH80="","",RANK(CH80,CH$73:CH$84,1))</f>
        <v>8</v>
      </c>
      <c r="CG80" s="191" t="str">
        <f>IF(OR($AE$2="",$AE$2=0,CH80=""),"",$AE$2)</f>
        <v>JL</v>
      </c>
      <c r="CH80" s="215">
        <f>$AH$34</f>
        <v>65</v>
      </c>
      <c r="CI80" s="144"/>
      <c r="CJ80" s="49">
        <f>IF(CK80="","",RANK(CL80,CL$73:CL$84,0))</f>
        <v>3</v>
      </c>
      <c r="CK80" s="191" t="str">
        <f>IF(OR($AE$2="",$AE$2=0),"",$AE$2)</f>
        <v>JL</v>
      </c>
      <c r="CL80" s="192">
        <f>IF(OR(CK80="",CK80=0),"",SUM(CM80,CO80,CQ80,CS80))</f>
        <v>-10</v>
      </c>
      <c r="CM80" s="55">
        <f>IF(CK80="","",-$BO$6)</f>
        <v>-10</v>
      </c>
      <c r="CN80" s="193" t="str">
        <f>IF(IF($BO$48&gt;0,COUNTIF($AG$12,1),0)+IF($BO$48&gt;1,COUNTIF($AG$20,1),0)+IF($BO$48&gt;2,COUNTIF($AG$26,1),0)+IF($BO$48&gt;3,COUNTIF($AG$31,1),0)&gt;0,IF($BO$48&gt;0,COUNTIF($AG$12,1),0)+IF($BO$48&gt;1,COUNTIF($AG$20,1),0)+IF($BO$48&gt;2,COUNTIF($AG$26,1),0)+IF($BO$48&gt;3,COUNTIF($AG$31,1),0),"")</f>
        <v/>
      </c>
      <c r="CO80" s="58" t="str">
        <f>IF(CN80="","",IF(AND($BO$48&gt;0,$AG$12=1),$BO$8/$BO$14,0)+IF(AND($BO$48&gt;1,$AG$20=1),$BO$8/$BO$22,0)+IF(AND($BO$48&gt;2,$AG$26=1),$BO$8/$BO$28,0)+IF(AND($BO$48&gt;3,$AG$31=1),$BO$8/$BO$33,0))</f>
        <v/>
      </c>
      <c r="CP80" s="194" t="str">
        <f>IF($AG$34=1,"✓","")</f>
        <v/>
      </c>
      <c r="CQ80" s="58" t="str">
        <f>IF(CP80="✓",IF($BO$35&gt;1,($BO$9+$BO$10)/$BO$35,$BO$9/$BO$35),"")</f>
        <v/>
      </c>
      <c r="CR80" s="194" t="str">
        <f>IF($AG$34=2,"✓","")</f>
        <v/>
      </c>
      <c r="CS80" s="50" t="str">
        <f>IF(CR80="✓",$BO$10/$BP$35,"")</f>
        <v/>
      </c>
      <c r="CT80" s="1"/>
      <c r="DK80" s="1"/>
      <c r="DL80" s="211" t="str">
        <f>CONCATENATE($DM$5,$M$17,$DN$5)</f>
        <v xml:space="preserve">   "",</v>
      </c>
      <c r="DM80" s="11"/>
      <c r="DN80" s="11"/>
    </row>
    <row r="81" spans="80:118" ht="15" customHeight="1" x14ac:dyDescent="0.2">
      <c r="CB81" s="42">
        <f ca="1">IF(CC81="","",OFFSET($BA$34,$G$70,0))</f>
        <v>8</v>
      </c>
      <c r="CC81" s="191" t="str">
        <f ca="1">IF(OR($AY$2="",$AY$2=0,CD81=""),"",$AY$2)</f>
        <v>TB</v>
      </c>
      <c r="CD81" s="215">
        <f ca="1">OFFSET($BB$34,$G$70,0)</f>
        <v>65</v>
      </c>
      <c r="CE81" s="145"/>
      <c r="CF81" s="45">
        <f>IF(CH81="","",RANK(CH81,CH$73:CH$84,1))</f>
        <v>8</v>
      </c>
      <c r="CG81" s="191" t="str">
        <f>IF(OR($AY$2="",$AY$2=0,CH81=""),"",$AY$2)</f>
        <v>TB</v>
      </c>
      <c r="CH81" s="215">
        <f>$BB$34</f>
        <v>65</v>
      </c>
      <c r="CI81" s="144"/>
      <c r="CJ81" s="49">
        <f>IF(CK81="","",RANK(CL81,CL$73:CL$84,0))</f>
        <v>3</v>
      </c>
      <c r="CK81" s="191" t="str">
        <f>IF(OR($AI$2="",$AI$2=0),"",$AI$2)</f>
        <v>KC</v>
      </c>
      <c r="CL81" s="192">
        <f>IF(OR(CK81="",CK81=0),"",SUM(CM81,CO81,CQ81,CS81))</f>
        <v>-10</v>
      </c>
      <c r="CM81" s="55">
        <f>IF(CK81="","",-$BO$6)</f>
        <v>-10</v>
      </c>
      <c r="CN81" s="193" t="str">
        <f>IF(IF($BO$48&gt;0,COUNTIF($AK$12,1),0)+IF($BO$48&gt;1,COUNTIF($AK$20,1),0)+IF($BO$48&gt;2,COUNTIF($AK$26,1),0)+IF($BO$48&gt;3,COUNTIF($AK$31,1),0)&gt;0,IF($BO$48&gt;0,COUNTIF($AK$12,1),0)+IF($BO$48&gt;1,COUNTIF($AK$20,1),0)+IF($BO$48&gt;2,COUNTIF($AK$26,1),0)+IF($BO$48&gt;3,COUNTIF($AK$31,1),0),"")</f>
        <v/>
      </c>
      <c r="CO81" s="58" t="str">
        <f>IF(CN81="","",IF(AND($BO$48&gt;0,$AK$12=1),$BO$8/$BO$14,0)+IF(AND($BO$48&gt;1,$AK$20=1),$BO$8/$BO$22,0)+IF(AND($BO$48&gt;2,$AK$26=1),$BO$8/$BO$28,0)+IF(AND($BO$48&gt;3,$AK$31=1),$BO$8/$BO$33,0))</f>
        <v/>
      </c>
      <c r="CP81" s="194" t="str">
        <f>IF($AK$34=1,"✓","")</f>
        <v/>
      </c>
      <c r="CQ81" s="58" t="str">
        <f>IF(CP81="✓",IF($BO$35&gt;1,($BO$9+$BO$10)/$BO$35,$BO$9/$BO$35),"")</f>
        <v/>
      </c>
      <c r="CR81" s="194" t="str">
        <f>IF($AK$34=2,"✓","")</f>
        <v/>
      </c>
      <c r="CS81" s="50" t="str">
        <f>IF(CR81="✓",$BO$10/$BP$35,"")</f>
        <v/>
      </c>
      <c r="CT81" s="1"/>
      <c r="DK81" s="1"/>
      <c r="DL81" s="211" t="str">
        <f>CONCATENATE($DM$5,$M$18,$DN$5)</f>
        <v xml:space="preserve">   "",</v>
      </c>
      <c r="DM81" s="11"/>
      <c r="DN81" s="11"/>
    </row>
    <row r="82" spans="80:118" ht="15" customHeight="1" x14ac:dyDescent="0.2">
      <c r="CB82" s="42">
        <f ca="1">IF(CC82="","",OFFSET($AW$34,$G$70,0))</f>
        <v>10</v>
      </c>
      <c r="CC82" s="191" t="str">
        <f ca="1">IF(OR($AU$2="",$AU$2=0,CD82=""),"",$AU$2)</f>
        <v>RR</v>
      </c>
      <c r="CD82" s="215">
        <f ca="1">OFFSET($AX$34,$G$70,0)</f>
        <v>68</v>
      </c>
      <c r="CE82" s="145"/>
      <c r="CF82" s="45">
        <f>IF(CH82="","",RANK(CH82,CH$73:CH$84,1))</f>
        <v>10</v>
      </c>
      <c r="CG82" s="191" t="str">
        <f>IF(OR($AU$2="",$AU$2=0,CH82=""),"",$AU$2)</f>
        <v>RR</v>
      </c>
      <c r="CH82" s="215">
        <f>$AX$34</f>
        <v>68</v>
      </c>
      <c r="CI82" s="144"/>
      <c r="CJ82" s="49">
        <f>IF(CK82="","",RANK(CL82,CL$73:CL$84,0))</f>
        <v>3</v>
      </c>
      <c r="CK82" s="191" t="str">
        <f>IF(OR($AQ$2="",$AQ$2=0),"",$AQ$2)</f>
        <v>MB</v>
      </c>
      <c r="CL82" s="192">
        <f>IF(OR(CK82="",CK82=0),"",SUM(CM82,CO82,CQ82,CS82))</f>
        <v>-10</v>
      </c>
      <c r="CM82" s="55">
        <f>IF(CK82="","",-$BO$6)</f>
        <v>-10</v>
      </c>
      <c r="CN82" s="193" t="str">
        <f>IF(IF($BO$48&gt;0,COUNTIF($AS$12,1),0)+IF($BO$48&gt;1,COUNTIF($AS$20,1),0)+IF($BO$48&gt;2,COUNTIF($AS$26,1),0)+IF($BO$48&gt;3,COUNTIF($AS$31,1),0)&gt;0,IF($BO$48&gt;0,COUNTIF($AS$12,1),0)+IF($BO$48&gt;1,COUNTIF($AS$20,1),0)+IF($BO$48&gt;2,COUNTIF($AS$26,1),0)+IF($BO$48&gt;3,COUNTIF($AS$31,1),0),"")</f>
        <v/>
      </c>
      <c r="CO82" s="58" t="str">
        <f>IF(CN82="","",IF(AND($BO$48&gt;0,$AS$12=1),$BO$8/$BO$14,0)+IF(AND($BO$48&gt;1,$AS$20=1),$BO$8/$BO$22,0)+IF(AND($BO$48&gt;2,$AS$26=1),$BO$8/$BO$28,0)+IF(AND($BO$48&gt;3,$AS$31=1),$BO$8/$BO$33,0))</f>
        <v/>
      </c>
      <c r="CP82" s="194" t="str">
        <f>IF($AS$34=1,"✓","")</f>
        <v/>
      </c>
      <c r="CQ82" s="58" t="str">
        <f>IF(CP82="✓",IF($BO$35&gt;1,($BO$9+$BO$10)/$BO$35,$BO$9/$BO$35),"")</f>
        <v/>
      </c>
      <c r="CR82" s="194" t="str">
        <f>IF($AS$34=2,"✓","")</f>
        <v/>
      </c>
      <c r="CS82" s="50" t="str">
        <f>IF(CR82="✓",$BO$10/$BP$35,"")</f>
        <v/>
      </c>
      <c r="CT82" s="1"/>
      <c r="DK82" s="1"/>
      <c r="DL82" s="211" t="str">
        <f>CONCATENATE($DM$5,$M$23,$DN$5)</f>
        <v xml:space="preserve">   "",</v>
      </c>
      <c r="DM82" s="11"/>
      <c r="DN82" s="11"/>
    </row>
    <row r="83" spans="80:118" ht="15" customHeight="1" x14ac:dyDescent="0.2">
      <c r="CB83" s="42">
        <f ca="1">IF(CC83="","",OFFSET($AC$34,$G$70,0))</f>
        <v>11</v>
      </c>
      <c r="CC83" s="191" t="str">
        <f ca="1">IF(OR($AA$2="",$AA$2=0,CD83=""),"",$AA$2)</f>
        <v>JG</v>
      </c>
      <c r="CD83" s="215">
        <f ca="1">OFFSET($AD$34,$G$70,0)</f>
        <v>70</v>
      </c>
      <c r="CE83" s="145"/>
      <c r="CF83" s="45">
        <f>IF(CH83="","",RANK(CH83,CH$73:CH$84,1))</f>
        <v>11</v>
      </c>
      <c r="CG83" s="191" t="str">
        <f>IF(OR($AA$2="",$AA$2=0,CH83=""),"",$AA$2)</f>
        <v>JG</v>
      </c>
      <c r="CH83" s="215">
        <f>$AD$34</f>
        <v>70</v>
      </c>
      <c r="CI83" s="144"/>
      <c r="CJ83" s="49">
        <f>IF(CK83="","",RANK(CL83,CL$73:CL$84,0))</f>
        <v>3</v>
      </c>
      <c r="CK83" s="191" t="str">
        <f>IF(OR($AU$2="",$AU$2=0),"",$AU$2)</f>
        <v>RR</v>
      </c>
      <c r="CL83" s="192">
        <f>IF(OR(CK83="",CK83=0),"",SUM(CM83,CO83,CQ83,CS83))</f>
        <v>-10</v>
      </c>
      <c r="CM83" s="55">
        <f>IF(CK83="","",-$BO$6)</f>
        <v>-10</v>
      </c>
      <c r="CN83" s="193" t="str">
        <f>IF(IF($BO$48&gt;0,COUNTIF($AW$12,1),0)+IF($BO$48&gt;1,COUNTIF($AW$20,1),0)+IF($BO$48&gt;2,COUNTIF($AW$26,1),0)+IF($BO$48&gt;3,COUNTIF($AW$31,1),0)&gt;0,IF($BO$48&gt;0,COUNTIF($AW$12,1),0)+IF($BO$48&gt;1,COUNTIF($AW$20,1),0)+IF($BO$48&gt;2,COUNTIF($AW$26,1),0)+IF($BO$48&gt;3,COUNTIF($AW$31,1),0),"")</f>
        <v/>
      </c>
      <c r="CO83" s="58" t="str">
        <f>IF(CN83="","",IF(AND($BO$48&gt;0,$AW$12=1),$BO$8/$BO$14,0)+IF(AND($BO$48&gt;1,$AW$20=1),$BO$8/$BO$22,0)+IF(AND($BO$48&gt;2,$AW$26=1),$BO$8/$BO$28,0)+IF(AND($BO$48&gt;3,$AW$31=1),$BO$8/$BO$33,0))</f>
        <v/>
      </c>
      <c r="CP83" s="194" t="str">
        <f>IF($AW$34=1,"✓","")</f>
        <v/>
      </c>
      <c r="CQ83" s="58" t="str">
        <f>IF(CP83="✓",IF($BO$35&gt;1,($BO$9+$BO$10)/$BO$35,$BO$9/$BO$35),"")</f>
        <v/>
      </c>
      <c r="CR83" s="194" t="str">
        <f>IF($AW$34=2,"✓","")</f>
        <v/>
      </c>
      <c r="CS83" s="50" t="str">
        <f>IF(CR83="✓",$BO$10/$BP$35,"")</f>
        <v/>
      </c>
      <c r="CT83" s="1"/>
      <c r="DK83" s="1"/>
      <c r="DL83" s="211" t="str">
        <f>CONCATENATE($DM$5,$M$24,$DN$5)</f>
        <v xml:space="preserve">   "",</v>
      </c>
      <c r="DM83" s="11"/>
      <c r="DN83" s="11"/>
    </row>
    <row r="84" spans="80:118" ht="15" customHeight="1" thickBot="1" x14ac:dyDescent="0.25">
      <c r="CB84" s="43">
        <f ca="1">IF(CC84="","",OFFSET($AS$34,$G$70,0))</f>
        <v>12</v>
      </c>
      <c r="CC84" s="195" t="str">
        <f ca="1">IF(OR($AQ$2="",$AQ$2=0,CD84=""),"",$AQ$2)</f>
        <v>MB</v>
      </c>
      <c r="CD84" s="216">
        <f ca="1">OFFSET($AT$34,$G$70,0)</f>
        <v>78</v>
      </c>
      <c r="CE84" s="145"/>
      <c r="CF84" s="46">
        <f>IF(CH84="","",RANK(CH84,CH$73:CH$84,1))</f>
        <v>12</v>
      </c>
      <c r="CG84" s="195" t="str">
        <f>IF(OR($AQ$2="",$AQ$2=0,CH84=""),"",$AQ$2)</f>
        <v>MB</v>
      </c>
      <c r="CH84" s="216">
        <f>$AT$34</f>
        <v>78</v>
      </c>
      <c r="CI84" s="144"/>
      <c r="CJ84" s="51">
        <f>IF(CK84="","",RANK(CL84,CL$73:CL$84,0))</f>
        <v>3</v>
      </c>
      <c r="CK84" s="195" t="str">
        <f>IF(OR($AY$2="",$AY$2=0),"",$AY$2)</f>
        <v>TB</v>
      </c>
      <c r="CL84" s="196">
        <f>IF(OR(CK84="",CK84=0),"",SUM(CM84,CO84,CQ84,CS84))</f>
        <v>-10</v>
      </c>
      <c r="CM84" s="56">
        <f>IF(CK84="","",-$BO$6)</f>
        <v>-10</v>
      </c>
      <c r="CN84" s="197" t="str">
        <f>IF(IF($BO$48&gt;0,COUNTIF($BA$12,1),0)+IF($BO$48&gt;1,COUNTIF($BA$20,1),0)+IF($BO$48&gt;2,COUNTIF($BA$26,1),0)+IF($BO$48&gt;3,COUNTIF($BA$31,1),0)&gt;0,IF($BO$48&gt;0,COUNTIF($BA$12,1),0)+IF($BO$48&gt;1,COUNTIF($BA$20,1),0)+IF($BO$48&gt;2,COUNTIF($BA$26,1),0)+IF($BO$48&gt;3,COUNTIF($BA$31,1),0),"")</f>
        <v/>
      </c>
      <c r="CO84" s="59" t="str">
        <f>IF(CN84="","",IF(AND($BO$48&gt;0,$BA$12=1),$BO$8/$BO$14,0)+IF(AND($BO$48&gt;1,$BA$20=1),$BO$8/$BO$22,0)+IF(AND($BO$48&gt;2,$BA$26=1),$BO$8/$BO$28,0)+IF(AND($BO$48&gt;3,$BA$31=1),$BO$8/$BO$33,0))</f>
        <v/>
      </c>
      <c r="CP84" s="198" t="str">
        <f>IF($BA$34=1,"✓","")</f>
        <v/>
      </c>
      <c r="CQ84" s="59" t="str">
        <f>IF(CP84="✓",IF($BO$35&gt;1,($BO$9+$BO$10)/$BO$35,$BO$9/$BO$35),"")</f>
        <v/>
      </c>
      <c r="CR84" s="198" t="str">
        <f>IF($BA$34=2,"✓","")</f>
        <v/>
      </c>
      <c r="CS84" s="52" t="str">
        <f>IF(CR84="✓",$BO$10/$BP$35,"")</f>
        <v/>
      </c>
      <c r="CT84" s="1"/>
      <c r="DK84" s="1"/>
      <c r="DL84" s="211" t="str">
        <f>CONCATENATE($DM$5,$M$29,$DN$6)</f>
        <v xml:space="preserve">   ""</v>
      </c>
      <c r="DM84" s="11"/>
      <c r="DN84" s="11"/>
    </row>
    <row r="85" spans="80:118" ht="15" customHeight="1" thickTop="1" thickBot="1" x14ac:dyDescent="0.25">
      <c r="DL85" s="211" t="s">
        <v>28</v>
      </c>
      <c r="DM85" s="11"/>
      <c r="DN85" s="11"/>
    </row>
    <row r="86" spans="80:118" ht="18" customHeight="1" thickTop="1" thickBot="1" x14ac:dyDescent="0.25">
      <c r="CU86" s="248" t="str">
        <f>CONCATENATE($Z$1," Results")</f>
        <v>2022 Football Pool Results</v>
      </c>
      <c r="CV86" s="249"/>
      <c r="CW86" s="249"/>
      <c r="CX86" s="249"/>
      <c r="CY86" s="249"/>
      <c r="CZ86" s="249"/>
      <c r="DA86" s="249"/>
      <c r="DB86" s="249"/>
      <c r="DC86" s="249"/>
      <c r="DD86" s="249"/>
      <c r="DE86" s="249"/>
      <c r="DF86" s="249"/>
      <c r="DG86" s="249"/>
      <c r="DH86" s="249"/>
      <c r="DI86" s="249"/>
      <c r="DJ86" s="250"/>
      <c r="DL86" s="211"/>
      <c r="DM86" s="11"/>
      <c r="DN86" s="11"/>
    </row>
    <row r="87" spans="80:118" ht="18" customHeight="1" thickTop="1" thickBot="1" x14ac:dyDescent="0.25">
      <c r="CU87" s="274" t="s">
        <v>5</v>
      </c>
      <c r="CV87" s="255" t="s">
        <v>109</v>
      </c>
      <c r="CW87" s="277" t="s">
        <v>110</v>
      </c>
      <c r="CX87" s="278"/>
      <c r="CY87" s="278"/>
      <c r="CZ87" s="278"/>
      <c r="DA87" s="278"/>
      <c r="DB87" s="278"/>
      <c r="DC87" s="279"/>
      <c r="DD87" s="278" t="s">
        <v>111</v>
      </c>
      <c r="DE87" s="278"/>
      <c r="DF87" s="278"/>
      <c r="DG87" s="278"/>
      <c r="DH87" s="278"/>
      <c r="DI87" s="278"/>
      <c r="DJ87" s="279"/>
      <c r="DL87" s="211" t="s">
        <v>63</v>
      </c>
      <c r="DM87" s="11"/>
      <c r="DN87" s="11"/>
    </row>
    <row r="88" spans="80:118" ht="12.95" customHeight="1" x14ac:dyDescent="0.2">
      <c r="CU88" s="275"/>
      <c r="CV88" s="256"/>
      <c r="CW88" s="272" t="s">
        <v>98</v>
      </c>
      <c r="CX88" s="268" t="s">
        <v>97</v>
      </c>
      <c r="CY88" s="268" t="s">
        <v>98</v>
      </c>
      <c r="CZ88" s="268" t="s">
        <v>99</v>
      </c>
      <c r="DA88" s="268"/>
      <c r="DB88" s="268" t="s">
        <v>100</v>
      </c>
      <c r="DC88" s="280"/>
      <c r="DD88" s="270" t="str">
        <f>CONCATENATE("Cost to Play ($",$BO$6,")")</f>
        <v>Cost to Play ($10)</v>
      </c>
      <c r="DE88" s="268" t="s">
        <v>97</v>
      </c>
      <c r="DF88" s="268"/>
      <c r="DG88" s="268" t="s">
        <v>101</v>
      </c>
      <c r="DH88" s="268"/>
      <c r="DI88" s="268" t="s">
        <v>102</v>
      </c>
      <c r="DJ88" s="280"/>
      <c r="DL88" s="211" t="str">
        <f>CONCATENATE($DM$5,$DN$5)</f>
        <v xml:space="preserve">   "",</v>
      </c>
      <c r="DM88" s="11"/>
      <c r="DN88" s="11"/>
    </row>
    <row r="89" spans="80:118" ht="12.95" customHeight="1" thickBot="1" x14ac:dyDescent="0.25">
      <c r="CU89" s="276"/>
      <c r="CV89" s="257"/>
      <c r="CW89" s="273"/>
      <c r="CX89" s="269"/>
      <c r="CY89" s="269"/>
      <c r="CZ89" s="269"/>
      <c r="DA89" s="269"/>
      <c r="DB89" s="269"/>
      <c r="DC89" s="281"/>
      <c r="DD89" s="271"/>
      <c r="DE89" s="269"/>
      <c r="DF89" s="269"/>
      <c r="DG89" s="269"/>
      <c r="DH89" s="269"/>
      <c r="DI89" s="269"/>
      <c r="DJ89" s="281"/>
      <c r="DL89" s="211" t="str">
        <f>CONCATENATE($DM$5,$DN$5)</f>
        <v xml:space="preserve">   "",</v>
      </c>
      <c r="DM89" s="11"/>
      <c r="DN89" s="11"/>
    </row>
    <row r="90" spans="80:118" ht="15" customHeight="1" x14ac:dyDescent="0.2">
      <c r="CU90" s="236" t="str">
        <f>IF(OR($K$2="",$K$2=0),"",$K$2)</f>
        <v>CK</v>
      </c>
      <c r="CV90" s="199">
        <f>IF(CU90="","",SUM(CW90,CY90,DA90,DC90,DD90,DF90,DH90,DJ90))</f>
        <v>68</v>
      </c>
      <c r="CW90" s="149">
        <v>-54</v>
      </c>
      <c r="CX90" s="150">
        <v>2</v>
      </c>
      <c r="CY90" s="151">
        <v>62</v>
      </c>
      <c r="CZ90" s="200" t="s">
        <v>209</v>
      </c>
      <c r="DA90" s="151" t="s">
        <v>209</v>
      </c>
      <c r="DB90" s="201" t="s">
        <v>209</v>
      </c>
      <c r="DC90" s="152" t="s">
        <v>209</v>
      </c>
      <c r="DD90" s="153">
        <f>IF(CU90="","",-$BO$6)</f>
        <v>-10</v>
      </c>
      <c r="DE90" s="150">
        <f>IF(IF($BO$48&gt;0,COUNTIF($M$12,1),0)+IF($BO$48&gt;1,COUNTIF($M$20,1),0)+IF($BO$48&gt;2,COUNTIF($M$26,1),0)+IF($BO$48&gt;3,COUNTIF($M$31,1),0)&gt;0,IF($BO$48&gt;0,COUNTIF($M$12,1),0)+IF($BO$48&gt;1,COUNTIF($M$20,1),0)+IF($BO$48&gt;2,COUNTIF($M$26,1),0)+IF($BO$48&gt;3,COUNTIF($M$31,1),0),"")</f>
        <v>1</v>
      </c>
      <c r="DF90" s="151">
        <f>IF(DE90="","",IF(AND($BO$48&gt;0,$M$12=1),$BO$8/$BO$14,0)+IF(AND($BO$48&gt;1,$M$20=1),$BO$8/$BO$22,0)+IF(AND($BO$48&gt;2,$M$26=1),$BO$8/$BO$28,0)+IF(AND($BO$48&gt;3,$M$31=1),$BO$8/$BO$33,0))</f>
        <v>10</v>
      </c>
      <c r="DG90" s="200" t="str">
        <f>IF($M$34=1,"✓","")</f>
        <v>✓</v>
      </c>
      <c r="DH90" s="151">
        <f>IF(DG90="✓",IF($BO$35&gt;1,($BO$9+$BO$10)/$BO$35,$BO$9/$BO$35),"")</f>
        <v>60</v>
      </c>
      <c r="DI90" s="201" t="str">
        <f>IF($M$34=2,"✓","")</f>
        <v/>
      </c>
      <c r="DJ90" s="152" t="str">
        <f>IF(DI90="✓",$BO$10/$BP$35,"")</f>
        <v/>
      </c>
      <c r="DL90" s="211" t="str">
        <f>CONCATENATE($DM$5,$DN$5)</f>
        <v xml:space="preserve">   "",</v>
      </c>
      <c r="DM90" s="11"/>
      <c r="DN90" s="11"/>
    </row>
    <row r="91" spans="80:118" ht="15" customHeight="1" x14ac:dyDescent="0.2">
      <c r="CU91" s="146" t="str">
        <f>IF(OR($AA$2="",$AA$2=0),"",$AA$2)</f>
        <v>JG</v>
      </c>
      <c r="CV91" s="202">
        <f>IF(CU91="","",SUM(CW91,CY91,DA91,DC91,DD91,DF91,DH91,DJ91))</f>
        <v>60</v>
      </c>
      <c r="CW91" s="154">
        <v>-54</v>
      </c>
      <c r="CX91" s="155">
        <v>4</v>
      </c>
      <c r="CY91" s="156">
        <v>124</v>
      </c>
      <c r="CZ91" s="203" t="s">
        <v>209</v>
      </c>
      <c r="DA91" s="156" t="s">
        <v>209</v>
      </c>
      <c r="DB91" s="204" t="s">
        <v>209</v>
      </c>
      <c r="DC91" s="157" t="s">
        <v>209</v>
      </c>
      <c r="DD91" s="158">
        <f>IF(CU91="","",-$BO$6)</f>
        <v>-10</v>
      </c>
      <c r="DE91" s="155" t="str">
        <f>IF(IF($BO$48&gt;0,COUNTIF($AC$12,1),0)+IF($BO$48&gt;1,COUNTIF($AC$20,1),0)+IF($BO$48&gt;2,COUNTIF($AC$26,1),0)+IF($BO$48&gt;3,COUNTIF($AC$31,1),0)&gt;0,IF($BO$48&gt;0,COUNTIF($AC$12,1),0)+IF($BO$48&gt;1,COUNTIF($AC$20,1),0)+IF($BO$48&gt;2,COUNTIF($AC$26,1),0)+IF($BO$48&gt;3,COUNTIF($AC$31,1),0),"")</f>
        <v/>
      </c>
      <c r="DF91" s="156" t="str">
        <f>IF(DE91="","",IF(AND($BO$48&gt;0,$AC$12=1),$BO$8/$BO$14,0)+IF(AND($BO$48&gt;1,$AC$20=1),$BO$8/$BO$22,0)+IF(AND($BO$48&gt;2,$AC$26=1),$BO$8/$BO$28,0)+IF(AND($BO$48&gt;3,$AC$31=1),$BO$8/$BO$33,0))</f>
        <v/>
      </c>
      <c r="DG91" s="203" t="str">
        <f>IF($AC$34=1,"✓","")</f>
        <v/>
      </c>
      <c r="DH91" s="156" t="str">
        <f>IF(DG91="✓",IF($BO$35&gt;1,($BO$9+$BO$10)/$BO$35,$BO$9/$BO$35),"")</f>
        <v/>
      </c>
      <c r="DI91" s="204" t="str">
        <f>IF($AC$34=2,"✓","")</f>
        <v/>
      </c>
      <c r="DJ91" s="157" t="str">
        <f>IF(DI91="✓",$BO$10/$BP$35,"")</f>
        <v/>
      </c>
      <c r="DL91" s="211" t="str">
        <f>CONCATENATE($DM$5,$DN$5)</f>
        <v xml:space="preserve">   "",</v>
      </c>
      <c r="DM91" s="11"/>
      <c r="DN91" s="11"/>
    </row>
    <row r="92" spans="80:118" ht="15" customHeight="1" x14ac:dyDescent="0.2">
      <c r="CU92" s="146" t="str">
        <f>IF(OR($AQ$2="",$AQ$2=0),"",$AQ$2)</f>
        <v>MB</v>
      </c>
      <c r="CV92" s="202">
        <f>IF(CU92="","",SUM(CW92,CY92,DA92,DC92,DD92,DF92,DH92,DJ92))</f>
        <v>29</v>
      </c>
      <c r="CW92" s="154">
        <v>-54</v>
      </c>
      <c r="CX92" s="155">
        <v>3</v>
      </c>
      <c r="CY92" s="156">
        <v>93</v>
      </c>
      <c r="CZ92" s="203" t="s">
        <v>209</v>
      </c>
      <c r="DA92" s="156" t="s">
        <v>209</v>
      </c>
      <c r="DB92" s="204" t="s">
        <v>209</v>
      </c>
      <c r="DC92" s="157" t="s">
        <v>209</v>
      </c>
      <c r="DD92" s="158">
        <f>IF(CU92="","",-$BO$6)</f>
        <v>-10</v>
      </c>
      <c r="DE92" s="155" t="str">
        <f>IF(IF($BO$48&gt;0,COUNTIF($AS$12,1),0)+IF($BO$48&gt;1,COUNTIF($AS$20,1),0)+IF($BO$48&gt;2,COUNTIF($AS$26,1),0)+IF($BO$48&gt;3,COUNTIF($AS$31,1),0)&gt;0,IF($BO$48&gt;0,COUNTIF($AS$12,1),0)+IF($BO$48&gt;1,COUNTIF($AS$20,1),0)+IF($BO$48&gt;2,COUNTIF($AS$26,1),0)+IF($BO$48&gt;3,COUNTIF($AS$31,1),0),"")</f>
        <v/>
      </c>
      <c r="DF92" s="156" t="str">
        <f>IF(DE92="","",IF(AND($BO$48&gt;0,$AS$12=1),$BO$8/$BO$14,0)+IF(AND($BO$48&gt;1,$AS$20=1),$BO$8/$BO$22,0)+IF(AND($BO$48&gt;2,$AS$26=1),$BO$8/$BO$28,0)+IF(AND($BO$48&gt;3,$AS$31=1),$BO$8/$BO$33,0))</f>
        <v/>
      </c>
      <c r="DG92" s="203" t="str">
        <f>IF($AS$34=1,"✓","")</f>
        <v/>
      </c>
      <c r="DH92" s="156" t="str">
        <f>IF(DG92="✓",IF($BO$35&gt;1,($BO$9+$BO$10)/$BO$35,$BO$9/$BO$35),"")</f>
        <v/>
      </c>
      <c r="DI92" s="204" t="str">
        <f>IF($AS$34=2,"✓","")</f>
        <v/>
      </c>
      <c r="DJ92" s="157" t="str">
        <f>IF(DI92="✓",$BO$10/$BP$35,"")</f>
        <v/>
      </c>
      <c r="DL92" s="211" t="str">
        <f>CONCATENATE($DM$5,$DN$5)</f>
        <v xml:space="preserve">   "",</v>
      </c>
      <c r="DM92" s="11"/>
      <c r="DN92" s="11"/>
    </row>
    <row r="93" spans="80:118" ht="15" customHeight="1" x14ac:dyDescent="0.2">
      <c r="CU93" s="237" t="str">
        <f>IF(OR($AY$2="",$AY$2=0),"",$AY$2)</f>
        <v>TB</v>
      </c>
      <c r="CV93" s="202">
        <f>IF(CU93="","",SUM(CW93,CY93,DA93,DC93,DD93,DF93,DH93,DJ93))</f>
        <v>29</v>
      </c>
      <c r="CW93" s="154">
        <v>-54</v>
      </c>
      <c r="CX93" s="155">
        <v>3</v>
      </c>
      <c r="CY93" s="156">
        <v>93</v>
      </c>
      <c r="CZ93" s="203" t="s">
        <v>209</v>
      </c>
      <c r="DA93" s="156" t="s">
        <v>209</v>
      </c>
      <c r="DB93" s="204" t="s">
        <v>209</v>
      </c>
      <c r="DC93" s="157" t="s">
        <v>209</v>
      </c>
      <c r="DD93" s="158">
        <f>IF(CU93="","",-$BO$6)</f>
        <v>-10</v>
      </c>
      <c r="DE93" s="155" t="str">
        <f>IF(IF($BO$48&gt;0,COUNTIF($BA$12,1),0)+IF($BO$48&gt;1,COUNTIF($BA$20,1),0)+IF($BO$48&gt;2,COUNTIF($BA$26,1),0)+IF($BO$48&gt;3,COUNTIF($BA$31,1),0)&gt;0,IF($BO$48&gt;0,COUNTIF($BA$12,1),0)+IF($BO$48&gt;1,COUNTIF($BA$20,1),0)+IF($BO$48&gt;2,COUNTIF($BA$26,1),0)+IF($BO$48&gt;3,COUNTIF($BA$31,1),0),"")</f>
        <v/>
      </c>
      <c r="DF93" s="156" t="str">
        <f>IF(DE93="","",IF(AND($BO$48&gt;0,$BA$12=1),$BO$8/$BO$14,0)+IF(AND($BO$48&gt;1,$BA$20=1),$BO$8/$BO$22,0)+IF(AND($BO$48&gt;2,$BA$26=1),$BO$8/$BO$28,0)+IF(AND($BO$48&gt;3,$BA$31=1),$BO$8/$BO$33,0))</f>
        <v/>
      </c>
      <c r="DG93" s="203" t="str">
        <f>IF($BA$34=1,"✓","")</f>
        <v/>
      </c>
      <c r="DH93" s="156" t="str">
        <f>IF(DG93="✓",IF($BO$35&gt;1,($BO$9+$BO$10)/$BO$35,$BO$9/$BO$35),"")</f>
        <v/>
      </c>
      <c r="DI93" s="204" t="str">
        <f>IF($BA$34=2,"✓","")</f>
        <v/>
      </c>
      <c r="DJ93" s="157" t="str">
        <f>IF(DI93="✓",$BO$10/$BP$35,"")</f>
        <v/>
      </c>
      <c r="DL93" s="211" t="str">
        <f>CONCATENATE($DM$5,$M$11,$DN$5)</f>
        <v xml:space="preserve">   "48",</v>
      </c>
      <c r="DM93" s="11"/>
      <c r="DN93" s="11"/>
    </row>
    <row r="94" spans="80:118" ht="15" customHeight="1" x14ac:dyDescent="0.2">
      <c r="CU94" s="146" t="str">
        <f>IF(OR($S$2="",$S$2=0),"",$S$2)</f>
        <v>DC</v>
      </c>
      <c r="CV94" s="202">
        <f>IF(CU94="","",SUM(CW94,CY94,DA94,DC94,DD94,DF94,DH94,DJ94))</f>
        <v>3</v>
      </c>
      <c r="CW94" s="154">
        <v>-54</v>
      </c>
      <c r="CX94" s="155">
        <v>1</v>
      </c>
      <c r="CY94" s="156">
        <v>31</v>
      </c>
      <c r="CZ94" s="203" t="s">
        <v>209</v>
      </c>
      <c r="DA94" s="156" t="s">
        <v>209</v>
      </c>
      <c r="DB94" s="204" t="s">
        <v>210</v>
      </c>
      <c r="DC94" s="157">
        <v>36</v>
      </c>
      <c r="DD94" s="158">
        <f>IF(CU94="","",-$BO$6)</f>
        <v>-10</v>
      </c>
      <c r="DE94" s="155" t="str">
        <f>IF(IF($BO$48&gt;0,COUNTIF($U$12,1),0)+IF($BO$48&gt;1,COUNTIF($U$20,1),0)+IF($BO$48&gt;2,COUNTIF($U$26,1),0)+IF($BO$48&gt;3,COUNTIF($U$31,1),0)&gt;0,IF($BO$48&gt;0,COUNTIF($U$12,1),0)+IF($BO$48&gt;1,COUNTIF($U$20,1),0)+IF($BO$48&gt;2,COUNTIF($U$26,1),0)+IF($BO$48&gt;3,COUNTIF($U$31,1),0),"")</f>
        <v/>
      </c>
      <c r="DF94" s="156" t="str">
        <f>IF(DE94="","",IF(AND($BO$48&gt;0,$U$12=1),$BO$8/$BO$14,0)+IF(AND($BO$48&gt;1,$U$20=1),$BO$8/$BO$22,0)+IF(AND($BO$48&gt;2,$U$26=1),$BO$8/$BO$28,0)+IF(AND($BO$48&gt;3,$U$31=1),$BO$8/$BO$33,0))</f>
        <v/>
      </c>
      <c r="DG94" s="203" t="str">
        <f>IF($U$34=1,"✓","")</f>
        <v/>
      </c>
      <c r="DH94" s="156" t="str">
        <f>IF(DG94="✓",IF($BO$35&gt;1,($BO$9+$BO$10)/$BO$35,$BO$9/$BO$35),"")</f>
        <v/>
      </c>
      <c r="DI94" s="204" t="str">
        <f>IF($U$34=2,"✓","")</f>
        <v/>
      </c>
      <c r="DJ94" s="157" t="str">
        <f>IF(DI94="✓",$BO$10/$BP$35,"")</f>
        <v/>
      </c>
      <c r="DL94" s="211" t="str">
        <f>CONCATENATE($DM$5,$DN$5)</f>
        <v xml:space="preserve">   "",</v>
      </c>
      <c r="DM94" s="11"/>
      <c r="DN94" s="11"/>
    </row>
    <row r="95" spans="80:118" ht="15" customHeight="1" x14ac:dyDescent="0.2">
      <c r="CU95" s="146" t="str">
        <f>IF(OR($AU$2="",$AU$2=0),"",$AU$2)</f>
        <v>RR</v>
      </c>
      <c r="CV95" s="202">
        <f>IF(CU95="","",SUM(CW95,CY95,DA95,DC95,DD95,DF95,DH95,DJ95))</f>
        <v>-2</v>
      </c>
      <c r="CW95" s="154">
        <v>-54</v>
      </c>
      <c r="CX95" s="155">
        <v>2</v>
      </c>
      <c r="CY95" s="156">
        <v>62</v>
      </c>
      <c r="CZ95" s="203" t="s">
        <v>209</v>
      </c>
      <c r="DA95" s="156" t="s">
        <v>209</v>
      </c>
      <c r="DB95" s="204" t="s">
        <v>209</v>
      </c>
      <c r="DC95" s="157" t="s">
        <v>209</v>
      </c>
      <c r="DD95" s="158">
        <f>IF(CU95="","",-$BO$6)</f>
        <v>-10</v>
      </c>
      <c r="DE95" s="155" t="str">
        <f>IF(IF($BO$48&gt;0,COUNTIF($AW$12,1),0)+IF($BO$48&gt;1,COUNTIF($AW$20,1),0)+IF($BO$48&gt;2,COUNTIF($AW$26,1),0)+IF($BO$48&gt;3,COUNTIF($AW$31,1),0)&gt;0,IF($BO$48&gt;0,COUNTIF($AW$12,1),0)+IF($BO$48&gt;1,COUNTIF($AW$20,1),0)+IF($BO$48&gt;2,COUNTIF($AW$26,1),0)+IF($BO$48&gt;3,COUNTIF($AW$31,1),0),"")</f>
        <v/>
      </c>
      <c r="DF95" s="156" t="str">
        <f>IF(DE95="","",IF(AND($BO$48&gt;0,$AW$12=1),$BO$8/$BO$14,0)+IF(AND($BO$48&gt;1,$AW$20=1),$BO$8/$BO$22,0)+IF(AND($BO$48&gt;2,$AW$26=1),$BO$8/$BO$28,0)+IF(AND($BO$48&gt;3,$AW$31=1),$BO$8/$BO$33,0))</f>
        <v/>
      </c>
      <c r="DG95" s="203" t="str">
        <f>IF($AW$34=1,"✓","")</f>
        <v/>
      </c>
      <c r="DH95" s="156" t="str">
        <f>IF(DG95="✓",IF($BO$35&gt;1,($BO$9+$BO$10)/$BO$35,$BO$9/$BO$35),"")</f>
        <v/>
      </c>
      <c r="DI95" s="204" t="str">
        <f>IF($AW$34=2,"✓","")</f>
        <v/>
      </c>
      <c r="DJ95" s="157" t="str">
        <f>IF(DI95="✓",$BO$10/$BP$35,"")</f>
        <v/>
      </c>
      <c r="DL95" s="211" t="str">
        <f>CONCATENATE($DM$5,$DN$5)</f>
        <v xml:space="preserve">   "",</v>
      </c>
      <c r="DM95" s="11"/>
      <c r="DN95" s="11"/>
    </row>
    <row r="96" spans="80:118" ht="15" customHeight="1" x14ac:dyDescent="0.2">
      <c r="CU96" s="146" t="str">
        <f>IF(OR($G$2="",$G$2=0),"",$G$2)</f>
        <v>BM</v>
      </c>
      <c r="CV96" s="202">
        <f>IF(CU96="","",SUM(CW96,CY96,DA96,DC96,DD96,DF96,DH96,DJ96))</f>
        <v>-10</v>
      </c>
      <c r="CW96" s="154">
        <v>-54</v>
      </c>
      <c r="CX96" s="155" t="s">
        <v>209</v>
      </c>
      <c r="CY96" s="156" t="s">
        <v>209</v>
      </c>
      <c r="CZ96" s="203" t="s">
        <v>210</v>
      </c>
      <c r="DA96" s="156">
        <v>54</v>
      </c>
      <c r="DB96" s="204" t="s">
        <v>209</v>
      </c>
      <c r="DC96" s="157" t="s">
        <v>209</v>
      </c>
      <c r="DD96" s="158">
        <f>IF(CU96="","",-$BO$6)</f>
        <v>-10</v>
      </c>
      <c r="DE96" s="155" t="str">
        <f>IF(IF($BO$48&gt;0,COUNTIF($I$12,1),0)+IF($BO$48&gt;1,COUNTIF($I$20,1),0)+IF($BO$48&gt;2,COUNTIF($I$26,1),0)+IF($BO$48&gt;3,COUNTIF($I$31,1),0)&gt;0,IF($BO$48&gt;0,COUNTIF($I$12,1),0)+IF($BO$48&gt;1,COUNTIF($I$20,1),0)+IF($BO$48&gt;2,COUNTIF($I$26,1),0)+IF($BO$48&gt;3,COUNTIF($I$31,1),0),"")</f>
        <v/>
      </c>
      <c r="DF96" s="156" t="str">
        <f>IF(DE96="","",IF(AND($BO$48&gt;0,$I$12=1),$BO$8/$BO$14,0)+IF(AND($BO$48&gt;1,$I$20=1),$BO$8/$BO$22,0)+IF(AND($BO$48&gt;2,$I$26=1),$BO$8/$BO$28,0)+IF(AND($BO$48&gt;3,$I$31=1),$BO$8/$BO$33,0))</f>
        <v/>
      </c>
      <c r="DG96" s="203" t="str">
        <f>IF($I$34=1,"✓","")</f>
        <v/>
      </c>
      <c r="DH96" s="156" t="str">
        <f>IF(DG96="✓",IF($BO$35&gt;1,($BO$9+$BO$10)/$BO$35,$BO$9/$BO$35),"")</f>
        <v/>
      </c>
      <c r="DI96" s="204" t="str">
        <f>IF($I$34=2,"✓","")</f>
        <v/>
      </c>
      <c r="DJ96" s="157" t="str">
        <f>IF(DI96="✓",$BO$10/$BP$35,"")</f>
        <v/>
      </c>
      <c r="DL96" s="211" t="str">
        <f>CONCATENATE($DM$5,$DN$5)</f>
        <v xml:space="preserve">   "",</v>
      </c>
      <c r="DM96" s="11"/>
      <c r="DN96" s="11"/>
    </row>
    <row r="97" spans="99:118" ht="15" customHeight="1" x14ac:dyDescent="0.2">
      <c r="CU97" s="146" t="str">
        <f>IF(OR($AM$2="",$AM$2=0),"",$AM$2)</f>
        <v>KK</v>
      </c>
      <c r="CV97" s="202">
        <f>IF(CU97="","",SUM(CW97,CY97,DA97,DC97,DD97,DF97,DH97,DJ97))</f>
        <v>-13</v>
      </c>
      <c r="CW97" s="154">
        <v>-54</v>
      </c>
      <c r="CX97" s="155">
        <v>1</v>
      </c>
      <c r="CY97" s="156">
        <v>31</v>
      </c>
      <c r="CZ97" s="203" t="s">
        <v>209</v>
      </c>
      <c r="DA97" s="156" t="s">
        <v>209</v>
      </c>
      <c r="DB97" s="204" t="s">
        <v>209</v>
      </c>
      <c r="DC97" s="157" t="s">
        <v>209</v>
      </c>
      <c r="DD97" s="158">
        <f>IF(CU97="","",-$BO$6)</f>
        <v>-10</v>
      </c>
      <c r="DE97" s="155" t="str">
        <f>IF(IF($BO$48&gt;0,COUNTIF($AO$12,1),0)+IF($BO$48&gt;1,COUNTIF($AO$20,1),0)+IF($BO$48&gt;2,COUNTIF($AO$26,1),0)+IF($BO$48&gt;3,COUNTIF($AO$31,1),0)&gt;0,IF($BO$48&gt;0,COUNTIF($AO$12,1),0)+IF($BO$48&gt;1,COUNTIF($AO$20,1),0)+IF($BO$48&gt;2,COUNTIF($AO$26,1),0)+IF($BO$48&gt;3,COUNTIF($AO$31,1),0),"")</f>
        <v/>
      </c>
      <c r="DF97" s="156" t="str">
        <f>IF(DE97="","",IF(AND($BO$48&gt;0,$AO$12=1),$BO$8/$BO$14,0)+IF(AND($BO$48&gt;1,$AO$20=1),$BO$8/$BO$22,0)+IF(AND($BO$48&gt;2,$AO$26=1),$BO$8/$BO$28,0)+IF(AND($BO$48&gt;3,$AO$31=1),$BO$8/$BO$33,0))</f>
        <v/>
      </c>
      <c r="DG97" s="203" t="str">
        <f>IF($AO$34=1,"✓","")</f>
        <v/>
      </c>
      <c r="DH97" s="156" t="str">
        <f>IF(DG97="✓",IF($BO$35&gt;1,($BO$9+$BO$10)/$BO$35,$BO$9/$BO$35),"")</f>
        <v/>
      </c>
      <c r="DI97" s="204" t="str">
        <f>IF($AO$34=2,"✓","")</f>
        <v>✓</v>
      </c>
      <c r="DJ97" s="157">
        <f>IF(DI97="✓",$BO$10/$BP$35,"")</f>
        <v>20</v>
      </c>
      <c r="DL97" s="211" t="str">
        <f>CONCATENATE($DM$5,$M$19,$DN$5)</f>
        <v xml:space="preserve">   "",</v>
      </c>
      <c r="DM97" s="11"/>
      <c r="DN97" s="11"/>
    </row>
    <row r="98" spans="99:118" ht="15" customHeight="1" x14ac:dyDescent="0.2">
      <c r="CU98" s="146" t="str">
        <f>IF(OR($AE$2="",$AE$2=0),"",$AE$2)</f>
        <v>JL</v>
      </c>
      <c r="CV98" s="202">
        <f>IF(CU98="","",SUM(CW98,CY98,DA98,DC98,DD98,DF98,DH98,DJ98))</f>
        <v>-33</v>
      </c>
      <c r="CW98" s="154">
        <v>-54</v>
      </c>
      <c r="CX98" s="155">
        <v>1</v>
      </c>
      <c r="CY98" s="156">
        <v>31</v>
      </c>
      <c r="CZ98" s="203" t="s">
        <v>209</v>
      </c>
      <c r="DA98" s="156" t="s">
        <v>209</v>
      </c>
      <c r="DB98" s="204" t="s">
        <v>209</v>
      </c>
      <c r="DC98" s="157" t="s">
        <v>209</v>
      </c>
      <c r="DD98" s="158">
        <f>IF(CU98="","",-$BO$6)</f>
        <v>-10</v>
      </c>
      <c r="DE98" s="155" t="str">
        <f>IF(IF($BO$48&gt;0,COUNTIF($AG$12,1),0)+IF($BO$48&gt;1,COUNTIF($AG$20,1),0)+IF($BO$48&gt;2,COUNTIF($AG$26,1),0)+IF($BO$48&gt;3,COUNTIF($AG$31,1),0)&gt;0,IF($BO$48&gt;0,COUNTIF($AG$12,1),0)+IF($BO$48&gt;1,COUNTIF($AG$20,1),0)+IF($BO$48&gt;2,COUNTIF($AG$26,1),0)+IF($BO$48&gt;3,COUNTIF($AG$31,1),0),"")</f>
        <v/>
      </c>
      <c r="DF98" s="156" t="str">
        <f>IF(DE98="","",IF(AND($BO$48&gt;0,$AG$12=1),$BO$8/$BO$14,0)+IF(AND($BO$48&gt;1,$AG$20=1),$BO$8/$BO$22,0)+IF(AND($BO$48&gt;2,$AG$26=1),$BO$8/$BO$28,0)+IF(AND($BO$48&gt;3,$AG$31=1),$BO$8/$BO$33,0))</f>
        <v/>
      </c>
      <c r="DG98" s="203" t="str">
        <f>IF($AG$34=1,"✓","")</f>
        <v/>
      </c>
      <c r="DH98" s="156" t="str">
        <f>IF(DG98="✓",IF($BO$35&gt;1,($BO$9+$BO$10)/$BO$35,$BO$9/$BO$35),"")</f>
        <v/>
      </c>
      <c r="DI98" s="204" t="str">
        <f>IF($AG$34=2,"✓","")</f>
        <v/>
      </c>
      <c r="DJ98" s="157" t="str">
        <f>IF(DI98="✓",$BO$10/$BP$35,"")</f>
        <v/>
      </c>
      <c r="DL98" s="211" t="str">
        <f>CONCATENATE($DM$5,$DN$5)</f>
        <v xml:space="preserve">   "",</v>
      </c>
      <c r="DM98" s="11"/>
      <c r="DN98" s="11"/>
    </row>
    <row r="99" spans="99:118" ht="15" customHeight="1" x14ac:dyDescent="0.2">
      <c r="CU99" s="146" t="str">
        <f>IF(OR($AI$2="",$AI$2=0),"",$AI$2)</f>
        <v>KC</v>
      </c>
      <c r="CV99" s="202">
        <f>IF(CU99="","",SUM(CW99,CY99,DA99,DC99,DD99,DF99,DH99,DJ99))</f>
        <v>-33</v>
      </c>
      <c r="CW99" s="154">
        <v>-54</v>
      </c>
      <c r="CX99" s="155">
        <v>1</v>
      </c>
      <c r="CY99" s="156">
        <v>31</v>
      </c>
      <c r="CZ99" s="203" t="s">
        <v>209</v>
      </c>
      <c r="DA99" s="156" t="s">
        <v>209</v>
      </c>
      <c r="DB99" s="204" t="s">
        <v>209</v>
      </c>
      <c r="DC99" s="157" t="s">
        <v>209</v>
      </c>
      <c r="DD99" s="158">
        <f>IF(CU99="","",-$BO$6)</f>
        <v>-10</v>
      </c>
      <c r="DE99" s="155" t="str">
        <f>IF(IF($BO$48&gt;0,COUNTIF($AK$12,1),0)+IF($BO$48&gt;1,COUNTIF($AK$20,1),0)+IF($BO$48&gt;2,COUNTIF($AK$26,1),0)+IF($BO$48&gt;3,COUNTIF($AK$31,1),0)&gt;0,IF($BO$48&gt;0,COUNTIF($AK$12,1),0)+IF($BO$48&gt;1,COUNTIF($AK$20,1),0)+IF($BO$48&gt;2,COUNTIF($AK$26,1),0)+IF($BO$48&gt;3,COUNTIF($AK$31,1),0),"")</f>
        <v/>
      </c>
      <c r="DF99" s="156" t="str">
        <f>IF(DE99="","",IF(AND($BO$48&gt;0,$AK$12=1),$BO$8/$BO$14,0)+IF(AND($BO$48&gt;1,$AK$20=1),$BO$8/$BO$22,0)+IF(AND($BO$48&gt;2,$AK$26=1),$BO$8/$BO$28,0)+IF(AND($BO$48&gt;3,$AK$31=1),$BO$8/$BO$33,0))</f>
        <v/>
      </c>
      <c r="DG99" s="203" t="str">
        <f>IF($AK$34=1,"✓","")</f>
        <v/>
      </c>
      <c r="DH99" s="156" t="str">
        <f>IF(DG99="✓",IF($BO$35&gt;1,($BO$9+$BO$10)/$BO$35,$BO$9/$BO$35),"")</f>
        <v/>
      </c>
      <c r="DI99" s="204" t="str">
        <f>IF($AK$34=2,"✓","")</f>
        <v/>
      </c>
      <c r="DJ99" s="157" t="str">
        <f>IF(DI99="✓",$BO$10/$BP$35,"")</f>
        <v/>
      </c>
      <c r="DL99" s="211" t="str">
        <f>CONCATENATE($DM$5,$M$25,$DN$5)</f>
        <v xml:space="preserve">   "",</v>
      </c>
      <c r="DM99" s="11"/>
      <c r="DN99" s="11"/>
    </row>
    <row r="100" spans="99:118" ht="15" customHeight="1" x14ac:dyDescent="0.2">
      <c r="CU100" s="146" t="str">
        <f>IF(OR($O$2="",$O$2=0),"",$O$2)</f>
        <v>CP</v>
      </c>
      <c r="CV100" s="202">
        <f>IF(CU100="","",SUM(CW100,CY100,DA100,DC100,DD100,DF100,DH100,DJ100))</f>
        <v>-64</v>
      </c>
      <c r="CW100" s="154">
        <v>-54</v>
      </c>
      <c r="CX100" s="155" t="s">
        <v>209</v>
      </c>
      <c r="CY100" s="156" t="s">
        <v>209</v>
      </c>
      <c r="CZ100" s="203" t="s">
        <v>209</v>
      </c>
      <c r="DA100" s="156" t="s">
        <v>209</v>
      </c>
      <c r="DB100" s="204" t="s">
        <v>209</v>
      </c>
      <c r="DC100" s="157" t="s">
        <v>209</v>
      </c>
      <c r="DD100" s="158">
        <f>IF(CU100="","",-$BO$6)</f>
        <v>-10</v>
      </c>
      <c r="DE100" s="155" t="str">
        <f>IF(IF($BO$48&gt;0,COUNTIF($Q$12,1),0)+IF($BO$48&gt;1,COUNTIF($Q$20,1),0)+IF($BO$48&gt;2,COUNTIF($Q$26,1),0)+IF($BO$48&gt;3,COUNTIF($Q$31,1),0)&gt;0,IF($BO$48&gt;0,COUNTIF($Q$12,1),0)+IF($BO$48&gt;1,COUNTIF($Q$20,1),0)+IF($BO$48&gt;2,COUNTIF($Q$26,1),0)+IF($BO$48&gt;3,COUNTIF($Q$31,1),0),"")</f>
        <v/>
      </c>
      <c r="DF100" s="156" t="str">
        <f>IF(DE100="","",IF(AND($BO$48&gt;0,$Q$12=1),$BO$8/$BO$14,0)+IF(AND($BO$48&gt;1,$Q$20=1),$BO$8/$BO$22,0)+IF(AND($BO$48&gt;2,$Q$26=1),$BO$8/$BO$28,0)+IF(AND($BO$48&gt;3,$Q$31=1),$BO$8/$BO$33,0))</f>
        <v/>
      </c>
      <c r="DG100" s="203" t="str">
        <f>IF($Q$34=1,"✓","")</f>
        <v/>
      </c>
      <c r="DH100" s="156" t="str">
        <f>IF(DG100="✓",IF($BO$35&gt;1,($BO$9+$BO$10)/$BO$35,$BO$9/$BO$35),"")</f>
        <v/>
      </c>
      <c r="DI100" s="204" t="str">
        <f>IF($Q$34=2,"✓","")</f>
        <v/>
      </c>
      <c r="DJ100" s="157" t="str">
        <f>IF(DI100="✓",$BO$10/$BP$35,"")</f>
        <v/>
      </c>
      <c r="DL100" s="211" t="str">
        <f>CONCATENATE($DM$5,$M$30,$DN$6)</f>
        <v xml:space="preserve">   ""</v>
      </c>
      <c r="DM100" s="11"/>
      <c r="DN100" s="11"/>
    </row>
    <row r="101" spans="99:118" ht="15" customHeight="1" thickBot="1" x14ac:dyDescent="0.25">
      <c r="CU101" s="235" t="str">
        <f>IF(OR($W$2="",$W$2=0),"",$W$2)</f>
        <v>DH</v>
      </c>
      <c r="CV101" s="205">
        <f>IF(CU101="","",SUM(CW101,CY101,DA101,DC101,DD101,DF101,DH101,DJ101))</f>
        <v>-64</v>
      </c>
      <c r="CW101" s="159">
        <v>-54</v>
      </c>
      <c r="CX101" s="160" t="s">
        <v>209</v>
      </c>
      <c r="CY101" s="161" t="s">
        <v>209</v>
      </c>
      <c r="CZ101" s="206" t="s">
        <v>209</v>
      </c>
      <c r="DA101" s="161" t="s">
        <v>209</v>
      </c>
      <c r="DB101" s="207" t="s">
        <v>209</v>
      </c>
      <c r="DC101" s="162" t="s">
        <v>209</v>
      </c>
      <c r="DD101" s="163">
        <f>IF(CU101="","",-$BO$6)</f>
        <v>-10</v>
      </c>
      <c r="DE101" s="160" t="str">
        <f>IF(IF($BO$48&gt;0,COUNTIF($Y$12,1),0)+IF($BO$48&gt;1,COUNTIF($Y$20,1),0)+IF($BO$48&gt;2,COUNTIF($Y$26,1),0)+IF($BO$48&gt;3,COUNTIF($Y$31,1),0)&gt;0,IF($BO$48&gt;0,COUNTIF($Y$12,1),0)+IF($BO$48&gt;1,COUNTIF($Y$20,1),0)+IF($BO$48&gt;2,COUNTIF($Y$26,1),0)+IF($BO$48&gt;3,COUNTIF($Y$31,1),0),"")</f>
        <v/>
      </c>
      <c r="DF101" s="161" t="str">
        <f>IF(DE101="","",IF(AND($BO$48&gt;0,$Y$12=1),$BO$8/$BO$14,0)+IF(AND($BO$48&gt;1,$Y$20=1),$BO$8/$BO$22,0)+IF(AND($BO$48&gt;2,$Y$26=1),$BO$8/$BO$28,0)+IF(AND($BO$48&gt;3,$Y$31=1),$BO$8/$BO$33,0))</f>
        <v/>
      </c>
      <c r="DG101" s="206" t="str">
        <f>IF($Y$34=1,"✓","")</f>
        <v/>
      </c>
      <c r="DH101" s="161" t="str">
        <f>IF(DG101="✓",IF($BO$35&gt;1,($BO$9+$BO$10)/$BO$35,$BO$9/$BO$35),"")</f>
        <v/>
      </c>
      <c r="DI101" s="207" t="str">
        <f>IF($Y$34=2,"✓","")</f>
        <v/>
      </c>
      <c r="DJ101" s="162" t="str">
        <f>IF(DI101="✓",$BO$10/$BP$35,"")</f>
        <v/>
      </c>
      <c r="DL101" s="211" t="s">
        <v>28</v>
      </c>
      <c r="DM101" s="11"/>
      <c r="DN101" s="11"/>
    </row>
    <row r="102" spans="99:118" ht="12.75" customHeight="1" thickTop="1" x14ac:dyDescent="0.2">
      <c r="DL102" s="212"/>
      <c r="DM102" s="11"/>
      <c r="DN102" s="11"/>
    </row>
    <row r="103" spans="99:118" ht="12.75" customHeight="1" x14ac:dyDescent="0.2">
      <c r="DL103" s="211" t="s">
        <v>32</v>
      </c>
      <c r="DM103" s="11"/>
      <c r="DN103" s="11"/>
    </row>
    <row r="104" spans="99:118" ht="12.75" customHeight="1" x14ac:dyDescent="0.2">
      <c r="DL104" s="211" t="str">
        <f>CONCATENATE($DM$5,$O$5,$DN$5)</f>
        <v xml:space="preserve">   "H",</v>
      </c>
      <c r="DM104" s="11"/>
      <c r="DN104" s="11"/>
    </row>
    <row r="105" spans="99:118" ht="12.75" customHeight="1" x14ac:dyDescent="0.2">
      <c r="DL105" s="211" t="str">
        <f>CONCATENATE($DM$5,$O$6,$DN$5)</f>
        <v xml:space="preserve">   "V",</v>
      </c>
      <c r="DM105" s="11"/>
      <c r="DN105" s="11"/>
    </row>
    <row r="106" spans="99:118" ht="12.75" customHeight="1" x14ac:dyDescent="0.2">
      <c r="DL106" s="211" t="str">
        <f>CONCATENATE($DM$5,$O$7,$DN$5)</f>
        <v xml:space="preserve">   "H",</v>
      </c>
      <c r="DM106" s="11"/>
      <c r="DN106" s="11"/>
    </row>
    <row r="107" spans="99:118" ht="12.75" customHeight="1" x14ac:dyDescent="0.2">
      <c r="DL107" s="211" t="str">
        <f>CONCATENATE($DM$5,$O$8,$DN$5)</f>
        <v xml:space="preserve">   "V",</v>
      </c>
      <c r="DM107" s="11"/>
      <c r="DN107" s="11"/>
    </row>
    <row r="108" spans="99:118" ht="12.75" customHeight="1" x14ac:dyDescent="0.2">
      <c r="DL108" s="211" t="str">
        <f>CONCATENATE($DM$5,$O$9,$DN$5)</f>
        <v xml:space="preserve">   "H",</v>
      </c>
      <c r="DM108" s="11"/>
      <c r="DN108" s="11"/>
    </row>
    <row r="109" spans="99:118" ht="12.75" customHeight="1" x14ac:dyDescent="0.2">
      <c r="DL109" s="211" t="str">
        <f>CONCATENATE($DM$5,$O$10,$DN$5)</f>
        <v xml:space="preserve">   "H",</v>
      </c>
      <c r="DM109" s="11"/>
      <c r="DN109" s="11"/>
    </row>
    <row r="110" spans="99:118" ht="12.75" customHeight="1" x14ac:dyDescent="0.2">
      <c r="DL110" s="211" t="str">
        <f>CONCATENATE($DM$5,$O$15,$DN$5)</f>
        <v xml:space="preserve">   "",</v>
      </c>
      <c r="DM110" s="11"/>
      <c r="DN110" s="11"/>
    </row>
    <row r="111" spans="99:118" ht="12.75" customHeight="1" x14ac:dyDescent="0.2">
      <c r="DL111" s="211" t="str">
        <f>CONCATENATE($DM$5,$O$16,$DN$5)</f>
        <v xml:space="preserve">   "",</v>
      </c>
      <c r="DM111" s="11"/>
      <c r="DN111" s="11"/>
    </row>
    <row r="112" spans="99:118" ht="12.75" customHeight="1" x14ac:dyDescent="0.2">
      <c r="DL112" s="211" t="str">
        <f>CONCATENATE($DM$5,$O$17,$DN$5)</f>
        <v xml:space="preserve">   "",</v>
      </c>
      <c r="DM112" s="11"/>
      <c r="DN112" s="11"/>
    </row>
    <row r="113" spans="116:118" ht="12.75" customHeight="1" x14ac:dyDescent="0.2">
      <c r="DL113" s="211" t="str">
        <f>CONCATENATE($DM$5,$O$18,$DN$5)</f>
        <v xml:space="preserve">   "",</v>
      </c>
      <c r="DM113" s="11"/>
      <c r="DN113" s="11"/>
    </row>
    <row r="114" spans="116:118" ht="12.75" customHeight="1" x14ac:dyDescent="0.2">
      <c r="DL114" s="211" t="str">
        <f>CONCATENATE($DM$5,$O$23,$DN$5)</f>
        <v xml:space="preserve">   "",</v>
      </c>
      <c r="DM114" s="11"/>
      <c r="DN114" s="11"/>
    </row>
    <row r="115" spans="116:118" ht="12.75" customHeight="1" x14ac:dyDescent="0.2">
      <c r="DL115" s="211" t="str">
        <f>CONCATENATE($DM$5,$O$24,$DN$5)</f>
        <v xml:space="preserve">   "",</v>
      </c>
      <c r="DM115" s="11"/>
      <c r="DN115" s="11"/>
    </row>
    <row r="116" spans="116:118" ht="12.75" customHeight="1" x14ac:dyDescent="0.2">
      <c r="DL116" s="211" t="str">
        <f>CONCATENATE($DM$5,$O$29,$DN$6)</f>
        <v xml:space="preserve">   ""</v>
      </c>
      <c r="DM116" s="11"/>
      <c r="DN116" s="11"/>
    </row>
    <row r="117" spans="116:118" ht="12.75" customHeight="1" x14ac:dyDescent="0.2">
      <c r="DL117" s="211" t="s">
        <v>28</v>
      </c>
      <c r="DM117" s="11"/>
      <c r="DN117" s="11"/>
    </row>
    <row r="118" spans="116:118" ht="12.75" customHeight="1" x14ac:dyDescent="0.2">
      <c r="DL118" s="211"/>
      <c r="DM118" s="11"/>
      <c r="DN118" s="11"/>
    </row>
    <row r="119" spans="116:118" ht="12.75" customHeight="1" x14ac:dyDescent="0.2">
      <c r="DL119" s="211" t="s">
        <v>33</v>
      </c>
      <c r="DM119" s="11"/>
      <c r="DN119" s="11"/>
    </row>
    <row r="120" spans="116:118" ht="12.75" customHeight="1" x14ac:dyDescent="0.2">
      <c r="DL120" s="211" t="str">
        <f>CONCATENATE($DM$5,$Q$5,$DN$5)</f>
        <v xml:space="preserve">   "9",</v>
      </c>
      <c r="DM120" s="11"/>
      <c r="DN120" s="11"/>
    </row>
    <row r="121" spans="116:118" ht="12.75" customHeight="1" x14ac:dyDescent="0.2">
      <c r="DL121" s="211" t="str">
        <f>CONCATENATE($DM$5,$Q$6,$DN$5)</f>
        <v xml:space="preserve">   "2",</v>
      </c>
      <c r="DM121" s="11"/>
      <c r="DN121" s="11"/>
    </row>
    <row r="122" spans="116:118" ht="12.75" customHeight="1" x14ac:dyDescent="0.2">
      <c r="DL122" s="211" t="str">
        <f>CONCATENATE($DM$5,$Q$7,$DN$5)</f>
        <v xml:space="preserve">   "13",</v>
      </c>
      <c r="DM122" s="11"/>
      <c r="DN122" s="11"/>
    </row>
    <row r="123" spans="116:118" ht="12.75" customHeight="1" x14ac:dyDescent="0.2">
      <c r="DL123" s="211" t="str">
        <f>CONCATENATE($DM$5,$Q$8,$DN$5)</f>
        <v xml:space="preserve">   "3",</v>
      </c>
      <c r="DM123" s="11"/>
      <c r="DN123" s="11"/>
    </row>
    <row r="124" spans="116:118" ht="12.75" customHeight="1" x14ac:dyDescent="0.2">
      <c r="DL124" s="211" t="str">
        <f>CONCATENATE($DM$5,$Q$9,$DN$5)</f>
        <v xml:space="preserve">   "8",</v>
      </c>
      <c r="DM124" s="11"/>
      <c r="DN124" s="11"/>
    </row>
    <row r="125" spans="116:118" ht="12.75" customHeight="1" x14ac:dyDescent="0.2">
      <c r="DL125" s="211" t="str">
        <f>CONCATENATE($DM$5,$Q$10,$DN$5)</f>
        <v xml:space="preserve">   "2",</v>
      </c>
      <c r="DM125" s="11"/>
      <c r="DN125" s="11"/>
    </row>
    <row r="126" spans="116:118" ht="12.75" customHeight="1" x14ac:dyDescent="0.2">
      <c r="DL126" s="211" t="str">
        <f>CONCATENATE($DM$5,$Q$15,$DN$5)</f>
        <v xml:space="preserve">   "",</v>
      </c>
      <c r="DM126" s="11"/>
      <c r="DN126" s="11"/>
    </row>
    <row r="127" spans="116:118" ht="12.75" customHeight="1" x14ac:dyDescent="0.2">
      <c r="DL127" s="211" t="str">
        <f>CONCATENATE($DM$5,$Q$16,$DN$5)</f>
        <v xml:space="preserve">   "",</v>
      </c>
      <c r="DM127" s="11"/>
      <c r="DN127" s="11"/>
    </row>
    <row r="128" spans="116:118" ht="12.75" customHeight="1" x14ac:dyDescent="0.2">
      <c r="DL128" s="211" t="str">
        <f>CONCATENATE($DM$5,$Q$17,$DN$5)</f>
        <v xml:space="preserve">   "",</v>
      </c>
      <c r="DM128" s="11"/>
      <c r="DN128" s="11"/>
    </row>
    <row r="129" spans="116:118" ht="12.75" customHeight="1" x14ac:dyDescent="0.2">
      <c r="DL129" s="211" t="str">
        <f>CONCATENATE($DM$5,$Q$18,$DN$5)</f>
        <v xml:space="preserve">   "",</v>
      </c>
      <c r="DM129" s="11"/>
      <c r="DN129" s="11"/>
    </row>
    <row r="130" spans="116:118" ht="12.75" customHeight="1" x14ac:dyDescent="0.2">
      <c r="DL130" s="211" t="str">
        <f>CONCATENATE($DM$5,$Q$23,$DN$5)</f>
        <v xml:space="preserve">   "",</v>
      </c>
      <c r="DM130" s="11"/>
      <c r="DN130" s="11"/>
    </row>
    <row r="131" spans="116:118" ht="12.75" customHeight="1" x14ac:dyDescent="0.2">
      <c r="DL131" s="211" t="str">
        <f>CONCATENATE($DM$5,$Q$24,$DN$5)</f>
        <v xml:space="preserve">   "",</v>
      </c>
      <c r="DM131" s="11"/>
      <c r="DN131" s="11"/>
    </row>
    <row r="132" spans="116:118" ht="12.75" customHeight="1" x14ac:dyDescent="0.2">
      <c r="DL132" s="211" t="str">
        <f>CONCATENATE($DM$5,$Q$29,$DN$6)</f>
        <v xml:space="preserve">   ""</v>
      </c>
      <c r="DM132" s="11"/>
      <c r="DN132" s="11"/>
    </row>
    <row r="133" spans="116:118" ht="12.75" customHeight="1" x14ac:dyDescent="0.2">
      <c r="DL133" s="211" t="s">
        <v>28</v>
      </c>
      <c r="DM133" s="11"/>
      <c r="DN133" s="11"/>
    </row>
    <row r="134" spans="116:118" ht="12.75" customHeight="1" x14ac:dyDescent="0.2">
      <c r="DL134" s="211"/>
      <c r="DM134" s="11"/>
      <c r="DN134" s="11"/>
    </row>
    <row r="135" spans="116:118" ht="12.75" customHeight="1" x14ac:dyDescent="0.2">
      <c r="DL135" s="211" t="s">
        <v>64</v>
      </c>
      <c r="DM135" s="11"/>
      <c r="DN135" s="11"/>
    </row>
    <row r="136" spans="116:118" ht="12.75" customHeight="1" x14ac:dyDescent="0.2">
      <c r="DL136" s="211" t="str">
        <f>CONCATENATE($DM$5,$DN$5)</f>
        <v xml:space="preserve">   "",</v>
      </c>
      <c r="DM136" s="11"/>
      <c r="DN136" s="11"/>
    </row>
    <row r="137" spans="116:118" ht="12.75" customHeight="1" x14ac:dyDescent="0.2">
      <c r="DL137" s="211" t="str">
        <f>CONCATENATE($DM$5,$DN$5)</f>
        <v xml:space="preserve">   "",</v>
      </c>
      <c r="DM137" s="11"/>
      <c r="DN137" s="11"/>
    </row>
    <row r="138" spans="116:118" ht="12.75" customHeight="1" x14ac:dyDescent="0.2">
      <c r="DL138" s="211" t="str">
        <f>CONCATENATE($DM$5,$DN$5)</f>
        <v xml:space="preserve">   "",</v>
      </c>
      <c r="DM138" s="11"/>
      <c r="DN138" s="11"/>
    </row>
    <row r="139" spans="116:118" ht="12.75" customHeight="1" x14ac:dyDescent="0.2">
      <c r="DL139" s="211" t="str">
        <f>CONCATENATE($DM$5,$DN$5)</f>
        <v xml:space="preserve">   "",</v>
      </c>
      <c r="DM139" s="11"/>
      <c r="DN139" s="11"/>
    </row>
    <row r="140" spans="116:118" ht="12.75" customHeight="1" x14ac:dyDescent="0.2">
      <c r="DL140" s="211" t="str">
        <f>CONCATENATE($DM$5,$DN$5)</f>
        <v xml:space="preserve">   "",</v>
      </c>
      <c r="DM140" s="11"/>
      <c r="DN140" s="11"/>
    </row>
    <row r="141" spans="116:118" ht="12.75" customHeight="1" x14ac:dyDescent="0.2">
      <c r="DL141" s="211" t="str">
        <f>CONCATENATE($DM$5,$Q$11,$DN$5)</f>
        <v xml:space="preserve">   "45",</v>
      </c>
      <c r="DM141" s="11"/>
      <c r="DN141" s="11"/>
    </row>
    <row r="142" spans="116:118" ht="12.75" customHeight="1" x14ac:dyDescent="0.2">
      <c r="DL142" s="211" t="str">
        <f>CONCATENATE($DM$5,$DN$5)</f>
        <v xml:space="preserve">   "",</v>
      </c>
      <c r="DM142" s="11"/>
      <c r="DN142" s="11"/>
    </row>
    <row r="143" spans="116:118" ht="12.75" customHeight="1" x14ac:dyDescent="0.2">
      <c r="DL143" s="211" t="str">
        <f>CONCATENATE($DM$5,$DN$5)</f>
        <v xml:space="preserve">   "",</v>
      </c>
      <c r="DM143" s="11"/>
      <c r="DN143" s="11"/>
    </row>
    <row r="144" spans="116:118" ht="12.75" customHeight="1" x14ac:dyDescent="0.2">
      <c r="DL144" s="211" t="str">
        <f>CONCATENATE($DM$5,$DN$5)</f>
        <v xml:space="preserve">   "",</v>
      </c>
      <c r="DM144" s="11"/>
      <c r="DN144" s="11"/>
    </row>
    <row r="145" spans="116:118" ht="12.75" customHeight="1" x14ac:dyDescent="0.2">
      <c r="DL145" s="211" t="str">
        <f>CONCATENATE($DM$5,$Q$19,$DN$5)</f>
        <v xml:space="preserve">   "",</v>
      </c>
      <c r="DM145" s="11"/>
      <c r="DN145" s="11"/>
    </row>
    <row r="146" spans="116:118" ht="12.75" customHeight="1" x14ac:dyDescent="0.2">
      <c r="DL146" s="211" t="str">
        <f>CONCATENATE($DM$5,$DN$5)</f>
        <v xml:space="preserve">   "",</v>
      </c>
      <c r="DM146" s="11"/>
      <c r="DN146" s="11"/>
    </row>
    <row r="147" spans="116:118" ht="12.75" customHeight="1" x14ac:dyDescent="0.2">
      <c r="DL147" s="211" t="str">
        <f>CONCATENATE($DM$5,$Q$25,$DN$5)</f>
        <v xml:space="preserve">   "",</v>
      </c>
      <c r="DM147" s="11"/>
      <c r="DN147" s="11"/>
    </row>
    <row r="148" spans="116:118" ht="12.75" customHeight="1" x14ac:dyDescent="0.2">
      <c r="DL148" s="211" t="str">
        <f>CONCATENATE($DM$5,$Q$30,$DN$6)</f>
        <v xml:space="preserve">   ""</v>
      </c>
      <c r="DM148" s="11"/>
      <c r="DN148" s="11"/>
    </row>
    <row r="149" spans="116:118" ht="12.75" customHeight="1" x14ac:dyDescent="0.2">
      <c r="DL149" s="211" t="s">
        <v>28</v>
      </c>
      <c r="DM149" s="11"/>
      <c r="DN149" s="11"/>
    </row>
    <row r="150" spans="116:118" ht="12.75" customHeight="1" x14ac:dyDescent="0.2">
      <c r="DL150" s="212"/>
      <c r="DM150" s="11"/>
      <c r="DN150" s="11"/>
    </row>
    <row r="151" spans="116:118" ht="12.75" customHeight="1" x14ac:dyDescent="0.2">
      <c r="DL151" s="211" t="s">
        <v>34</v>
      </c>
      <c r="DM151" s="11"/>
      <c r="DN151" s="11"/>
    </row>
    <row r="152" spans="116:118" ht="12.75" customHeight="1" x14ac:dyDescent="0.2">
      <c r="DL152" s="211" t="str">
        <f>CONCATENATE($DM$5,$S$5,$DN$5)</f>
        <v xml:space="preserve">   "H",</v>
      </c>
      <c r="DM152" s="11"/>
      <c r="DN152" s="11"/>
    </row>
    <row r="153" spans="116:118" ht="12.75" customHeight="1" x14ac:dyDescent="0.2">
      <c r="DL153" s="211" t="str">
        <f>CONCATENATE($DM$5,$S$6,$DN$5)</f>
        <v xml:space="preserve">   "V",</v>
      </c>
      <c r="DM153" s="11"/>
      <c r="DN153" s="11"/>
    </row>
    <row r="154" spans="116:118" ht="12.75" customHeight="1" x14ac:dyDescent="0.2">
      <c r="DL154" s="211" t="str">
        <f>CONCATENATE($DM$5,$S$7,$DN$5)</f>
        <v xml:space="preserve">   "H",</v>
      </c>
      <c r="DM154" s="11"/>
      <c r="DN154" s="11"/>
    </row>
    <row r="155" spans="116:118" ht="12.75" customHeight="1" x14ac:dyDescent="0.2">
      <c r="DL155" s="211" t="str">
        <f>CONCATENATE($DM$5,$S$8,$DN$5)</f>
        <v xml:space="preserve">   "H",</v>
      </c>
      <c r="DM155" s="11"/>
      <c r="DN155" s="11"/>
    </row>
    <row r="156" spans="116:118" ht="12.75" customHeight="1" x14ac:dyDescent="0.2">
      <c r="DL156" s="211" t="str">
        <f>CONCATENATE($DM$5,$S$9,$DN$5)</f>
        <v xml:space="preserve">   "H",</v>
      </c>
      <c r="DM156" s="11"/>
      <c r="DN156" s="11"/>
    </row>
    <row r="157" spans="116:118" ht="12.75" customHeight="1" x14ac:dyDescent="0.2">
      <c r="DL157" s="211" t="str">
        <f>CONCATENATE($DM$5,$S$10,$DN$5)</f>
        <v xml:space="preserve">   "V",</v>
      </c>
      <c r="DM157" s="11"/>
      <c r="DN157" s="11"/>
    </row>
    <row r="158" spans="116:118" ht="12.75" customHeight="1" x14ac:dyDescent="0.2">
      <c r="DL158" s="211" t="str">
        <f>CONCATENATE($DM$5,$S$15,$DN$5)</f>
        <v xml:space="preserve">   "",</v>
      </c>
      <c r="DM158" s="11"/>
      <c r="DN158" s="11"/>
    </row>
    <row r="159" spans="116:118" ht="12.75" customHeight="1" x14ac:dyDescent="0.2">
      <c r="DL159" s="211" t="str">
        <f>CONCATENATE($DM$5,$S$16,$DN$5)</f>
        <v xml:space="preserve">   "",</v>
      </c>
      <c r="DM159" s="11"/>
      <c r="DN159" s="11"/>
    </row>
    <row r="160" spans="116:118" ht="12.75" customHeight="1" x14ac:dyDescent="0.2">
      <c r="DL160" s="211" t="str">
        <f>CONCATENATE($DM$5,$S$17,$DN$5)</f>
        <v xml:space="preserve">   "",</v>
      </c>
      <c r="DM160" s="11"/>
      <c r="DN160" s="11"/>
    </row>
    <row r="161" spans="116:118" ht="12.75" customHeight="1" x14ac:dyDescent="0.2">
      <c r="DL161" s="211" t="str">
        <f>CONCATENATE($DM$5,$S$18,$DN$5)</f>
        <v xml:space="preserve">   "",</v>
      </c>
      <c r="DM161" s="11"/>
      <c r="DN161" s="11"/>
    </row>
    <row r="162" spans="116:118" ht="12.75" customHeight="1" x14ac:dyDescent="0.2">
      <c r="DL162" s="211" t="str">
        <f>CONCATENATE($DM$5,$S$23,$DN$5)</f>
        <v xml:space="preserve">   "",</v>
      </c>
      <c r="DM162" s="11"/>
      <c r="DN162" s="11"/>
    </row>
    <row r="163" spans="116:118" ht="12.75" customHeight="1" x14ac:dyDescent="0.2">
      <c r="DL163" s="211" t="str">
        <f>CONCATENATE($DM$5,$S$24,$DN$5)</f>
        <v xml:space="preserve">   "",</v>
      </c>
      <c r="DM163" s="11"/>
      <c r="DN163" s="11"/>
    </row>
    <row r="164" spans="116:118" ht="12.75" customHeight="1" x14ac:dyDescent="0.2">
      <c r="DL164" s="211" t="str">
        <f>CONCATENATE($DM$5,$S$29,$DN$6)</f>
        <v xml:space="preserve">   ""</v>
      </c>
      <c r="DM164" s="11"/>
      <c r="DN164" s="11"/>
    </row>
    <row r="165" spans="116:118" ht="12.75" customHeight="1" x14ac:dyDescent="0.2">
      <c r="DL165" s="211" t="s">
        <v>28</v>
      </c>
      <c r="DM165" s="11"/>
      <c r="DN165" s="11"/>
    </row>
    <row r="166" spans="116:118" ht="12.75" customHeight="1" x14ac:dyDescent="0.2">
      <c r="DL166" s="211"/>
      <c r="DM166" s="11"/>
      <c r="DN166" s="11"/>
    </row>
    <row r="167" spans="116:118" ht="12.75" customHeight="1" x14ac:dyDescent="0.2">
      <c r="DL167" s="211" t="s">
        <v>35</v>
      </c>
      <c r="DM167" s="11"/>
      <c r="DN167" s="11"/>
    </row>
    <row r="168" spans="116:118" ht="12.75" customHeight="1" x14ac:dyDescent="0.2">
      <c r="DL168" s="211" t="str">
        <f>CONCATENATE($DM$5,$U$5,$DN$5)</f>
        <v xml:space="preserve">   "17",</v>
      </c>
      <c r="DM168" s="11"/>
      <c r="DN168" s="11"/>
    </row>
    <row r="169" spans="116:118" ht="12.75" customHeight="1" x14ac:dyDescent="0.2">
      <c r="DL169" s="211" t="str">
        <f>CONCATENATE($DM$5,$U$6,$DN$5)</f>
        <v xml:space="preserve">   "1",</v>
      </c>
      <c r="DM169" s="11"/>
      <c r="DN169" s="11"/>
    </row>
    <row r="170" spans="116:118" ht="12.75" customHeight="1" x14ac:dyDescent="0.2">
      <c r="DL170" s="211" t="str">
        <f>CONCATENATE($DM$5,$U$7,$DN$5)</f>
        <v xml:space="preserve">   "17",</v>
      </c>
      <c r="DM170" s="11"/>
      <c r="DN170" s="11"/>
    </row>
    <row r="171" spans="116:118" ht="12.75" customHeight="1" x14ac:dyDescent="0.2">
      <c r="DL171" s="211" t="str">
        <f>CONCATENATE($DM$5,$U$8,$DN$5)</f>
        <v xml:space="preserve">   "7",</v>
      </c>
      <c r="DM171" s="11"/>
      <c r="DN171" s="11"/>
    </row>
    <row r="172" spans="116:118" ht="12.75" customHeight="1" x14ac:dyDescent="0.2">
      <c r="DL172" s="211" t="str">
        <f>CONCATENATE($DM$5,$U$9,$DN$5)</f>
        <v xml:space="preserve">   "10",</v>
      </c>
      <c r="DM172" s="11"/>
      <c r="DN172" s="11"/>
    </row>
    <row r="173" spans="116:118" ht="12.75" customHeight="1" x14ac:dyDescent="0.2">
      <c r="DL173" s="211" t="str">
        <f>CONCATENATE($DM$5,$U$10,$DN$5)</f>
        <v xml:space="preserve">   "3",</v>
      </c>
      <c r="DM173" s="11"/>
      <c r="DN173" s="11"/>
    </row>
    <row r="174" spans="116:118" ht="12.75" customHeight="1" x14ac:dyDescent="0.2">
      <c r="DL174" s="211" t="str">
        <f>CONCATENATE($DM$5,$U$15,$DN$5)</f>
        <v xml:space="preserve">   "",</v>
      </c>
      <c r="DM174" s="11"/>
      <c r="DN174" s="11"/>
    </row>
    <row r="175" spans="116:118" ht="12.75" customHeight="1" x14ac:dyDescent="0.2">
      <c r="DL175" s="211" t="str">
        <f>CONCATENATE($DM$5,$U$16,$DN$5)</f>
        <v xml:space="preserve">   "",</v>
      </c>
      <c r="DM175" s="11"/>
      <c r="DN175" s="11"/>
    </row>
    <row r="176" spans="116:118" ht="12.75" customHeight="1" x14ac:dyDescent="0.2">
      <c r="DL176" s="211" t="str">
        <f>CONCATENATE($DM$5,$U$17,$DN$5)</f>
        <v xml:space="preserve">   "",</v>
      </c>
      <c r="DM176" s="11"/>
      <c r="DN176" s="11"/>
    </row>
    <row r="177" spans="116:118" ht="12.75" customHeight="1" x14ac:dyDescent="0.2">
      <c r="DL177" s="211" t="str">
        <f>CONCATENATE($DM$5,$U$18,$DN$5)</f>
        <v xml:space="preserve">   "",</v>
      </c>
      <c r="DM177" s="11"/>
      <c r="DN177" s="11"/>
    </row>
    <row r="178" spans="116:118" ht="12.75" customHeight="1" x14ac:dyDescent="0.2">
      <c r="DL178" s="211" t="str">
        <f>CONCATENATE($DM$5,$U$23,$DN$5)</f>
        <v xml:space="preserve">   "",</v>
      </c>
      <c r="DM178" s="11"/>
      <c r="DN178" s="11"/>
    </row>
    <row r="179" spans="116:118" ht="12.75" customHeight="1" x14ac:dyDescent="0.2">
      <c r="DL179" s="211" t="str">
        <f>CONCATENATE($DM$5,$U$24,$DN$5)</f>
        <v xml:space="preserve">   "",</v>
      </c>
      <c r="DM179" s="11"/>
      <c r="DN179" s="11"/>
    </row>
    <row r="180" spans="116:118" ht="12.75" customHeight="1" x14ac:dyDescent="0.2">
      <c r="DL180" s="211" t="str">
        <f>CONCATENATE($DM$5,$U$29,$DN$6)</f>
        <v xml:space="preserve">   ""</v>
      </c>
      <c r="DM180" s="11"/>
      <c r="DN180" s="11"/>
    </row>
    <row r="181" spans="116:118" ht="12.75" customHeight="1" x14ac:dyDescent="0.2">
      <c r="DL181" s="211" t="s">
        <v>28</v>
      </c>
      <c r="DM181" s="11"/>
      <c r="DN181" s="11"/>
    </row>
    <row r="182" spans="116:118" ht="12.75" customHeight="1" x14ac:dyDescent="0.2">
      <c r="DL182" s="211"/>
      <c r="DM182" s="11"/>
      <c r="DN182" s="11"/>
    </row>
    <row r="183" spans="116:118" ht="12.75" customHeight="1" x14ac:dyDescent="0.2">
      <c r="DL183" s="211" t="s">
        <v>65</v>
      </c>
      <c r="DM183" s="11"/>
      <c r="DN183" s="11"/>
    </row>
    <row r="184" spans="116:118" ht="12.75" customHeight="1" x14ac:dyDescent="0.2">
      <c r="DL184" s="211" t="str">
        <f>CONCATENATE($DM$5,$DN$5)</f>
        <v xml:space="preserve">   "",</v>
      </c>
      <c r="DM184" s="11"/>
      <c r="DN184" s="11"/>
    </row>
    <row r="185" spans="116:118" ht="12.75" customHeight="1" x14ac:dyDescent="0.2">
      <c r="DL185" s="211" t="str">
        <f>CONCATENATE($DM$5,$DN$5)</f>
        <v xml:space="preserve">   "",</v>
      </c>
      <c r="DM185" s="11"/>
      <c r="DN185" s="11"/>
    </row>
    <row r="186" spans="116:118" ht="12.75" customHeight="1" x14ac:dyDescent="0.2">
      <c r="DL186" s="211" t="str">
        <f>CONCATENATE($DM$5,$DN$5)</f>
        <v xml:space="preserve">   "",</v>
      </c>
      <c r="DM186" s="11"/>
      <c r="DN186" s="11"/>
    </row>
    <row r="187" spans="116:118" ht="12.75" customHeight="1" x14ac:dyDescent="0.2">
      <c r="DL187" s="211" t="str">
        <f>CONCATENATE($DM$5,$DN$5)</f>
        <v xml:space="preserve">   "",</v>
      </c>
      <c r="DM187" s="11"/>
      <c r="DN187" s="11"/>
    </row>
    <row r="188" spans="116:118" ht="12.75" customHeight="1" x14ac:dyDescent="0.2">
      <c r="DL188" s="211" t="str">
        <f>CONCATENATE($DM$5,$DN$5)</f>
        <v xml:space="preserve">   "",</v>
      </c>
      <c r="DM188" s="11"/>
      <c r="DN188" s="11"/>
    </row>
    <row r="189" spans="116:118" ht="12.75" customHeight="1" x14ac:dyDescent="0.2">
      <c r="DL189" s="211" t="str">
        <f>CONCATENATE($DM$5,$U$11,$DN$5)</f>
        <v xml:space="preserve">   "40",</v>
      </c>
      <c r="DM189" s="11"/>
      <c r="DN189" s="11"/>
    </row>
    <row r="190" spans="116:118" ht="12.75" customHeight="1" x14ac:dyDescent="0.2">
      <c r="DL190" s="211" t="str">
        <f>CONCATENATE($DM$5,$DN$5)</f>
        <v xml:space="preserve">   "",</v>
      </c>
      <c r="DM190" s="11"/>
      <c r="DN190" s="11"/>
    </row>
    <row r="191" spans="116:118" ht="12.75" customHeight="1" x14ac:dyDescent="0.2">
      <c r="DL191" s="211" t="str">
        <f>CONCATENATE($DM$5,$DN$5)</f>
        <v xml:space="preserve">   "",</v>
      </c>
      <c r="DM191" s="11"/>
      <c r="DN191" s="11"/>
    </row>
    <row r="192" spans="116:118" ht="12.75" customHeight="1" x14ac:dyDescent="0.2">
      <c r="DL192" s="211" t="str">
        <f>CONCATENATE($DM$5,$DN$5)</f>
        <v xml:space="preserve">   "",</v>
      </c>
      <c r="DM192" s="11"/>
      <c r="DN192" s="11"/>
    </row>
    <row r="193" spans="116:118" ht="12.75" customHeight="1" x14ac:dyDescent="0.2">
      <c r="DL193" s="211" t="str">
        <f>CONCATENATE($DM$5,$U$19,$DN$5)</f>
        <v xml:space="preserve">   "",</v>
      </c>
      <c r="DM193" s="11"/>
      <c r="DN193" s="11"/>
    </row>
    <row r="194" spans="116:118" ht="12.75" customHeight="1" x14ac:dyDescent="0.2">
      <c r="DL194" s="211" t="str">
        <f>CONCATENATE($DM$5,$DN$5)</f>
        <v xml:space="preserve">   "",</v>
      </c>
      <c r="DM194" s="11"/>
      <c r="DN194" s="11"/>
    </row>
    <row r="195" spans="116:118" ht="12.75" customHeight="1" x14ac:dyDescent="0.2">
      <c r="DL195" s="211" t="str">
        <f>CONCATENATE($DM$5,$U$25,$DN$5)</f>
        <v xml:space="preserve">   "",</v>
      </c>
      <c r="DM195" s="11"/>
      <c r="DN195" s="11"/>
    </row>
    <row r="196" spans="116:118" ht="12.75" customHeight="1" x14ac:dyDescent="0.2">
      <c r="DL196" s="211" t="str">
        <f>CONCATENATE($DM$5,$U$30,$DN$6)</f>
        <v xml:space="preserve">   ""</v>
      </c>
      <c r="DM196" s="11"/>
      <c r="DN196" s="11"/>
    </row>
    <row r="197" spans="116:118" ht="12.75" customHeight="1" x14ac:dyDescent="0.2">
      <c r="DL197" s="211" t="s">
        <v>28</v>
      </c>
      <c r="DM197" s="11"/>
      <c r="DN197" s="11"/>
    </row>
    <row r="198" spans="116:118" ht="12.75" customHeight="1" x14ac:dyDescent="0.2">
      <c r="DL198" s="212"/>
      <c r="DM198" s="11"/>
      <c r="DN198" s="11"/>
    </row>
    <row r="199" spans="116:118" ht="12.75" customHeight="1" x14ac:dyDescent="0.2">
      <c r="DL199" s="211" t="s">
        <v>36</v>
      </c>
      <c r="DM199" s="11"/>
      <c r="DN199" s="11"/>
    </row>
    <row r="200" spans="116:118" ht="12.75" customHeight="1" x14ac:dyDescent="0.2">
      <c r="DL200" s="211" t="str">
        <f>CONCATENATE($DM$5,$W$5,$DN$5)</f>
        <v xml:space="preserve">   "H",</v>
      </c>
      <c r="DM200" s="11"/>
      <c r="DN200" s="11"/>
    </row>
    <row r="201" spans="116:118" ht="12.75" customHeight="1" x14ac:dyDescent="0.2">
      <c r="DL201" s="211" t="str">
        <f>CONCATENATE($DM$5,$W$6,$DN$5)</f>
        <v xml:space="preserve">   "H",</v>
      </c>
      <c r="DM201" s="11"/>
      <c r="DN201" s="11"/>
    </row>
    <row r="202" spans="116:118" ht="12.75" customHeight="1" x14ac:dyDescent="0.2">
      <c r="DL202" s="211" t="str">
        <f>CONCATENATE($DM$5,$W$7,$DN$5)</f>
        <v xml:space="preserve">   "H",</v>
      </c>
      <c r="DM202" s="11"/>
      <c r="DN202" s="11"/>
    </row>
    <row r="203" spans="116:118" ht="12.75" customHeight="1" x14ac:dyDescent="0.2">
      <c r="DL203" s="211" t="str">
        <f>CONCATENATE($DM$5,$W$8,$DN$5)</f>
        <v xml:space="preserve">   "H",</v>
      </c>
      <c r="DM203" s="11"/>
      <c r="DN203" s="11"/>
    </row>
    <row r="204" spans="116:118" ht="12.75" customHeight="1" x14ac:dyDescent="0.2">
      <c r="DL204" s="211" t="str">
        <f>CONCATENATE($DM$5,$W$9,$DN$5)</f>
        <v xml:space="preserve">   "H",</v>
      </c>
      <c r="DM204" s="11"/>
      <c r="DN204" s="11"/>
    </row>
    <row r="205" spans="116:118" ht="12.75" customHeight="1" x14ac:dyDescent="0.2">
      <c r="DL205" s="211" t="str">
        <f>CONCATENATE($DM$5,$W$10,$DN$5)</f>
        <v xml:space="preserve">   "V",</v>
      </c>
      <c r="DM205" s="11"/>
      <c r="DN205" s="11"/>
    </row>
    <row r="206" spans="116:118" ht="12.75" customHeight="1" x14ac:dyDescent="0.2">
      <c r="DL206" s="211" t="str">
        <f>CONCATENATE($DM$5,$W$15,$DN$5)</f>
        <v xml:space="preserve">   "",</v>
      </c>
      <c r="DM206" s="11"/>
      <c r="DN206" s="11"/>
    </row>
    <row r="207" spans="116:118" ht="12.75" customHeight="1" x14ac:dyDescent="0.2">
      <c r="DL207" s="211" t="str">
        <f>CONCATENATE($DM$5,$W$16,$DN$5)</f>
        <v xml:space="preserve">   "",</v>
      </c>
      <c r="DM207" s="11"/>
      <c r="DN207" s="11"/>
    </row>
    <row r="208" spans="116:118" ht="12.75" customHeight="1" x14ac:dyDescent="0.2">
      <c r="DL208" s="211" t="str">
        <f>CONCATENATE($DM$5,$W$17,$DN$5)</f>
        <v xml:space="preserve">   "",</v>
      </c>
      <c r="DM208" s="11"/>
      <c r="DN208" s="11"/>
    </row>
    <row r="209" spans="116:118" ht="12.75" customHeight="1" x14ac:dyDescent="0.2">
      <c r="DL209" s="211" t="str">
        <f>CONCATENATE($DM$5,$W$18,$DN$5)</f>
        <v xml:space="preserve">   "",</v>
      </c>
      <c r="DM209" s="11"/>
      <c r="DN209" s="11"/>
    </row>
    <row r="210" spans="116:118" ht="12.75" customHeight="1" x14ac:dyDescent="0.2">
      <c r="DL210" s="211" t="str">
        <f>CONCATENATE($DM$5,$W$23,$DN$5)</f>
        <v xml:space="preserve">   "",</v>
      </c>
      <c r="DM210" s="11"/>
      <c r="DN210" s="11"/>
    </row>
    <row r="211" spans="116:118" ht="12.75" customHeight="1" x14ac:dyDescent="0.2">
      <c r="DL211" s="211" t="str">
        <f>CONCATENATE($DM$5,$W$24,$DN$5)</f>
        <v xml:space="preserve">   "",</v>
      </c>
      <c r="DM211" s="11"/>
      <c r="DN211" s="11"/>
    </row>
    <row r="212" spans="116:118" ht="12.75" customHeight="1" x14ac:dyDescent="0.2">
      <c r="DL212" s="211" t="str">
        <f>CONCATENATE($DM$5,$W$29,$DN$6)</f>
        <v xml:space="preserve">   ""</v>
      </c>
      <c r="DM212" s="11"/>
      <c r="DN212" s="11"/>
    </row>
    <row r="213" spans="116:118" ht="12.75" customHeight="1" x14ac:dyDescent="0.2">
      <c r="DL213" s="211" t="s">
        <v>28</v>
      </c>
      <c r="DM213" s="11"/>
      <c r="DN213" s="11"/>
    </row>
    <row r="214" spans="116:118" ht="12.75" customHeight="1" x14ac:dyDescent="0.2">
      <c r="DL214" s="211"/>
      <c r="DM214" s="11"/>
      <c r="DN214" s="11"/>
    </row>
    <row r="215" spans="116:118" ht="12.75" customHeight="1" x14ac:dyDescent="0.2">
      <c r="DL215" s="211" t="s">
        <v>37</v>
      </c>
      <c r="DM215" s="11"/>
      <c r="DN215" s="11"/>
    </row>
    <row r="216" spans="116:118" ht="12.75" customHeight="1" x14ac:dyDescent="0.2">
      <c r="DL216" s="211" t="str">
        <f>CONCATENATE($DM$5,$Y$5,$DN$5)</f>
        <v xml:space="preserve">   "10",</v>
      </c>
      <c r="DM216" s="11"/>
      <c r="DN216" s="11"/>
    </row>
    <row r="217" spans="116:118" ht="12.75" customHeight="1" x14ac:dyDescent="0.2">
      <c r="DL217" s="211" t="str">
        <f>CONCATENATE($DM$5,$Y$6,$DN$5)</f>
        <v xml:space="preserve">   "7",</v>
      </c>
      <c r="DM217" s="11"/>
      <c r="DN217" s="11"/>
    </row>
    <row r="218" spans="116:118" ht="12.75" customHeight="1" x14ac:dyDescent="0.2">
      <c r="DL218" s="211" t="str">
        <f>CONCATENATE($DM$5,$Y$7,$DN$5)</f>
        <v xml:space="preserve">   "10",</v>
      </c>
      <c r="DM218" s="11"/>
      <c r="DN218" s="11"/>
    </row>
    <row r="219" spans="116:118" ht="12.75" customHeight="1" x14ac:dyDescent="0.2">
      <c r="DL219" s="211" t="str">
        <f>CONCATENATE($DM$5,$Y$8,$DN$5)</f>
        <v xml:space="preserve">   "7",</v>
      </c>
      <c r="DM219" s="11"/>
      <c r="DN219" s="11"/>
    </row>
    <row r="220" spans="116:118" ht="12.75" customHeight="1" x14ac:dyDescent="0.2">
      <c r="DL220" s="211" t="str">
        <f>CONCATENATE($DM$5,$Y$9,$DN$5)</f>
        <v xml:space="preserve">   "3",</v>
      </c>
      <c r="DM220" s="11"/>
      <c r="DN220" s="11"/>
    </row>
    <row r="221" spans="116:118" ht="12.75" customHeight="1" x14ac:dyDescent="0.2">
      <c r="DL221" s="211" t="str">
        <f>CONCATENATE($DM$5,$Y$10,$DN$5)</f>
        <v xml:space="preserve">   "7",</v>
      </c>
      <c r="DM221" s="11"/>
      <c r="DN221" s="11"/>
    </row>
    <row r="222" spans="116:118" ht="12.75" customHeight="1" x14ac:dyDescent="0.2">
      <c r="DL222" s="211" t="str">
        <f>CONCATENATE($DM$5,$Y$15,$DN$5)</f>
        <v xml:space="preserve">   "",</v>
      </c>
      <c r="DM222" s="11"/>
      <c r="DN222" s="11"/>
    </row>
    <row r="223" spans="116:118" ht="12.75" customHeight="1" x14ac:dyDescent="0.2">
      <c r="DL223" s="211" t="str">
        <f>CONCATENATE($DM$5,$Y$16,$DN$5)</f>
        <v xml:space="preserve">   "",</v>
      </c>
      <c r="DM223" s="11"/>
      <c r="DN223" s="11"/>
    </row>
    <row r="224" spans="116:118" ht="12.75" customHeight="1" x14ac:dyDescent="0.2">
      <c r="DL224" s="211" t="str">
        <f>CONCATENATE($DM$5,$Y$17,$DN$5)</f>
        <v xml:space="preserve">   "",</v>
      </c>
      <c r="DM224" s="11"/>
      <c r="DN224" s="11"/>
    </row>
    <row r="225" spans="116:118" ht="12.75" customHeight="1" x14ac:dyDescent="0.2">
      <c r="DL225" s="211" t="str">
        <f>CONCATENATE($DM$5,$Y$18,$DN$5)</f>
        <v xml:space="preserve">   "",</v>
      </c>
      <c r="DM225" s="11"/>
      <c r="DN225" s="11"/>
    </row>
    <row r="226" spans="116:118" ht="12.75" customHeight="1" x14ac:dyDescent="0.2">
      <c r="DL226" s="211" t="str">
        <f>CONCATENATE($DM$5,$Y$23,$DN$5)</f>
        <v xml:space="preserve">   "",</v>
      </c>
      <c r="DM226" s="11"/>
      <c r="DN226" s="11"/>
    </row>
    <row r="227" spans="116:118" ht="12.75" customHeight="1" x14ac:dyDescent="0.2">
      <c r="DL227" s="211" t="str">
        <f>CONCATENATE($DM$5,$Y$24,$DN$5)</f>
        <v xml:space="preserve">   "",</v>
      </c>
      <c r="DM227" s="11"/>
      <c r="DN227" s="11"/>
    </row>
    <row r="228" spans="116:118" ht="12.75" customHeight="1" x14ac:dyDescent="0.2">
      <c r="DL228" s="211" t="str">
        <f>CONCATENATE($DM$5,$Y$29,$DN$6)</f>
        <v xml:space="preserve">   ""</v>
      </c>
      <c r="DM228" s="11"/>
      <c r="DN228" s="11"/>
    </row>
    <row r="229" spans="116:118" ht="12.75" customHeight="1" x14ac:dyDescent="0.2">
      <c r="DL229" s="211" t="s">
        <v>28</v>
      </c>
      <c r="DM229" s="11"/>
      <c r="DN229" s="11"/>
    </row>
    <row r="230" spans="116:118" ht="12.75" customHeight="1" x14ac:dyDescent="0.2">
      <c r="DL230" s="211"/>
      <c r="DM230" s="11"/>
      <c r="DN230" s="11"/>
    </row>
    <row r="231" spans="116:118" ht="12.75" customHeight="1" x14ac:dyDescent="0.2">
      <c r="DL231" s="211" t="s">
        <v>66</v>
      </c>
      <c r="DM231" s="11"/>
      <c r="DN231" s="11"/>
    </row>
    <row r="232" spans="116:118" ht="12.75" customHeight="1" x14ac:dyDescent="0.2">
      <c r="DL232" s="211" t="str">
        <f>CONCATENATE($DM$5,$DN$5)</f>
        <v xml:space="preserve">   "",</v>
      </c>
      <c r="DM232" s="11"/>
      <c r="DN232" s="11"/>
    </row>
    <row r="233" spans="116:118" ht="12.75" customHeight="1" x14ac:dyDescent="0.2">
      <c r="DL233" s="211" t="str">
        <f>CONCATENATE($DM$5,$DN$5)</f>
        <v xml:space="preserve">   "",</v>
      </c>
      <c r="DM233" s="11"/>
      <c r="DN233" s="11"/>
    </row>
    <row r="234" spans="116:118" ht="12.75" customHeight="1" x14ac:dyDescent="0.2">
      <c r="DL234" s="211" t="str">
        <f>CONCATENATE($DM$5,$DN$5)</f>
        <v xml:space="preserve">   "",</v>
      </c>
      <c r="DM234" s="11"/>
      <c r="DN234" s="11"/>
    </row>
    <row r="235" spans="116:118" ht="12.75" customHeight="1" x14ac:dyDescent="0.2">
      <c r="DL235" s="211" t="str">
        <f>CONCATENATE($DM$5,$DN$5)</f>
        <v xml:space="preserve">   "",</v>
      </c>
      <c r="DM235" s="11"/>
      <c r="DN235" s="11"/>
    </row>
    <row r="236" spans="116:118" ht="12.75" customHeight="1" x14ac:dyDescent="0.2">
      <c r="DL236" s="211" t="str">
        <f>CONCATENATE($DM$5,$DN$5)</f>
        <v xml:space="preserve">   "",</v>
      </c>
      <c r="DM236" s="11"/>
      <c r="DN236" s="11"/>
    </row>
    <row r="237" spans="116:118" ht="12.75" customHeight="1" x14ac:dyDescent="0.2">
      <c r="DL237" s="211" t="str">
        <f>CONCATENATE($DM$5,$Y$11,$DN$5)</f>
        <v xml:space="preserve">   "42",</v>
      </c>
      <c r="DM237" s="11"/>
      <c r="DN237" s="11"/>
    </row>
    <row r="238" spans="116:118" ht="12.75" customHeight="1" x14ac:dyDescent="0.2">
      <c r="DL238" s="211" t="str">
        <f>CONCATENATE($DM$5,$DN$5)</f>
        <v xml:space="preserve">   "",</v>
      </c>
      <c r="DM238" s="11"/>
      <c r="DN238" s="11"/>
    </row>
    <row r="239" spans="116:118" ht="12.75" customHeight="1" x14ac:dyDescent="0.2">
      <c r="DL239" s="211" t="str">
        <f>CONCATENATE($DM$5,$DN$5)</f>
        <v xml:space="preserve">   "",</v>
      </c>
      <c r="DM239" s="11"/>
      <c r="DN239" s="11"/>
    </row>
    <row r="240" spans="116:118" ht="12.75" customHeight="1" x14ac:dyDescent="0.2">
      <c r="DL240" s="211" t="str">
        <f>CONCATENATE($DM$5,$DN$5)</f>
        <v xml:space="preserve">   "",</v>
      </c>
      <c r="DM240" s="11"/>
      <c r="DN240" s="11"/>
    </row>
    <row r="241" spans="116:118" ht="12.75" customHeight="1" x14ac:dyDescent="0.2">
      <c r="DL241" s="211" t="str">
        <f>CONCATENATE($DM$5,$Y$19,$DN$5)</f>
        <v xml:space="preserve">   "",</v>
      </c>
      <c r="DM241" s="11"/>
      <c r="DN241" s="11"/>
    </row>
    <row r="242" spans="116:118" ht="12.75" customHeight="1" x14ac:dyDescent="0.2">
      <c r="DL242" s="211" t="str">
        <f>CONCATENATE($DM$5,$DN$5)</f>
        <v xml:space="preserve">   "",</v>
      </c>
      <c r="DM242" s="11"/>
      <c r="DN242" s="11"/>
    </row>
    <row r="243" spans="116:118" ht="12.75" customHeight="1" x14ac:dyDescent="0.2">
      <c r="DL243" s="211" t="str">
        <f>CONCATENATE($DM$5,$Y$25,$DN$5)</f>
        <v xml:space="preserve">   "",</v>
      </c>
      <c r="DM243" s="11"/>
      <c r="DN243" s="11"/>
    </row>
    <row r="244" spans="116:118" ht="12.75" customHeight="1" x14ac:dyDescent="0.2">
      <c r="DL244" s="211" t="str">
        <f>CONCATENATE($DM$5,$Y$30,$DN$6)</f>
        <v xml:space="preserve">   ""</v>
      </c>
      <c r="DM244" s="11"/>
      <c r="DN244" s="11"/>
    </row>
    <row r="245" spans="116:118" ht="12.75" customHeight="1" x14ac:dyDescent="0.2">
      <c r="DL245" s="211" t="s">
        <v>28</v>
      </c>
      <c r="DM245" s="11"/>
      <c r="DN245" s="11"/>
    </row>
    <row r="246" spans="116:118" ht="12.75" customHeight="1" x14ac:dyDescent="0.2">
      <c r="DL246" s="212"/>
      <c r="DM246" s="11"/>
      <c r="DN246" s="11"/>
    </row>
    <row r="247" spans="116:118" ht="12.75" customHeight="1" x14ac:dyDescent="0.2">
      <c r="DL247" s="211" t="s">
        <v>38</v>
      </c>
      <c r="DM247" s="11"/>
      <c r="DN247" s="11"/>
    </row>
    <row r="248" spans="116:118" ht="12.75" customHeight="1" x14ac:dyDescent="0.2">
      <c r="DL248" s="211" t="str">
        <f>CONCATENATE($DM$5,$AA$5,$DN$5)</f>
        <v xml:space="preserve">   "H",</v>
      </c>
      <c r="DM248" s="11"/>
      <c r="DN248" s="11"/>
    </row>
    <row r="249" spans="116:118" ht="12.75" customHeight="1" x14ac:dyDescent="0.2">
      <c r="DL249" s="211" t="str">
        <f>CONCATENATE($DM$5,$AA$6,$DN$5)</f>
        <v xml:space="preserve">   "V",</v>
      </c>
      <c r="DM249" s="11"/>
      <c r="DN249" s="11"/>
    </row>
    <row r="250" spans="116:118" ht="12.75" customHeight="1" x14ac:dyDescent="0.2">
      <c r="DL250" s="211" t="str">
        <f>CONCATENATE($DM$5,$AA$7,$DN$5)</f>
        <v xml:space="preserve">   "H",</v>
      </c>
      <c r="DM250" s="11"/>
      <c r="DN250" s="11"/>
    </row>
    <row r="251" spans="116:118" ht="12.75" customHeight="1" x14ac:dyDescent="0.2">
      <c r="DL251" s="211" t="str">
        <f>CONCATENATE($DM$5,$AA$8,$DN$5)</f>
        <v xml:space="preserve">   "H",</v>
      </c>
      <c r="DM251" s="11"/>
      <c r="DN251" s="11"/>
    </row>
    <row r="252" spans="116:118" ht="12.75" customHeight="1" x14ac:dyDescent="0.2">
      <c r="DL252" s="211" t="str">
        <f>CONCATENATE($DM$5,$AA$9,$DN$5)</f>
        <v xml:space="preserve">   "H",</v>
      </c>
      <c r="DM252" s="11"/>
      <c r="DN252" s="11"/>
    </row>
    <row r="253" spans="116:118" ht="12.75" customHeight="1" x14ac:dyDescent="0.2">
      <c r="DL253" s="211" t="str">
        <f>CONCATENATE($DM$5,$AA$10,$DN$5)</f>
        <v xml:space="preserve">   "H",</v>
      </c>
      <c r="DM253" s="11"/>
      <c r="DN253" s="11"/>
    </row>
    <row r="254" spans="116:118" ht="12.75" customHeight="1" x14ac:dyDescent="0.2">
      <c r="DL254" s="211" t="str">
        <f>CONCATENATE($DM$5,$AA$15,$DN$5)</f>
        <v xml:space="preserve">   "",</v>
      </c>
      <c r="DM254" s="11"/>
      <c r="DN254" s="11"/>
    </row>
    <row r="255" spans="116:118" ht="12.75" customHeight="1" x14ac:dyDescent="0.2">
      <c r="DL255" s="211" t="str">
        <f>CONCATENATE($DM$5,$AA$16,$DN$5)</f>
        <v xml:space="preserve">   "",</v>
      </c>
      <c r="DM255" s="11"/>
      <c r="DN255" s="11"/>
    </row>
    <row r="256" spans="116:118" ht="12.75" customHeight="1" x14ac:dyDescent="0.2">
      <c r="DL256" s="211" t="str">
        <f>CONCATENATE($DM$5,$AA$17,$DN$5)</f>
        <v xml:space="preserve">   "",</v>
      </c>
      <c r="DM256" s="11"/>
      <c r="DN256" s="11"/>
    </row>
    <row r="257" spans="116:118" ht="12.75" customHeight="1" x14ac:dyDescent="0.2">
      <c r="DL257" s="211" t="str">
        <f>CONCATENATE($DM$5,$AA$18,$DN$5)</f>
        <v xml:space="preserve">   "",</v>
      </c>
      <c r="DM257" s="11"/>
      <c r="DN257" s="11"/>
    </row>
    <row r="258" spans="116:118" ht="12.75" customHeight="1" x14ac:dyDescent="0.2">
      <c r="DL258" s="211" t="str">
        <f>CONCATENATE($DM$5,$AA$23,$DN$5)</f>
        <v xml:space="preserve">   "",</v>
      </c>
      <c r="DM258" s="11"/>
      <c r="DN258" s="11"/>
    </row>
    <row r="259" spans="116:118" ht="12.75" customHeight="1" x14ac:dyDescent="0.2">
      <c r="DL259" s="211" t="str">
        <f>CONCATENATE($DM$5,$AA$24,$DN$5)</f>
        <v xml:space="preserve">   "",</v>
      </c>
      <c r="DM259" s="11"/>
      <c r="DN259" s="11"/>
    </row>
    <row r="260" spans="116:118" ht="12.75" customHeight="1" x14ac:dyDescent="0.2">
      <c r="DL260" s="211" t="str">
        <f>CONCATENATE($DM$5,$AA$29,$DN$6)</f>
        <v xml:space="preserve">   ""</v>
      </c>
      <c r="DM260" s="11"/>
      <c r="DN260" s="11"/>
    </row>
    <row r="261" spans="116:118" ht="12.75" customHeight="1" x14ac:dyDescent="0.2">
      <c r="DL261" s="211" t="s">
        <v>28</v>
      </c>
      <c r="DM261" s="11"/>
      <c r="DN261" s="11"/>
    </row>
    <row r="262" spans="116:118" ht="12.75" customHeight="1" x14ac:dyDescent="0.2">
      <c r="DL262" s="211"/>
      <c r="DM262" s="11"/>
      <c r="DN262" s="11"/>
    </row>
    <row r="263" spans="116:118" ht="12.75" customHeight="1" x14ac:dyDescent="0.2">
      <c r="DL263" s="211" t="s">
        <v>39</v>
      </c>
      <c r="DM263" s="11"/>
      <c r="DN263" s="11"/>
    </row>
    <row r="264" spans="116:118" ht="12.75" customHeight="1" x14ac:dyDescent="0.2">
      <c r="DL264" s="211" t="str">
        <f>CONCATENATE($DM$5,$AC$5,$DN$5)</f>
        <v xml:space="preserve">   "14",</v>
      </c>
      <c r="DM264" s="11"/>
      <c r="DN264" s="11"/>
    </row>
    <row r="265" spans="116:118" ht="12.75" customHeight="1" x14ac:dyDescent="0.2">
      <c r="DL265" s="211" t="str">
        <f>CONCATENATE($DM$5,$AC$6,$DN$5)</f>
        <v xml:space="preserve">   "3",</v>
      </c>
      <c r="DM265" s="11"/>
      <c r="DN265" s="11"/>
    </row>
    <row r="266" spans="116:118" ht="12.75" customHeight="1" x14ac:dyDescent="0.2">
      <c r="DL266" s="211" t="str">
        <f>CONCATENATE($DM$5,$AC$7,$DN$5)</f>
        <v xml:space="preserve">   "14",</v>
      </c>
      <c r="DM266" s="11"/>
      <c r="DN266" s="11"/>
    </row>
    <row r="267" spans="116:118" ht="12.75" customHeight="1" x14ac:dyDescent="0.2">
      <c r="DL267" s="211" t="str">
        <f>CONCATENATE($DM$5,$AC$8,$DN$5)</f>
        <v xml:space="preserve">   "3",</v>
      </c>
      <c r="DM267" s="11"/>
      <c r="DN267" s="11"/>
    </row>
    <row r="268" spans="116:118" ht="12.75" customHeight="1" x14ac:dyDescent="0.2">
      <c r="DL268" s="211" t="str">
        <f>CONCATENATE($DM$5,$AC$9,$DN$5)</f>
        <v xml:space="preserve">   "7",</v>
      </c>
      <c r="DM268" s="11"/>
      <c r="DN268" s="11"/>
    </row>
    <row r="269" spans="116:118" ht="12.75" customHeight="1" x14ac:dyDescent="0.2">
      <c r="DL269" s="211" t="str">
        <f>CONCATENATE($DM$5,$AC$10,$DN$5)</f>
        <v xml:space="preserve">   "3",</v>
      </c>
      <c r="DM269" s="11"/>
      <c r="DN269" s="11"/>
    </row>
    <row r="270" spans="116:118" ht="12.75" customHeight="1" x14ac:dyDescent="0.2">
      <c r="DL270" s="211" t="str">
        <f>CONCATENATE($DM$5,$AC$15,$DN$5)</f>
        <v xml:space="preserve">   "",</v>
      </c>
      <c r="DM270" s="11"/>
      <c r="DN270" s="11"/>
    </row>
    <row r="271" spans="116:118" ht="12.75" customHeight="1" x14ac:dyDescent="0.2">
      <c r="DL271" s="211" t="str">
        <f>CONCATENATE($DM$5,$AC$16,$DN$5)</f>
        <v xml:space="preserve">   "",</v>
      </c>
      <c r="DM271" s="11"/>
      <c r="DN271" s="11"/>
    </row>
    <row r="272" spans="116:118" ht="12.75" customHeight="1" x14ac:dyDescent="0.2">
      <c r="DL272" s="211" t="str">
        <f>CONCATENATE($DM$5,$AC$17,$DN$5)</f>
        <v xml:space="preserve">   "",</v>
      </c>
      <c r="DM272" s="11"/>
      <c r="DN272" s="11"/>
    </row>
    <row r="273" spans="116:118" ht="12.75" customHeight="1" x14ac:dyDescent="0.2">
      <c r="DL273" s="211" t="str">
        <f>CONCATENATE($DM$5,$AC$18,$DN$5)</f>
        <v xml:space="preserve">   "",</v>
      </c>
      <c r="DM273" s="11"/>
      <c r="DN273" s="11"/>
    </row>
    <row r="274" spans="116:118" ht="12.75" customHeight="1" x14ac:dyDescent="0.2">
      <c r="DL274" s="211" t="str">
        <f>CONCATENATE($DM$5,$AC$23,$DN$5)</f>
        <v xml:space="preserve">   "",</v>
      </c>
      <c r="DM274" s="11"/>
      <c r="DN274" s="11"/>
    </row>
    <row r="275" spans="116:118" ht="12.75" customHeight="1" x14ac:dyDescent="0.2">
      <c r="DL275" s="211" t="str">
        <f>CONCATENATE($DM$5,$AC$24,$DN$5)</f>
        <v xml:space="preserve">   "",</v>
      </c>
      <c r="DM275" s="11"/>
      <c r="DN275" s="11"/>
    </row>
    <row r="276" spans="116:118" ht="12.75" customHeight="1" x14ac:dyDescent="0.2">
      <c r="DL276" s="211" t="str">
        <f>CONCATENATE($DM$5,$AC$29,$DN$6)</f>
        <v xml:space="preserve">   ""</v>
      </c>
      <c r="DM276" s="11"/>
      <c r="DN276" s="11"/>
    </row>
    <row r="277" spans="116:118" ht="12.75" customHeight="1" x14ac:dyDescent="0.2">
      <c r="DL277" s="211" t="s">
        <v>28</v>
      </c>
      <c r="DM277" s="11"/>
      <c r="DN277" s="11"/>
    </row>
    <row r="278" spans="116:118" ht="12.75" customHeight="1" x14ac:dyDescent="0.2">
      <c r="DL278" s="211"/>
      <c r="DM278" s="11"/>
      <c r="DN278" s="11"/>
    </row>
    <row r="279" spans="116:118" ht="12.75" customHeight="1" x14ac:dyDescent="0.2">
      <c r="DL279" s="211" t="s">
        <v>67</v>
      </c>
      <c r="DM279" s="11"/>
      <c r="DN279" s="11"/>
    </row>
    <row r="280" spans="116:118" ht="12.75" customHeight="1" x14ac:dyDescent="0.2">
      <c r="DL280" s="211" t="str">
        <f>CONCATENATE($DM$5,$DN$5)</f>
        <v xml:space="preserve">   "",</v>
      </c>
      <c r="DM280" s="11"/>
      <c r="DN280" s="11"/>
    </row>
    <row r="281" spans="116:118" ht="12.75" customHeight="1" x14ac:dyDescent="0.2">
      <c r="DL281" s="211" t="str">
        <f>CONCATENATE($DM$5,$DN$5)</f>
        <v xml:space="preserve">   "",</v>
      </c>
      <c r="DM281" s="11"/>
      <c r="DN281" s="11"/>
    </row>
    <row r="282" spans="116:118" ht="12.75" customHeight="1" x14ac:dyDescent="0.2">
      <c r="DL282" s="211" t="str">
        <f>CONCATENATE($DM$5,$DN$5)</f>
        <v xml:space="preserve">   "",</v>
      </c>
      <c r="DM282" s="11"/>
      <c r="DN282" s="11"/>
    </row>
    <row r="283" spans="116:118" ht="12.75" customHeight="1" x14ac:dyDescent="0.2">
      <c r="DL283" s="211" t="str">
        <f>CONCATENATE($DM$5,$DN$5)</f>
        <v xml:space="preserve">   "",</v>
      </c>
      <c r="DM283" s="11"/>
      <c r="DN283" s="11"/>
    </row>
    <row r="284" spans="116:118" ht="12.75" customHeight="1" x14ac:dyDescent="0.2">
      <c r="DL284" s="211" t="str">
        <f>CONCATENATE($DM$5,$DN$5)</f>
        <v xml:space="preserve">   "",</v>
      </c>
      <c r="DM284" s="11"/>
      <c r="DN284" s="11"/>
    </row>
    <row r="285" spans="116:118" ht="12.75" customHeight="1" x14ac:dyDescent="0.2">
      <c r="DL285" s="211" t="str">
        <f>CONCATENATE($DM$5,$AC$11,$DN$5)</f>
        <v xml:space="preserve">   "38",</v>
      </c>
      <c r="DM285" s="11"/>
      <c r="DN285" s="11"/>
    </row>
    <row r="286" spans="116:118" ht="12.75" customHeight="1" x14ac:dyDescent="0.2">
      <c r="DL286" s="211" t="str">
        <f>CONCATENATE($DM$5,$DN$5)</f>
        <v xml:space="preserve">   "",</v>
      </c>
      <c r="DM286" s="11"/>
      <c r="DN286" s="11"/>
    </row>
    <row r="287" spans="116:118" ht="12.75" customHeight="1" x14ac:dyDescent="0.2">
      <c r="DL287" s="211" t="str">
        <f>CONCATENATE($DM$5,$DN$5)</f>
        <v xml:space="preserve">   "",</v>
      </c>
      <c r="DM287" s="11"/>
      <c r="DN287" s="11"/>
    </row>
    <row r="288" spans="116:118" ht="12.75" customHeight="1" x14ac:dyDescent="0.2">
      <c r="DL288" s="211" t="str">
        <f>CONCATENATE($DM$5,$DN$5)</f>
        <v xml:space="preserve">   "",</v>
      </c>
      <c r="DM288" s="11"/>
      <c r="DN288" s="11"/>
    </row>
    <row r="289" spans="116:118" ht="12.75" customHeight="1" x14ac:dyDescent="0.2">
      <c r="DL289" s="211" t="str">
        <f>CONCATENATE($DM$5,$AC$19,$DN$5)</f>
        <v xml:space="preserve">   "",</v>
      </c>
      <c r="DM289" s="11"/>
      <c r="DN289" s="11"/>
    </row>
    <row r="290" spans="116:118" ht="12.75" customHeight="1" x14ac:dyDescent="0.2">
      <c r="DL290" s="211" t="str">
        <f>CONCATENATE($DM$5,$DN$5)</f>
        <v xml:space="preserve">   "",</v>
      </c>
      <c r="DM290" s="11"/>
      <c r="DN290" s="11"/>
    </row>
    <row r="291" spans="116:118" ht="12.75" customHeight="1" x14ac:dyDescent="0.2">
      <c r="DL291" s="211" t="str">
        <f>CONCATENATE($DM$5,$AC$25,$DN$5)</f>
        <v xml:space="preserve">   "",</v>
      </c>
      <c r="DM291" s="11"/>
      <c r="DN291" s="11"/>
    </row>
    <row r="292" spans="116:118" ht="12.75" customHeight="1" x14ac:dyDescent="0.2">
      <c r="DL292" s="211" t="str">
        <f>CONCATENATE($DM$5,$AC$30,$DN$6)</f>
        <v xml:space="preserve">   ""</v>
      </c>
      <c r="DM292" s="11"/>
      <c r="DN292" s="11"/>
    </row>
    <row r="293" spans="116:118" ht="12.75" customHeight="1" x14ac:dyDescent="0.2">
      <c r="DL293" s="211" t="s">
        <v>28</v>
      </c>
      <c r="DM293" s="11"/>
      <c r="DN293" s="11"/>
    </row>
    <row r="294" spans="116:118" ht="12.75" customHeight="1" x14ac:dyDescent="0.2">
      <c r="DL294" s="212"/>
      <c r="DM294" s="11"/>
      <c r="DN294" s="11"/>
    </row>
    <row r="295" spans="116:118" ht="12.75" customHeight="1" x14ac:dyDescent="0.2">
      <c r="DL295" s="211" t="s">
        <v>40</v>
      </c>
      <c r="DM295" s="11"/>
      <c r="DN295" s="11"/>
    </row>
    <row r="296" spans="116:118" ht="12.75" customHeight="1" x14ac:dyDescent="0.2">
      <c r="DL296" s="211" t="str">
        <f>CONCATENATE($DM$5,$AE$5,$DN$5)</f>
        <v xml:space="preserve">   "H",</v>
      </c>
      <c r="DM296" s="11"/>
      <c r="DN296" s="11"/>
    </row>
    <row r="297" spans="116:118" ht="12.75" customHeight="1" x14ac:dyDescent="0.2">
      <c r="DL297" s="211" t="str">
        <f>CONCATENATE($DM$5,$AE$6,$DN$5)</f>
        <v xml:space="preserve">   "V",</v>
      </c>
      <c r="DM297" s="11"/>
      <c r="DN297" s="11"/>
    </row>
    <row r="298" spans="116:118" ht="12.75" customHeight="1" x14ac:dyDescent="0.2">
      <c r="DL298" s="211" t="str">
        <f>CONCATENATE($DM$5,$AE$7,$DN$5)</f>
        <v xml:space="preserve">   "H",</v>
      </c>
      <c r="DM298" s="11"/>
      <c r="DN298" s="11"/>
    </row>
    <row r="299" spans="116:118" ht="12.75" customHeight="1" x14ac:dyDescent="0.2">
      <c r="DL299" s="211" t="str">
        <f>CONCATENATE($DM$5,$AE$8,$DN$5)</f>
        <v xml:space="preserve">   "H",</v>
      </c>
      <c r="DM299" s="11"/>
      <c r="DN299" s="11"/>
    </row>
    <row r="300" spans="116:118" ht="12.75" customHeight="1" x14ac:dyDescent="0.2">
      <c r="DL300" s="211" t="str">
        <f>CONCATENATE($DM$5,$AE$9,$DN$5)</f>
        <v xml:space="preserve">   "H",</v>
      </c>
      <c r="DM300" s="11"/>
      <c r="DN300" s="11"/>
    </row>
    <row r="301" spans="116:118" ht="12.75" customHeight="1" x14ac:dyDescent="0.2">
      <c r="DL301" s="211" t="str">
        <f>CONCATENATE($DM$5,$AE$10,$DN$5)</f>
        <v xml:space="preserve">   "V",</v>
      </c>
      <c r="DM301" s="11"/>
      <c r="DN301" s="11"/>
    </row>
    <row r="302" spans="116:118" ht="12.75" customHeight="1" x14ac:dyDescent="0.2">
      <c r="DL302" s="211" t="str">
        <f>CONCATENATE($DM$5,$AE$15,$DN$5)</f>
        <v xml:space="preserve">   "",</v>
      </c>
      <c r="DM302" s="11"/>
      <c r="DN302" s="11"/>
    </row>
    <row r="303" spans="116:118" ht="12.75" customHeight="1" x14ac:dyDescent="0.2">
      <c r="DL303" s="211" t="str">
        <f>CONCATENATE($DM$5,$AE$16,$DN$5)</f>
        <v xml:space="preserve">   "",</v>
      </c>
      <c r="DM303" s="11"/>
      <c r="DN303" s="11"/>
    </row>
    <row r="304" spans="116:118" ht="12.75" customHeight="1" x14ac:dyDescent="0.2">
      <c r="DL304" s="211" t="str">
        <f>CONCATENATE($DM$5,$AE$17,$DN$5)</f>
        <v xml:space="preserve">   "",</v>
      </c>
      <c r="DM304" s="11"/>
      <c r="DN304" s="11"/>
    </row>
    <row r="305" spans="116:118" ht="12.75" customHeight="1" x14ac:dyDescent="0.2">
      <c r="DL305" s="211" t="str">
        <f>CONCATENATE($DM$5,$AE$18,$DN$5)</f>
        <v xml:space="preserve">   "",</v>
      </c>
      <c r="DM305" s="11"/>
      <c r="DN305" s="11"/>
    </row>
    <row r="306" spans="116:118" ht="12.75" customHeight="1" x14ac:dyDescent="0.2">
      <c r="DL306" s="211" t="str">
        <f>CONCATENATE($DM$5,$AE$23,$DN$5)</f>
        <v xml:space="preserve">   "",</v>
      </c>
      <c r="DM306" s="11"/>
      <c r="DN306" s="11"/>
    </row>
    <row r="307" spans="116:118" ht="12.75" customHeight="1" x14ac:dyDescent="0.2">
      <c r="DL307" s="211" t="str">
        <f>CONCATENATE($DM$5,$AE$24,$DN$5)</f>
        <v xml:space="preserve">   "",</v>
      </c>
      <c r="DM307" s="11"/>
      <c r="DN307" s="11"/>
    </row>
    <row r="308" spans="116:118" ht="12.75" customHeight="1" x14ac:dyDescent="0.2">
      <c r="DL308" s="211" t="str">
        <f>CONCATENATE($DM$5,$AE$29,$DN$6)</f>
        <v xml:space="preserve">   ""</v>
      </c>
      <c r="DM308" s="11"/>
      <c r="DN308" s="11"/>
    </row>
    <row r="309" spans="116:118" ht="12.75" customHeight="1" x14ac:dyDescent="0.2">
      <c r="DL309" s="211" t="s">
        <v>28</v>
      </c>
      <c r="DM309" s="11"/>
      <c r="DN309" s="11"/>
    </row>
    <row r="310" spans="116:118" ht="12.75" customHeight="1" x14ac:dyDescent="0.2">
      <c r="DL310" s="211"/>
      <c r="DM310" s="11"/>
      <c r="DN310" s="11"/>
    </row>
    <row r="311" spans="116:118" ht="12.75" customHeight="1" x14ac:dyDescent="0.2">
      <c r="DL311" s="211" t="s">
        <v>41</v>
      </c>
      <c r="DM311" s="11"/>
      <c r="DN311" s="11"/>
    </row>
    <row r="312" spans="116:118" ht="12.75" customHeight="1" x14ac:dyDescent="0.2">
      <c r="DL312" s="211" t="str">
        <f>CONCATENATE($DM$5,$AG$5,$DN$5)</f>
        <v xml:space="preserve">   "12",</v>
      </c>
      <c r="DM312" s="11"/>
      <c r="DN312" s="11"/>
    </row>
    <row r="313" spans="116:118" ht="12.75" customHeight="1" x14ac:dyDescent="0.2">
      <c r="DL313" s="211" t="str">
        <f>CONCATENATE($DM$5,$AG$6,$DN$5)</f>
        <v xml:space="preserve">   "5",</v>
      </c>
      <c r="DM313" s="11"/>
      <c r="DN313" s="11"/>
    </row>
    <row r="314" spans="116:118" ht="12.75" customHeight="1" x14ac:dyDescent="0.2">
      <c r="DL314" s="211" t="str">
        <f>CONCATENATE($DM$5,$AG$7,$DN$5)</f>
        <v xml:space="preserve">   "15",</v>
      </c>
      <c r="DM314" s="11"/>
      <c r="DN314" s="11"/>
    </row>
    <row r="315" spans="116:118" ht="12.75" customHeight="1" x14ac:dyDescent="0.2">
      <c r="DL315" s="211" t="str">
        <f>CONCATENATE($DM$5,$AG$8,$DN$5)</f>
        <v xml:space="preserve">   "1",</v>
      </c>
      <c r="DM315" s="11"/>
      <c r="DN315" s="11"/>
    </row>
    <row r="316" spans="116:118" ht="12.75" customHeight="1" x14ac:dyDescent="0.2">
      <c r="DL316" s="211" t="str">
        <f>CONCATENATE($DM$5,$AG$9,$DN$5)</f>
        <v xml:space="preserve">   "4",</v>
      </c>
      <c r="DM316" s="11"/>
      <c r="DN316" s="11"/>
    </row>
    <row r="317" spans="116:118" ht="12.75" customHeight="1" x14ac:dyDescent="0.2">
      <c r="DL317" s="211" t="str">
        <f>CONCATENATE($DM$5,$AG$10,$DN$5)</f>
        <v xml:space="preserve">   "1",</v>
      </c>
      <c r="DM317" s="11"/>
      <c r="DN317" s="11"/>
    </row>
    <row r="318" spans="116:118" ht="12.75" customHeight="1" x14ac:dyDescent="0.2">
      <c r="DL318" s="211" t="str">
        <f>CONCATENATE($DM$5,$AG$15,$DN$5)</f>
        <v xml:space="preserve">   "",</v>
      </c>
      <c r="DM318" s="11"/>
      <c r="DN318" s="11"/>
    </row>
    <row r="319" spans="116:118" ht="12.75" customHeight="1" x14ac:dyDescent="0.2">
      <c r="DL319" s="211" t="str">
        <f>CONCATENATE($DM$5,$AG$16,$DN$5)</f>
        <v xml:space="preserve">   "",</v>
      </c>
      <c r="DM319" s="11"/>
      <c r="DN319" s="11"/>
    </row>
    <row r="320" spans="116:118" ht="12.75" customHeight="1" x14ac:dyDescent="0.2">
      <c r="DL320" s="211" t="str">
        <f>CONCATENATE($DM$5,$AG$17,$DN$5)</f>
        <v xml:space="preserve">   "",</v>
      </c>
      <c r="DM320" s="11"/>
      <c r="DN320" s="11"/>
    </row>
    <row r="321" spans="116:118" ht="12.75" customHeight="1" x14ac:dyDescent="0.2">
      <c r="DL321" s="211" t="str">
        <f>CONCATENATE($DM$5,$AG$18,$DN$5)</f>
        <v xml:space="preserve">   "",</v>
      </c>
      <c r="DM321" s="11"/>
      <c r="DN321" s="11"/>
    </row>
    <row r="322" spans="116:118" ht="12.75" customHeight="1" x14ac:dyDescent="0.2">
      <c r="DL322" s="211" t="str">
        <f>CONCATENATE($DM$5,$AG$23,$DN$5)</f>
        <v xml:space="preserve">   "",</v>
      </c>
      <c r="DM322" s="11"/>
      <c r="DN322" s="11"/>
    </row>
    <row r="323" spans="116:118" ht="12.75" customHeight="1" x14ac:dyDescent="0.2">
      <c r="DL323" s="211" t="str">
        <f>CONCATENATE($DM$5,$AG$24,$DN$5)</f>
        <v xml:space="preserve">   "",</v>
      </c>
      <c r="DM323" s="11"/>
      <c r="DN323" s="11"/>
    </row>
    <row r="324" spans="116:118" ht="12.75" customHeight="1" x14ac:dyDescent="0.2">
      <c r="DL324" s="211" t="str">
        <f>CONCATENATE($DM$5,$AG$29,$DN$6)</f>
        <v xml:space="preserve">   ""</v>
      </c>
      <c r="DM324" s="11"/>
      <c r="DN324" s="11"/>
    </row>
    <row r="325" spans="116:118" ht="12.75" customHeight="1" x14ac:dyDescent="0.2">
      <c r="DL325" s="211" t="s">
        <v>28</v>
      </c>
      <c r="DM325" s="11"/>
      <c r="DN325" s="11"/>
    </row>
    <row r="326" spans="116:118" x14ac:dyDescent="0.2">
      <c r="DL326" s="211"/>
      <c r="DM326" s="11"/>
      <c r="DN326" s="11"/>
    </row>
    <row r="327" spans="116:118" x14ac:dyDescent="0.2">
      <c r="DL327" s="211" t="s">
        <v>68</v>
      </c>
      <c r="DM327" s="11"/>
      <c r="DN327" s="11"/>
    </row>
    <row r="328" spans="116:118" x14ac:dyDescent="0.2">
      <c r="DL328" s="211" t="str">
        <f>CONCATENATE($DM$5,$DN$5)</f>
        <v xml:space="preserve">   "",</v>
      </c>
      <c r="DM328" s="11"/>
      <c r="DN328" s="11"/>
    </row>
    <row r="329" spans="116:118" x14ac:dyDescent="0.2">
      <c r="DL329" s="211" t="str">
        <f>CONCATENATE($DM$5,$DN$5)</f>
        <v xml:space="preserve">   "",</v>
      </c>
      <c r="DM329" s="11"/>
      <c r="DN329" s="11"/>
    </row>
    <row r="330" spans="116:118" x14ac:dyDescent="0.2">
      <c r="DL330" s="211" t="str">
        <f>CONCATENATE($DM$5,$DN$5)</f>
        <v xml:space="preserve">   "",</v>
      </c>
      <c r="DM330" s="11"/>
      <c r="DN330" s="11"/>
    </row>
    <row r="331" spans="116:118" x14ac:dyDescent="0.2">
      <c r="DL331" s="211" t="str">
        <f>CONCATENATE($DM$5,$DN$5)</f>
        <v xml:space="preserve">   "",</v>
      </c>
      <c r="DM331" s="11"/>
      <c r="DN331" s="11"/>
    </row>
    <row r="332" spans="116:118" x14ac:dyDescent="0.2">
      <c r="DL332" s="211" t="str">
        <f>CONCATENATE($DM$5,$DN$5)</f>
        <v xml:space="preserve">   "",</v>
      </c>
      <c r="DM332" s="11"/>
      <c r="DN332" s="11"/>
    </row>
    <row r="333" spans="116:118" x14ac:dyDescent="0.2">
      <c r="DL333" s="211" t="str">
        <f>CONCATENATE($DM$5,$AG$11,$DN$5)</f>
        <v xml:space="preserve">   "49",</v>
      </c>
      <c r="DM333" s="11"/>
      <c r="DN333" s="11"/>
    </row>
    <row r="334" spans="116:118" x14ac:dyDescent="0.2">
      <c r="DL334" s="211" t="str">
        <f>CONCATENATE($DM$5,$DN$5)</f>
        <v xml:space="preserve">   "",</v>
      </c>
      <c r="DM334" s="11"/>
      <c r="DN334" s="11"/>
    </row>
    <row r="335" spans="116:118" x14ac:dyDescent="0.2">
      <c r="DL335" s="211" t="str">
        <f>CONCATENATE($DM$5,$DN$5)</f>
        <v xml:space="preserve">   "",</v>
      </c>
      <c r="DM335" s="11"/>
      <c r="DN335" s="11"/>
    </row>
    <row r="336" spans="116:118" x14ac:dyDescent="0.2">
      <c r="DL336" s="211" t="str">
        <f>CONCATENATE($DM$5,$DN$5)</f>
        <v xml:space="preserve">   "",</v>
      </c>
      <c r="DM336" s="11"/>
      <c r="DN336" s="11"/>
    </row>
    <row r="337" spans="116:118" x14ac:dyDescent="0.2">
      <c r="DL337" s="211" t="str">
        <f>CONCATENATE($DM$5,$AG$19,$DN$5)</f>
        <v xml:space="preserve">   "",</v>
      </c>
      <c r="DM337" s="11"/>
      <c r="DN337" s="11"/>
    </row>
    <row r="338" spans="116:118" x14ac:dyDescent="0.2">
      <c r="DL338" s="211" t="str">
        <f>CONCATENATE($DM$5,$DN$5)</f>
        <v xml:space="preserve">   "",</v>
      </c>
      <c r="DM338" s="11"/>
      <c r="DN338" s="11"/>
    </row>
    <row r="339" spans="116:118" x14ac:dyDescent="0.2">
      <c r="DL339" s="211" t="str">
        <f>CONCATENATE($DM$5,$AG$25,$DN$5)</f>
        <v xml:space="preserve">   "",</v>
      </c>
      <c r="DM339" s="11"/>
      <c r="DN339" s="11"/>
    </row>
    <row r="340" spans="116:118" x14ac:dyDescent="0.2">
      <c r="DL340" s="211" t="str">
        <f>CONCATENATE($DM$5,$AG$30,$DN$6)</f>
        <v xml:space="preserve">   ""</v>
      </c>
      <c r="DM340" s="11"/>
      <c r="DN340" s="11"/>
    </row>
    <row r="341" spans="116:118" x14ac:dyDescent="0.2">
      <c r="DL341" s="211" t="s">
        <v>28</v>
      </c>
      <c r="DM341" s="11"/>
      <c r="DN341" s="11"/>
    </row>
    <row r="342" spans="116:118" x14ac:dyDescent="0.2">
      <c r="DL342" s="212"/>
      <c r="DM342" s="11"/>
      <c r="DN342" s="11"/>
    </row>
    <row r="343" spans="116:118" x14ac:dyDescent="0.2">
      <c r="DL343" s="211" t="s">
        <v>42</v>
      </c>
      <c r="DM343" s="11"/>
      <c r="DN343" s="11"/>
    </row>
    <row r="344" spans="116:118" x14ac:dyDescent="0.2">
      <c r="DL344" s="211" t="str">
        <f>CONCATENATE($DM$5,$AI$5,$DN$5)</f>
        <v xml:space="preserve">   "H",</v>
      </c>
      <c r="DM344" s="11"/>
      <c r="DN344" s="11"/>
    </row>
    <row r="345" spans="116:118" x14ac:dyDescent="0.2">
      <c r="DL345" s="211" t="str">
        <f>CONCATENATE($DM$5,$AI$6,$DN$5)</f>
        <v xml:space="preserve">   "V",</v>
      </c>
      <c r="DM345" s="11"/>
      <c r="DN345" s="11"/>
    </row>
    <row r="346" spans="116:118" x14ac:dyDescent="0.2">
      <c r="DL346" s="211" t="str">
        <f>CONCATENATE($DM$5,$AI$7,$DN$5)</f>
        <v xml:space="preserve">   "H",</v>
      </c>
      <c r="DM346" s="11"/>
      <c r="DN346" s="11"/>
    </row>
    <row r="347" spans="116:118" x14ac:dyDescent="0.2">
      <c r="DL347" s="211" t="str">
        <f>CONCATENATE($DM$5,$AI$8,$DN$5)</f>
        <v xml:space="preserve">   "H",</v>
      </c>
      <c r="DM347" s="11"/>
      <c r="DN347" s="11"/>
    </row>
    <row r="348" spans="116:118" x14ac:dyDescent="0.2">
      <c r="DL348" s="211" t="str">
        <f>CONCATENATE($DM$5,$AI$9,$DN$5)</f>
        <v xml:space="preserve">   "H",</v>
      </c>
      <c r="DM348" s="11"/>
      <c r="DN348" s="11"/>
    </row>
    <row r="349" spans="116:118" x14ac:dyDescent="0.2">
      <c r="DL349" s="211" t="str">
        <f>CONCATENATE($DM$5,$AI$10,$DN$5)</f>
        <v xml:space="preserve">   "V",</v>
      </c>
      <c r="DM349" s="11"/>
      <c r="DN349" s="11"/>
    </row>
    <row r="350" spans="116:118" x14ac:dyDescent="0.2">
      <c r="DL350" s="211" t="str">
        <f>CONCATENATE($DM$5,$AI$15,$DN$5)</f>
        <v xml:space="preserve">   "",</v>
      </c>
      <c r="DM350" s="11"/>
      <c r="DN350" s="11"/>
    </row>
    <row r="351" spans="116:118" x14ac:dyDescent="0.2">
      <c r="DL351" s="211" t="str">
        <f>CONCATENATE($DM$5,$AI$16,$DN$5)</f>
        <v xml:space="preserve">   "",</v>
      </c>
      <c r="DM351" s="11"/>
      <c r="DN351" s="11"/>
    </row>
    <row r="352" spans="116:118" x14ac:dyDescent="0.2">
      <c r="DL352" s="211" t="str">
        <f>CONCATENATE($DM$5,$AI$17,$DN$5)</f>
        <v xml:space="preserve">   "",</v>
      </c>
      <c r="DM352" s="11"/>
      <c r="DN352" s="11"/>
    </row>
    <row r="353" spans="116:118" x14ac:dyDescent="0.2">
      <c r="DL353" s="211" t="str">
        <f>CONCATENATE($DM$5,$AI$18,$DN$5)</f>
        <v xml:space="preserve">   "",</v>
      </c>
      <c r="DM353" s="11"/>
      <c r="DN353" s="11"/>
    </row>
    <row r="354" spans="116:118" x14ac:dyDescent="0.2">
      <c r="DL354" s="211" t="str">
        <f>CONCATENATE($DM$5,$AI$23,$DN$5)</f>
        <v xml:space="preserve">   "",</v>
      </c>
      <c r="DM354" s="11"/>
      <c r="DN354" s="11"/>
    </row>
    <row r="355" spans="116:118" x14ac:dyDescent="0.2">
      <c r="DL355" s="211" t="str">
        <f>CONCATENATE($DM$5,$AI$24,$DN$5)</f>
        <v xml:space="preserve">   "",</v>
      </c>
      <c r="DM355" s="11"/>
      <c r="DN355" s="11"/>
    </row>
    <row r="356" spans="116:118" x14ac:dyDescent="0.2">
      <c r="DL356" s="211" t="str">
        <f>CONCATENATE($DM$5,$AI$29,$DN$6)</f>
        <v xml:space="preserve">   ""</v>
      </c>
      <c r="DM356" s="11"/>
      <c r="DN356" s="11"/>
    </row>
    <row r="357" spans="116:118" x14ac:dyDescent="0.2">
      <c r="DL357" s="211" t="s">
        <v>28</v>
      </c>
      <c r="DM357" s="11"/>
      <c r="DN357" s="11"/>
    </row>
    <row r="358" spans="116:118" x14ac:dyDescent="0.2">
      <c r="DL358" s="211"/>
      <c r="DM358" s="11"/>
      <c r="DN358" s="11"/>
    </row>
    <row r="359" spans="116:118" x14ac:dyDescent="0.2">
      <c r="DL359" s="211" t="s">
        <v>43</v>
      </c>
      <c r="DM359" s="11"/>
      <c r="DN359" s="11"/>
    </row>
    <row r="360" spans="116:118" x14ac:dyDescent="0.2">
      <c r="DL360" s="211" t="str">
        <f>CONCATENATE($DM$5,$AK$5,$DN$5)</f>
        <v xml:space="preserve">   "9",</v>
      </c>
      <c r="DM360" s="11"/>
      <c r="DN360" s="11"/>
    </row>
    <row r="361" spans="116:118" x14ac:dyDescent="0.2">
      <c r="DL361" s="211" t="str">
        <f>CONCATENATE($DM$5,$AK$6,$DN$5)</f>
        <v xml:space="preserve">   "2",</v>
      </c>
      <c r="DM361" s="11"/>
      <c r="DN361" s="11"/>
    </row>
    <row r="362" spans="116:118" x14ac:dyDescent="0.2">
      <c r="DL362" s="211" t="str">
        <f>CONCATENATE($DM$5,$AK$7,$DN$5)</f>
        <v xml:space="preserve">   "13",</v>
      </c>
      <c r="DM362" s="11"/>
      <c r="DN362" s="11"/>
    </row>
    <row r="363" spans="116:118" x14ac:dyDescent="0.2">
      <c r="DL363" s="211" t="str">
        <f>CONCATENATE($DM$5,$AK$8,$DN$5)</f>
        <v xml:space="preserve">   "3",</v>
      </c>
      <c r="DM363" s="11"/>
      <c r="DN363" s="11"/>
    </row>
    <row r="364" spans="116:118" x14ac:dyDescent="0.2">
      <c r="DL364" s="211" t="str">
        <f>CONCATENATE($DM$5,$AK$9,$DN$5)</f>
        <v xml:space="preserve">   "8",</v>
      </c>
      <c r="DM364" s="11"/>
      <c r="DN364" s="11"/>
    </row>
    <row r="365" spans="116:118" x14ac:dyDescent="0.2">
      <c r="DL365" s="211" t="str">
        <f>CONCATENATE($DM$5,$AK$10,$DN$5)</f>
        <v xml:space="preserve">   "2",</v>
      </c>
      <c r="DM365" s="11"/>
      <c r="DN365" s="11"/>
    </row>
    <row r="366" spans="116:118" x14ac:dyDescent="0.2">
      <c r="DL366" s="211" t="str">
        <f>CONCATENATE($DM$5,$AK$15,$DN$5)</f>
        <v xml:space="preserve">   "",</v>
      </c>
      <c r="DM366" s="11"/>
      <c r="DN366" s="11"/>
    </row>
    <row r="367" spans="116:118" x14ac:dyDescent="0.2">
      <c r="DL367" s="211" t="str">
        <f>CONCATENATE($DM$5,$AK$16,$DN$5)</f>
        <v xml:space="preserve">   "",</v>
      </c>
      <c r="DM367" s="11"/>
      <c r="DN367" s="11"/>
    </row>
    <row r="368" spans="116:118" x14ac:dyDescent="0.2">
      <c r="DL368" s="211" t="str">
        <f>CONCATENATE($DM$5,$AK$17,$DN$5)</f>
        <v xml:space="preserve">   "",</v>
      </c>
      <c r="DM368" s="11"/>
      <c r="DN368" s="11"/>
    </row>
    <row r="369" spans="116:118" x14ac:dyDescent="0.2">
      <c r="DL369" s="211" t="str">
        <f>CONCATENATE($DM$5,$AK$18,$DN$5)</f>
        <v xml:space="preserve">   "",</v>
      </c>
      <c r="DM369" s="11"/>
      <c r="DN369" s="11"/>
    </row>
    <row r="370" spans="116:118" x14ac:dyDescent="0.2">
      <c r="DL370" s="211" t="str">
        <f>CONCATENATE($DM$5,$AK$23,$DN$5)</f>
        <v xml:space="preserve">   "",</v>
      </c>
      <c r="DM370" s="11"/>
      <c r="DN370" s="11"/>
    </row>
    <row r="371" spans="116:118" x14ac:dyDescent="0.2">
      <c r="DL371" s="211" t="str">
        <f>CONCATENATE($DM$5,$AK$24,$DN$5)</f>
        <v xml:space="preserve">   "",</v>
      </c>
      <c r="DM371" s="11"/>
      <c r="DN371" s="11"/>
    </row>
    <row r="372" spans="116:118" x14ac:dyDescent="0.2">
      <c r="DL372" s="211" t="str">
        <f>CONCATENATE($DM$5,$AK$29,$DN$6)</f>
        <v xml:space="preserve">   ""</v>
      </c>
      <c r="DM372" s="11"/>
      <c r="DN372" s="11"/>
    </row>
    <row r="373" spans="116:118" x14ac:dyDescent="0.2">
      <c r="DL373" s="211" t="s">
        <v>28</v>
      </c>
      <c r="DM373" s="11"/>
      <c r="DN373" s="11"/>
    </row>
    <row r="374" spans="116:118" x14ac:dyDescent="0.2">
      <c r="DL374" s="211"/>
      <c r="DM374" s="11"/>
      <c r="DN374" s="11"/>
    </row>
    <row r="375" spans="116:118" x14ac:dyDescent="0.2">
      <c r="DL375" s="211" t="s">
        <v>69</v>
      </c>
      <c r="DM375" s="11"/>
      <c r="DN375" s="11"/>
    </row>
    <row r="376" spans="116:118" x14ac:dyDescent="0.2">
      <c r="DL376" s="211" t="str">
        <f>CONCATENATE($DM$5,$DN$5)</f>
        <v xml:space="preserve">   "",</v>
      </c>
      <c r="DM376" s="11"/>
      <c r="DN376" s="11"/>
    </row>
    <row r="377" spans="116:118" x14ac:dyDescent="0.2">
      <c r="DL377" s="211" t="str">
        <f>CONCATENATE($DM$5,$DN$5)</f>
        <v xml:space="preserve">   "",</v>
      </c>
      <c r="DM377" s="11"/>
      <c r="DN377" s="11"/>
    </row>
    <row r="378" spans="116:118" x14ac:dyDescent="0.2">
      <c r="DL378" s="211" t="str">
        <f>CONCATENATE($DM$5,$DN$5)</f>
        <v xml:space="preserve">   "",</v>
      </c>
      <c r="DM378" s="11"/>
      <c r="DN378" s="11"/>
    </row>
    <row r="379" spans="116:118" x14ac:dyDescent="0.2">
      <c r="DL379" s="211" t="str">
        <f>CONCATENATE($DM$5,$DN$5)</f>
        <v xml:space="preserve">   "",</v>
      </c>
      <c r="DM379" s="11"/>
      <c r="DN379" s="11"/>
    </row>
    <row r="380" spans="116:118" x14ac:dyDescent="0.2">
      <c r="DL380" s="211" t="str">
        <f>CONCATENATE($DM$5,$DN$5)</f>
        <v xml:space="preserve">   "",</v>
      </c>
      <c r="DM380" s="11"/>
      <c r="DN380" s="11"/>
    </row>
    <row r="381" spans="116:118" x14ac:dyDescent="0.2">
      <c r="DL381" s="211" t="str">
        <f>CONCATENATE($DM$5,$AK$11,$DN$5)</f>
        <v xml:space="preserve">   "46",</v>
      </c>
      <c r="DM381" s="11"/>
      <c r="DN381" s="11"/>
    </row>
    <row r="382" spans="116:118" x14ac:dyDescent="0.2">
      <c r="DL382" s="211" t="str">
        <f>CONCATENATE($DM$5,$DN$5)</f>
        <v xml:space="preserve">   "",</v>
      </c>
      <c r="DM382" s="11"/>
      <c r="DN382" s="11"/>
    </row>
    <row r="383" spans="116:118" x14ac:dyDescent="0.2">
      <c r="DL383" s="211" t="str">
        <f>CONCATENATE($DM$5,$DN$5)</f>
        <v xml:space="preserve">   "",</v>
      </c>
      <c r="DM383" s="11"/>
      <c r="DN383" s="11"/>
    </row>
    <row r="384" spans="116:118" x14ac:dyDescent="0.2">
      <c r="DL384" s="211" t="str">
        <f>CONCATENATE($DM$5,$DN$5)</f>
        <v xml:space="preserve">   "",</v>
      </c>
      <c r="DM384" s="11"/>
      <c r="DN384" s="11"/>
    </row>
    <row r="385" spans="116:118" x14ac:dyDescent="0.2">
      <c r="DL385" s="211" t="str">
        <f>CONCATENATE($DM$5,$AK$19,$DN$5)</f>
        <v xml:space="preserve">   "",</v>
      </c>
      <c r="DM385" s="11"/>
      <c r="DN385" s="11"/>
    </row>
    <row r="386" spans="116:118" x14ac:dyDescent="0.2">
      <c r="DL386" s="211" t="str">
        <f>CONCATENATE($DM$5,$DN$5)</f>
        <v xml:space="preserve">   "",</v>
      </c>
      <c r="DM386" s="11"/>
      <c r="DN386" s="11"/>
    </row>
    <row r="387" spans="116:118" x14ac:dyDescent="0.2">
      <c r="DL387" s="211" t="str">
        <f>CONCATENATE($DM$5,$AK$25,$DN$5)</f>
        <v xml:space="preserve">   "",</v>
      </c>
      <c r="DM387" s="11"/>
      <c r="DN387" s="11"/>
    </row>
    <row r="388" spans="116:118" x14ac:dyDescent="0.2">
      <c r="DL388" s="211" t="str">
        <f>CONCATENATE($DM$5,$AK$30,$DN$6)</f>
        <v xml:space="preserve">   ""</v>
      </c>
      <c r="DM388" s="11"/>
      <c r="DN388" s="11"/>
    </row>
    <row r="389" spans="116:118" x14ac:dyDescent="0.2">
      <c r="DL389" s="211" t="s">
        <v>28</v>
      </c>
      <c r="DM389" s="11"/>
      <c r="DN389" s="11"/>
    </row>
    <row r="390" spans="116:118" x14ac:dyDescent="0.2">
      <c r="DL390" s="212"/>
      <c r="DM390" s="11"/>
      <c r="DN390" s="11"/>
    </row>
    <row r="391" spans="116:118" x14ac:dyDescent="0.2">
      <c r="DL391" s="211" t="s">
        <v>44</v>
      </c>
      <c r="DM391" s="11"/>
      <c r="DN391" s="11"/>
    </row>
    <row r="392" spans="116:118" x14ac:dyDescent="0.2">
      <c r="DL392" s="211" t="str">
        <f>CONCATENATE($DM$5,$AM$5,$DN$5)</f>
        <v xml:space="preserve">   "H",</v>
      </c>
      <c r="DM392" s="11"/>
      <c r="DN392" s="11"/>
    </row>
    <row r="393" spans="116:118" x14ac:dyDescent="0.2">
      <c r="DL393" s="211" t="str">
        <f>CONCATENATE($DM$5,$AM$6,$DN$5)</f>
        <v xml:space="preserve">   "V",</v>
      </c>
      <c r="DM393" s="11"/>
      <c r="DN393" s="11"/>
    </row>
    <row r="394" spans="116:118" x14ac:dyDescent="0.2">
      <c r="DL394" s="211" t="str">
        <f>CONCATENATE($DM$5,$AM$7,$DN$5)</f>
        <v xml:space="preserve">   "H",</v>
      </c>
      <c r="DM394" s="11"/>
      <c r="DN394" s="11"/>
    </row>
    <row r="395" spans="116:118" x14ac:dyDescent="0.2">
      <c r="DL395" s="211" t="str">
        <f>CONCATENATE($DM$5,$AM$8,$DN$5)</f>
        <v xml:space="preserve">   "H",</v>
      </c>
      <c r="DM395" s="11"/>
      <c r="DN395" s="11"/>
    </row>
    <row r="396" spans="116:118" x14ac:dyDescent="0.2">
      <c r="DL396" s="211" t="str">
        <f>CONCATENATE($DM$5,$AM$9,$DN$5)</f>
        <v xml:space="preserve">   "H",</v>
      </c>
      <c r="DM396" s="11"/>
      <c r="DN396" s="11"/>
    </row>
    <row r="397" spans="116:118" x14ac:dyDescent="0.2">
      <c r="DL397" s="211" t="str">
        <f>CONCATENATE($DM$5,$AM$10,$DN$5)</f>
        <v xml:space="preserve">   "V",</v>
      </c>
      <c r="DM397" s="11"/>
      <c r="DN397" s="11"/>
    </row>
    <row r="398" spans="116:118" x14ac:dyDescent="0.2">
      <c r="DL398" s="211" t="str">
        <f>CONCATENATE($DM$5,$AM$15,$DN$5)</f>
        <v xml:space="preserve">   "",</v>
      </c>
      <c r="DM398" s="11"/>
      <c r="DN398" s="11"/>
    </row>
    <row r="399" spans="116:118" x14ac:dyDescent="0.2">
      <c r="DL399" s="211" t="str">
        <f>CONCATENATE($DM$5,$AM$16,$DN$5)</f>
        <v xml:space="preserve">   "",</v>
      </c>
      <c r="DM399" s="11"/>
      <c r="DN399" s="11"/>
    </row>
    <row r="400" spans="116:118" x14ac:dyDescent="0.2">
      <c r="DL400" s="211" t="str">
        <f>CONCATENATE($DM$5,$AM$17,$DN$5)</f>
        <v xml:space="preserve">   "",</v>
      </c>
      <c r="DM400" s="11"/>
      <c r="DN400" s="11"/>
    </row>
    <row r="401" spans="116:118" x14ac:dyDescent="0.2">
      <c r="DL401" s="211" t="str">
        <f>CONCATENATE($DM$5,$AM$18,$DN$5)</f>
        <v xml:space="preserve">   "",</v>
      </c>
      <c r="DM401" s="11"/>
      <c r="DN401" s="11"/>
    </row>
    <row r="402" spans="116:118" x14ac:dyDescent="0.2">
      <c r="DL402" s="211" t="str">
        <f>CONCATENATE($DM$5,$AM$23,$DN$5)</f>
        <v xml:space="preserve">   "",</v>
      </c>
      <c r="DM402" s="11"/>
      <c r="DN402" s="11"/>
    </row>
    <row r="403" spans="116:118" x14ac:dyDescent="0.2">
      <c r="DL403" s="211" t="str">
        <f>CONCATENATE($DM$5,$AM$24,$DN$5)</f>
        <v xml:space="preserve">   "",</v>
      </c>
      <c r="DM403" s="11"/>
      <c r="DN403" s="11"/>
    </row>
    <row r="404" spans="116:118" x14ac:dyDescent="0.2">
      <c r="DL404" s="211" t="str">
        <f>CONCATENATE($DM$5,$AM$29,$DN$6)</f>
        <v xml:space="preserve">   ""</v>
      </c>
      <c r="DM404" s="11"/>
      <c r="DN404" s="11"/>
    </row>
    <row r="405" spans="116:118" x14ac:dyDescent="0.2">
      <c r="DL405" s="211" t="s">
        <v>28</v>
      </c>
      <c r="DM405" s="11"/>
      <c r="DN405" s="11"/>
    </row>
    <row r="406" spans="116:118" x14ac:dyDescent="0.2">
      <c r="DL406" s="211"/>
      <c r="DM406" s="11"/>
      <c r="DN406" s="11"/>
    </row>
    <row r="407" spans="116:118" x14ac:dyDescent="0.2">
      <c r="DL407" s="211" t="s">
        <v>45</v>
      </c>
      <c r="DM407" s="11"/>
      <c r="DN407" s="11"/>
    </row>
    <row r="408" spans="116:118" x14ac:dyDescent="0.2">
      <c r="DL408" s="211" t="str">
        <f>CONCATENATE($DM$5,$AO$5,$DN$5)</f>
        <v xml:space="preserve">   "14",</v>
      </c>
      <c r="DM408" s="11"/>
      <c r="DN408" s="11"/>
    </row>
    <row r="409" spans="116:118" x14ac:dyDescent="0.2">
      <c r="DL409" s="211" t="str">
        <f>CONCATENATE($DM$5,$AO$6,$DN$5)</f>
        <v xml:space="preserve">   "7",</v>
      </c>
      <c r="DM409" s="11"/>
      <c r="DN409" s="11"/>
    </row>
    <row r="410" spans="116:118" x14ac:dyDescent="0.2">
      <c r="DL410" s="211" t="str">
        <f>CONCATENATE($DM$5,$AO$7,$DN$5)</f>
        <v xml:space="preserve">   "7",</v>
      </c>
      <c r="DM410" s="11"/>
      <c r="DN410" s="11"/>
    </row>
    <row r="411" spans="116:118" x14ac:dyDescent="0.2">
      <c r="DL411" s="211" t="str">
        <f>CONCATENATE($DM$5,$AO$8,$DN$5)</f>
        <v xml:space="preserve">   "7",</v>
      </c>
      <c r="DM411" s="11"/>
      <c r="DN411" s="11"/>
    </row>
    <row r="412" spans="116:118" x14ac:dyDescent="0.2">
      <c r="DL412" s="211" t="str">
        <f>CONCATENATE($DM$5,$AO$9,$DN$5)</f>
        <v xml:space="preserve">   "10",</v>
      </c>
      <c r="DM412" s="11"/>
      <c r="DN412" s="11"/>
    </row>
    <row r="413" spans="116:118" x14ac:dyDescent="0.2">
      <c r="DL413" s="211" t="str">
        <f>CONCATENATE($DM$5,$AO$10,$DN$5)</f>
        <v xml:space="preserve">   "10",</v>
      </c>
      <c r="DM413" s="11"/>
      <c r="DN413" s="11"/>
    </row>
    <row r="414" spans="116:118" x14ac:dyDescent="0.2">
      <c r="DL414" s="211" t="str">
        <f>CONCATENATE($DM$5,$AO$15,$DN$5)</f>
        <v xml:space="preserve">   "",</v>
      </c>
      <c r="DM414" s="11"/>
      <c r="DN414" s="11"/>
    </row>
    <row r="415" spans="116:118" x14ac:dyDescent="0.2">
      <c r="DL415" s="211" t="str">
        <f>CONCATENATE($DM$5,$AO$16,$DN$5)</f>
        <v xml:space="preserve">   "",</v>
      </c>
      <c r="DM415" s="11"/>
      <c r="DN415" s="11"/>
    </row>
    <row r="416" spans="116:118" x14ac:dyDescent="0.2">
      <c r="DL416" s="211" t="str">
        <f>CONCATENATE($DM$5,$AO$17,$DN$5)</f>
        <v xml:space="preserve">   "",</v>
      </c>
      <c r="DM416" s="11"/>
      <c r="DN416" s="11"/>
    </row>
    <row r="417" spans="116:118" x14ac:dyDescent="0.2">
      <c r="DL417" s="211" t="str">
        <f>CONCATENATE($DM$5,$AO$18,$DN$5)</f>
        <v xml:space="preserve">   "",</v>
      </c>
      <c r="DM417" s="11"/>
      <c r="DN417" s="11"/>
    </row>
    <row r="418" spans="116:118" x14ac:dyDescent="0.2">
      <c r="DL418" s="211" t="str">
        <f>CONCATENATE($DM$5,$AO$23,$DN$5)</f>
        <v xml:space="preserve">   "",</v>
      </c>
      <c r="DM418" s="11"/>
      <c r="DN418" s="11"/>
    </row>
    <row r="419" spans="116:118" x14ac:dyDescent="0.2">
      <c r="DL419" s="211" t="str">
        <f>CONCATENATE($DM$5,$AO$24,$DN$5)</f>
        <v xml:space="preserve">   "",</v>
      </c>
      <c r="DM419" s="11"/>
      <c r="DN419" s="11"/>
    </row>
    <row r="420" spans="116:118" x14ac:dyDescent="0.2">
      <c r="DL420" s="211" t="str">
        <f>CONCATENATE($DM$5,$AO$29,$DN$6)</f>
        <v xml:space="preserve">   ""</v>
      </c>
      <c r="DM420" s="11"/>
      <c r="DN420" s="11"/>
    </row>
    <row r="421" spans="116:118" x14ac:dyDescent="0.2">
      <c r="DL421" s="211" t="s">
        <v>28</v>
      </c>
      <c r="DM421" s="11"/>
      <c r="DN421" s="11"/>
    </row>
    <row r="422" spans="116:118" x14ac:dyDescent="0.2">
      <c r="DL422" s="211"/>
      <c r="DM422" s="11"/>
      <c r="DN422" s="11"/>
    </row>
    <row r="423" spans="116:118" x14ac:dyDescent="0.2">
      <c r="DL423" s="211" t="s">
        <v>70</v>
      </c>
      <c r="DM423" s="11"/>
      <c r="DN423" s="11"/>
    </row>
    <row r="424" spans="116:118" x14ac:dyDescent="0.2">
      <c r="DL424" s="211" t="str">
        <f>CONCATENATE($DM$5,$DN$5)</f>
        <v xml:space="preserve">   "",</v>
      </c>
      <c r="DM424" s="11"/>
      <c r="DN424" s="11"/>
    </row>
    <row r="425" spans="116:118" x14ac:dyDescent="0.2">
      <c r="DL425" s="211" t="str">
        <f>CONCATENATE($DM$5,$DN$5)</f>
        <v xml:space="preserve">   "",</v>
      </c>
      <c r="DM425" s="11"/>
      <c r="DN425" s="11"/>
    </row>
    <row r="426" spans="116:118" x14ac:dyDescent="0.2">
      <c r="DL426" s="211" t="str">
        <f>CONCATENATE($DM$5,$DN$5)</f>
        <v xml:space="preserve">   "",</v>
      </c>
      <c r="DM426" s="11"/>
      <c r="DN426" s="11"/>
    </row>
    <row r="427" spans="116:118" x14ac:dyDescent="0.2">
      <c r="DL427" s="211" t="str">
        <f>CONCATENATE($DM$5,$DN$5)</f>
        <v xml:space="preserve">   "",</v>
      </c>
      <c r="DM427" s="11"/>
      <c r="DN427" s="11"/>
    </row>
    <row r="428" spans="116:118" x14ac:dyDescent="0.2">
      <c r="DL428" s="211" t="str">
        <f>CONCATENATE($DM$5,$DN$5)</f>
        <v xml:space="preserve">   "",</v>
      </c>
      <c r="DM428" s="11"/>
      <c r="DN428" s="11"/>
    </row>
    <row r="429" spans="116:118" x14ac:dyDescent="0.2">
      <c r="DL429" s="211" t="str">
        <f>CONCATENATE($DM$5,$AO$11,$DN$5)</f>
        <v xml:space="preserve">   "42",</v>
      </c>
      <c r="DM429" s="11"/>
      <c r="DN429" s="11"/>
    </row>
    <row r="430" spans="116:118" x14ac:dyDescent="0.2">
      <c r="DL430" s="211" t="str">
        <f>CONCATENATE($DM$5,$DN$5)</f>
        <v xml:space="preserve">   "",</v>
      </c>
      <c r="DM430" s="11"/>
      <c r="DN430" s="11"/>
    </row>
    <row r="431" spans="116:118" x14ac:dyDescent="0.2">
      <c r="DL431" s="211" t="str">
        <f>CONCATENATE($DM$5,$DN$5)</f>
        <v xml:space="preserve">   "",</v>
      </c>
      <c r="DM431" s="11"/>
      <c r="DN431" s="11"/>
    </row>
    <row r="432" spans="116:118" x14ac:dyDescent="0.2">
      <c r="DL432" s="211" t="str">
        <f>CONCATENATE($DM$5,$DN$5)</f>
        <v xml:space="preserve">   "",</v>
      </c>
      <c r="DM432" s="11"/>
      <c r="DN432" s="11"/>
    </row>
    <row r="433" spans="116:118" x14ac:dyDescent="0.2">
      <c r="DL433" s="211" t="str">
        <f>CONCATENATE($DM$5,$AO$19,$DN$5)</f>
        <v xml:space="preserve">   "",</v>
      </c>
      <c r="DM433" s="11"/>
      <c r="DN433" s="11"/>
    </row>
    <row r="434" spans="116:118" x14ac:dyDescent="0.2">
      <c r="DL434" s="211" t="str">
        <f>CONCATENATE($DM$5,$DN$5)</f>
        <v xml:space="preserve">   "",</v>
      </c>
      <c r="DM434" s="11"/>
      <c r="DN434" s="11"/>
    </row>
    <row r="435" spans="116:118" x14ac:dyDescent="0.2">
      <c r="DL435" s="211" t="str">
        <f>CONCATENATE($DM$5,$AO$25,$DN$5)</f>
        <v xml:space="preserve">   "",</v>
      </c>
      <c r="DM435" s="11"/>
      <c r="DN435" s="11"/>
    </row>
    <row r="436" spans="116:118" x14ac:dyDescent="0.2">
      <c r="DL436" s="211" t="str">
        <f>CONCATENATE($DM$5,$AO$30,$DN$6)</f>
        <v xml:space="preserve">   ""</v>
      </c>
      <c r="DM436" s="11"/>
      <c r="DN436" s="11"/>
    </row>
    <row r="437" spans="116:118" x14ac:dyDescent="0.2">
      <c r="DL437" s="211" t="s">
        <v>28</v>
      </c>
      <c r="DM437" s="11"/>
      <c r="DN437" s="11"/>
    </row>
    <row r="438" spans="116:118" x14ac:dyDescent="0.2">
      <c r="DL438" s="212"/>
      <c r="DM438" s="11"/>
      <c r="DN438" s="11"/>
    </row>
    <row r="439" spans="116:118" x14ac:dyDescent="0.2">
      <c r="DL439" s="211" t="s">
        <v>46</v>
      </c>
      <c r="DM439" s="11"/>
      <c r="DN439" s="11"/>
    </row>
    <row r="440" spans="116:118" x14ac:dyDescent="0.2">
      <c r="DL440" s="211" t="str">
        <f>CONCATENATE($DM$5,$AQ$5,$DN$5)</f>
        <v xml:space="preserve">   "H",</v>
      </c>
      <c r="DM440" s="11"/>
      <c r="DN440" s="11"/>
    </row>
    <row r="441" spans="116:118" x14ac:dyDescent="0.2">
      <c r="DL441" s="211" t="str">
        <f>CONCATENATE($DM$5,$AQ$6,$DN$5)</f>
        <v xml:space="preserve">   "H",</v>
      </c>
      <c r="DM441" s="11"/>
      <c r="DN441" s="11"/>
    </row>
    <row r="442" spans="116:118" x14ac:dyDescent="0.2">
      <c r="DL442" s="211" t="str">
        <f>CONCATENATE($DM$5,$AQ$7,$DN$5)</f>
        <v xml:space="preserve">   "H",</v>
      </c>
      <c r="DM442" s="11"/>
      <c r="DN442" s="11"/>
    </row>
    <row r="443" spans="116:118" x14ac:dyDescent="0.2">
      <c r="DL443" s="211" t="str">
        <f>CONCATENATE($DM$5,$AQ$8,$DN$5)</f>
        <v xml:space="preserve">   "H",</v>
      </c>
      <c r="DM443" s="11"/>
      <c r="DN443" s="11"/>
    </row>
    <row r="444" spans="116:118" x14ac:dyDescent="0.2">
      <c r="DL444" s="211" t="str">
        <f>CONCATENATE($DM$5,$AQ$9,$DN$5)</f>
        <v xml:space="preserve">   "H",</v>
      </c>
      <c r="DM444" s="11"/>
      <c r="DN444" s="11"/>
    </row>
    <row r="445" spans="116:118" x14ac:dyDescent="0.2">
      <c r="DL445" s="211" t="str">
        <f>CONCATENATE($DM$5,$AQ$10,$DN$5)</f>
        <v xml:space="preserve">   "H",</v>
      </c>
      <c r="DM445" s="11"/>
      <c r="DN445" s="11"/>
    </row>
    <row r="446" spans="116:118" x14ac:dyDescent="0.2">
      <c r="DL446" s="211" t="str">
        <f>CONCATENATE($DM$5,$AQ$15,$DN$5)</f>
        <v xml:space="preserve">   "",</v>
      </c>
      <c r="DM446" s="11"/>
      <c r="DN446" s="11"/>
    </row>
    <row r="447" spans="116:118" x14ac:dyDescent="0.2">
      <c r="DL447" s="211" t="str">
        <f>CONCATENATE($DM$5,$AQ$16,$DN$5)</f>
        <v xml:space="preserve">   "",</v>
      </c>
      <c r="DM447" s="11"/>
      <c r="DN447" s="11"/>
    </row>
    <row r="448" spans="116:118" x14ac:dyDescent="0.2">
      <c r="DL448" s="211" t="str">
        <f>CONCATENATE($DM$5,$AQ$17,$DN$5)</f>
        <v xml:space="preserve">   "",</v>
      </c>
      <c r="DM448" s="11"/>
      <c r="DN448" s="11"/>
    </row>
    <row r="449" spans="116:118" x14ac:dyDescent="0.2">
      <c r="DL449" s="211" t="str">
        <f>CONCATENATE($DM$5,$AQ$18,$DN$5)</f>
        <v xml:space="preserve">   "",</v>
      </c>
      <c r="DM449" s="11"/>
      <c r="DN449" s="11"/>
    </row>
    <row r="450" spans="116:118" x14ac:dyDescent="0.2">
      <c r="DL450" s="211" t="str">
        <f>CONCATENATE($DM$5,$AQ$23,$DN$5)</f>
        <v xml:space="preserve">   "",</v>
      </c>
      <c r="DM450" s="11"/>
      <c r="DN450" s="11"/>
    </row>
    <row r="451" spans="116:118" x14ac:dyDescent="0.2">
      <c r="DL451" s="211" t="str">
        <f>CONCATENATE($DM$5,$AQ$24,$DN$5)</f>
        <v xml:space="preserve">   "",</v>
      </c>
      <c r="DM451" s="11"/>
      <c r="DN451" s="11"/>
    </row>
    <row r="452" spans="116:118" x14ac:dyDescent="0.2">
      <c r="DL452" s="211" t="str">
        <f>CONCATENATE($DM$5,$AQ$29,$DN$6)</f>
        <v xml:space="preserve">   ""</v>
      </c>
      <c r="DM452" s="11"/>
      <c r="DN452" s="11"/>
    </row>
    <row r="453" spans="116:118" x14ac:dyDescent="0.2">
      <c r="DL453" s="211" t="s">
        <v>28</v>
      </c>
      <c r="DM453" s="11"/>
      <c r="DN453" s="11"/>
    </row>
    <row r="454" spans="116:118" x14ac:dyDescent="0.2">
      <c r="DL454" s="211"/>
      <c r="DM454" s="11"/>
      <c r="DN454" s="11"/>
    </row>
    <row r="455" spans="116:118" x14ac:dyDescent="0.2">
      <c r="DL455" s="211" t="s">
        <v>47</v>
      </c>
      <c r="DM455" s="11"/>
      <c r="DN455" s="11"/>
    </row>
    <row r="456" spans="116:118" x14ac:dyDescent="0.2">
      <c r="DL456" s="211" t="str">
        <f>CONCATENATE($DM$5,$AS$5,$DN$5)</f>
        <v xml:space="preserve">   "13",</v>
      </c>
      <c r="DM456" s="11"/>
      <c r="DN456" s="11"/>
    </row>
    <row r="457" spans="116:118" x14ac:dyDescent="0.2">
      <c r="DL457" s="211" t="str">
        <f>CONCATENATE($DM$5,$AS$6,$DN$5)</f>
        <v xml:space="preserve">   "7",</v>
      </c>
      <c r="DM457" s="11"/>
      <c r="DN457" s="11"/>
    </row>
    <row r="458" spans="116:118" x14ac:dyDescent="0.2">
      <c r="DL458" s="211" t="str">
        <f>CONCATENATE($DM$5,$AS$7,$DN$5)</f>
        <v xml:space="preserve">   "17",</v>
      </c>
      <c r="DM458" s="11"/>
      <c r="DN458" s="11"/>
    </row>
    <row r="459" spans="116:118" x14ac:dyDescent="0.2">
      <c r="DL459" s="211" t="str">
        <f>CONCATENATE($DM$5,$AS$8,$DN$5)</f>
        <v xml:space="preserve">   "10",</v>
      </c>
      <c r="DM459" s="11"/>
      <c r="DN459" s="11"/>
    </row>
    <row r="460" spans="116:118" x14ac:dyDescent="0.2">
      <c r="DL460" s="211" t="str">
        <f>CONCATENATE($DM$5,$AS$9,$DN$5)</f>
        <v xml:space="preserve">   "8",</v>
      </c>
      <c r="DM460" s="11"/>
      <c r="DN460" s="11"/>
    </row>
    <row r="461" spans="116:118" x14ac:dyDescent="0.2">
      <c r="DL461" s="211" t="str">
        <f>CONCATENATE($DM$5,$AS$10,$DN$5)</f>
        <v xml:space="preserve">   "4",</v>
      </c>
      <c r="DM461" s="11"/>
      <c r="DN461" s="11"/>
    </row>
    <row r="462" spans="116:118" x14ac:dyDescent="0.2">
      <c r="DL462" s="211" t="str">
        <f>CONCATENATE($DM$5,$AS$15,$DN$5)</f>
        <v xml:space="preserve">   "",</v>
      </c>
      <c r="DM462" s="11"/>
      <c r="DN462" s="11"/>
    </row>
    <row r="463" spans="116:118" x14ac:dyDescent="0.2">
      <c r="DL463" s="211" t="str">
        <f>CONCATENATE($DM$5,$AS$16,$DN$5)</f>
        <v xml:space="preserve">   "",</v>
      </c>
      <c r="DM463" s="11"/>
      <c r="DN463" s="11"/>
    </row>
    <row r="464" spans="116:118" x14ac:dyDescent="0.2">
      <c r="DL464" s="211" t="str">
        <f>CONCATENATE($DM$5,$AS$17,$DN$5)</f>
        <v xml:space="preserve">   "",</v>
      </c>
      <c r="DM464" s="11"/>
      <c r="DN464" s="11"/>
    </row>
    <row r="465" spans="116:118" x14ac:dyDescent="0.2">
      <c r="DL465" s="211" t="str">
        <f>CONCATENATE($DM$5,$AS$18,$DN$5)</f>
        <v xml:space="preserve">   "",</v>
      </c>
      <c r="DM465" s="11"/>
      <c r="DN465" s="11"/>
    </row>
    <row r="466" spans="116:118" x14ac:dyDescent="0.2">
      <c r="DL466" s="211" t="str">
        <f>CONCATENATE($DM$5,$AS$23,$DN$5)</f>
        <v xml:space="preserve">   "",</v>
      </c>
      <c r="DM466" s="11"/>
      <c r="DN466" s="11"/>
    </row>
    <row r="467" spans="116:118" x14ac:dyDescent="0.2">
      <c r="DL467" s="211" t="str">
        <f>CONCATENATE($DM$5,$AS$24,$DN$5)</f>
        <v xml:space="preserve">   "",</v>
      </c>
      <c r="DM467" s="11"/>
      <c r="DN467" s="11"/>
    </row>
    <row r="468" spans="116:118" x14ac:dyDescent="0.2">
      <c r="DL468" s="211" t="str">
        <f>CONCATENATE($DM$5,$AS$29,$DN$6)</f>
        <v xml:space="preserve">   ""</v>
      </c>
      <c r="DM468" s="11"/>
      <c r="DN468" s="11"/>
    </row>
    <row r="469" spans="116:118" x14ac:dyDescent="0.2">
      <c r="DL469" s="211" t="s">
        <v>28</v>
      </c>
      <c r="DM469" s="11"/>
      <c r="DN469" s="11"/>
    </row>
    <row r="470" spans="116:118" x14ac:dyDescent="0.2">
      <c r="DL470" s="211"/>
      <c r="DM470" s="11"/>
      <c r="DN470" s="11"/>
    </row>
    <row r="471" spans="116:118" x14ac:dyDescent="0.2">
      <c r="DL471" s="211" t="s">
        <v>71</v>
      </c>
      <c r="DM471" s="11"/>
      <c r="DN471" s="11"/>
    </row>
    <row r="472" spans="116:118" x14ac:dyDescent="0.2">
      <c r="DL472" s="211" t="str">
        <f>CONCATENATE($DM$5,$DN$5)</f>
        <v xml:space="preserve">   "",</v>
      </c>
      <c r="DM472" s="11"/>
      <c r="DN472" s="11"/>
    </row>
    <row r="473" spans="116:118" x14ac:dyDescent="0.2">
      <c r="DL473" s="211" t="str">
        <f>CONCATENATE($DM$5,$DN$5)</f>
        <v xml:space="preserve">   "",</v>
      </c>
      <c r="DM473" s="11"/>
      <c r="DN473" s="11"/>
    </row>
    <row r="474" spans="116:118" x14ac:dyDescent="0.2">
      <c r="DL474" s="211" t="str">
        <f>CONCATENATE($DM$5,$DN$5)</f>
        <v xml:space="preserve">   "",</v>
      </c>
      <c r="DM474" s="11"/>
      <c r="DN474" s="11"/>
    </row>
    <row r="475" spans="116:118" x14ac:dyDescent="0.2">
      <c r="DL475" s="211" t="str">
        <f>CONCATENATE($DM$5,$DN$5)</f>
        <v xml:space="preserve">   "",</v>
      </c>
      <c r="DM475" s="11"/>
      <c r="DN475" s="11"/>
    </row>
    <row r="476" spans="116:118" x14ac:dyDescent="0.2">
      <c r="DL476" s="211" t="str">
        <f>CONCATENATE($DM$5,$DN$5)</f>
        <v xml:space="preserve">   "",</v>
      </c>
      <c r="DM476" s="11"/>
      <c r="DN476" s="11"/>
    </row>
    <row r="477" spans="116:118" x14ac:dyDescent="0.2">
      <c r="DL477" s="211" t="str">
        <f>CONCATENATE($DM$5,$AS$11,$DN$5)</f>
        <v xml:space="preserve">   "38",</v>
      </c>
      <c r="DM477" s="11"/>
      <c r="DN477" s="11"/>
    </row>
    <row r="478" spans="116:118" x14ac:dyDescent="0.2">
      <c r="DL478" s="211" t="str">
        <f>CONCATENATE($DM$5,$DN$5)</f>
        <v xml:space="preserve">   "",</v>
      </c>
      <c r="DM478" s="11"/>
      <c r="DN478" s="11"/>
    </row>
    <row r="479" spans="116:118" x14ac:dyDescent="0.2">
      <c r="DL479" s="211" t="str">
        <f>CONCATENATE($DM$5,$DN$5)</f>
        <v xml:space="preserve">   "",</v>
      </c>
      <c r="DM479" s="11"/>
      <c r="DN479" s="11"/>
    </row>
    <row r="480" spans="116:118" x14ac:dyDescent="0.2">
      <c r="DL480" s="211" t="str">
        <f>CONCATENATE($DM$5,$DN$5)</f>
        <v xml:space="preserve">   "",</v>
      </c>
      <c r="DM480" s="11"/>
      <c r="DN480" s="11"/>
    </row>
    <row r="481" spans="116:118" x14ac:dyDescent="0.2">
      <c r="DL481" s="211" t="str">
        <f>CONCATENATE($DM$5,$AS$19,$DN$5)</f>
        <v xml:space="preserve">   "",</v>
      </c>
      <c r="DM481" s="11"/>
      <c r="DN481" s="11"/>
    </row>
    <row r="482" spans="116:118" x14ac:dyDescent="0.2">
      <c r="DL482" s="211" t="str">
        <f>CONCATENATE($DM$5,$DN$5)</f>
        <v xml:space="preserve">   "",</v>
      </c>
      <c r="DM482" s="11"/>
      <c r="DN482" s="11"/>
    </row>
    <row r="483" spans="116:118" x14ac:dyDescent="0.2">
      <c r="DL483" s="211" t="str">
        <f>CONCATENATE($DM$5,$AS$25,$DN$5)</f>
        <v xml:space="preserve">   "",</v>
      </c>
      <c r="DM483" s="11"/>
      <c r="DN483" s="11"/>
    </row>
    <row r="484" spans="116:118" x14ac:dyDescent="0.2">
      <c r="DL484" s="211" t="str">
        <f>CONCATENATE($DM$5,$AS$30,$DN$6)</f>
        <v xml:space="preserve">   ""</v>
      </c>
      <c r="DM484" s="11"/>
      <c r="DN484" s="11"/>
    </row>
    <row r="485" spans="116:118" x14ac:dyDescent="0.2">
      <c r="DL485" s="211" t="s">
        <v>28</v>
      </c>
      <c r="DM485" s="11"/>
      <c r="DN485" s="11"/>
    </row>
    <row r="486" spans="116:118" x14ac:dyDescent="0.2">
      <c r="DL486" s="212"/>
      <c r="DM486" s="11"/>
      <c r="DN486" s="11"/>
    </row>
    <row r="487" spans="116:118" x14ac:dyDescent="0.2">
      <c r="DL487" s="211" t="s">
        <v>48</v>
      </c>
      <c r="DM487" s="11"/>
      <c r="DN487" s="11"/>
    </row>
    <row r="488" spans="116:118" x14ac:dyDescent="0.2">
      <c r="DL488" s="211" t="str">
        <f>CONCATENATE($DM$5,$AU$5,$DN$5)</f>
        <v xml:space="preserve">   "H",</v>
      </c>
      <c r="DM488" s="11"/>
      <c r="DN488" s="11"/>
    </row>
    <row r="489" spans="116:118" x14ac:dyDescent="0.2">
      <c r="DL489" s="211" t="str">
        <f>CONCATENATE($DM$5,$AU$6,$DN$5)</f>
        <v xml:space="preserve">   "V",</v>
      </c>
      <c r="DM489" s="11"/>
      <c r="DN489" s="11"/>
    </row>
    <row r="490" spans="116:118" x14ac:dyDescent="0.2">
      <c r="DL490" s="211" t="str">
        <f>CONCATENATE($DM$5,$AU$7,$DN$5)</f>
        <v xml:space="preserve">   "H",</v>
      </c>
      <c r="DM490" s="11"/>
      <c r="DN490" s="11"/>
    </row>
    <row r="491" spans="116:118" x14ac:dyDescent="0.2">
      <c r="DL491" s="211" t="str">
        <f>CONCATENATE($DM$5,$AU$8,$DN$5)</f>
        <v xml:space="preserve">   "H",</v>
      </c>
      <c r="DM491" s="11"/>
      <c r="DN491" s="11"/>
    </row>
    <row r="492" spans="116:118" x14ac:dyDescent="0.2">
      <c r="DL492" s="211" t="str">
        <f>CONCATENATE($DM$5,$AU$9,$DN$5)</f>
        <v xml:space="preserve">   "H",</v>
      </c>
      <c r="DM492" s="11"/>
      <c r="DN492" s="11"/>
    </row>
    <row r="493" spans="116:118" x14ac:dyDescent="0.2">
      <c r="DL493" s="211" t="str">
        <f>CONCATENATE($DM$5,$AU$10,$DN$5)</f>
        <v xml:space="preserve">   "H",</v>
      </c>
      <c r="DM493" s="11"/>
      <c r="DN493" s="11"/>
    </row>
    <row r="494" spans="116:118" x14ac:dyDescent="0.2">
      <c r="DL494" s="211" t="str">
        <f>CONCATENATE($DM$5,$AU$15,$DN$5)</f>
        <v xml:space="preserve">   "",</v>
      </c>
      <c r="DM494" s="11"/>
      <c r="DN494" s="11"/>
    </row>
    <row r="495" spans="116:118" x14ac:dyDescent="0.2">
      <c r="DL495" s="211" t="str">
        <f>CONCATENATE($DM$5,$AU$16,$DN$5)</f>
        <v xml:space="preserve">   "",</v>
      </c>
      <c r="DM495" s="11"/>
      <c r="DN495" s="11"/>
    </row>
    <row r="496" spans="116:118" x14ac:dyDescent="0.2">
      <c r="DL496" s="211" t="str">
        <f>CONCATENATE($DM$5,$AU$17,$DN$5)</f>
        <v xml:space="preserve">   "",</v>
      </c>
      <c r="DM496" s="11"/>
      <c r="DN496" s="11"/>
    </row>
    <row r="497" spans="116:118" x14ac:dyDescent="0.2">
      <c r="DL497" s="211" t="str">
        <f>CONCATENATE($DM$5,$AU$18,$DN$5)</f>
        <v xml:space="preserve">   "",</v>
      </c>
      <c r="DM497" s="11"/>
      <c r="DN497" s="11"/>
    </row>
    <row r="498" spans="116:118" x14ac:dyDescent="0.2">
      <c r="DL498" s="211" t="str">
        <f>CONCATENATE($DM$5,$AU$23,$DN$5)</f>
        <v xml:space="preserve">   "",</v>
      </c>
      <c r="DM498" s="11"/>
      <c r="DN498" s="11"/>
    </row>
    <row r="499" spans="116:118" x14ac:dyDescent="0.2">
      <c r="DL499" s="211" t="str">
        <f>CONCATENATE($DM$5,$AU$24,$DN$5)</f>
        <v xml:space="preserve">   "",</v>
      </c>
      <c r="DM499" s="11"/>
      <c r="DN499" s="11"/>
    </row>
    <row r="500" spans="116:118" x14ac:dyDescent="0.2">
      <c r="DL500" s="211" t="str">
        <f>CONCATENATE($DM$5,$AU$29,$DN$6)</f>
        <v xml:space="preserve">   ""</v>
      </c>
      <c r="DM500" s="11"/>
      <c r="DN500" s="11"/>
    </row>
    <row r="501" spans="116:118" x14ac:dyDescent="0.2">
      <c r="DL501" s="211" t="s">
        <v>28</v>
      </c>
      <c r="DM501" s="11"/>
      <c r="DN501" s="11"/>
    </row>
    <row r="502" spans="116:118" x14ac:dyDescent="0.2">
      <c r="DL502" s="211"/>
      <c r="DM502" s="11"/>
      <c r="DN502" s="11"/>
    </row>
    <row r="503" spans="116:118" x14ac:dyDescent="0.2">
      <c r="DL503" s="211" t="s">
        <v>49</v>
      </c>
      <c r="DM503" s="11"/>
      <c r="DN503" s="11"/>
    </row>
    <row r="504" spans="116:118" x14ac:dyDescent="0.2">
      <c r="DL504" s="211" t="str">
        <f>CONCATENATE($DM$5,$AW$5,$DN$5)</f>
        <v xml:space="preserve">   "10",</v>
      </c>
      <c r="DM504" s="11"/>
      <c r="DN504" s="11"/>
    </row>
    <row r="505" spans="116:118" x14ac:dyDescent="0.2">
      <c r="DL505" s="211" t="str">
        <f>CONCATENATE($DM$5,$AW$6,$DN$5)</f>
        <v xml:space="preserve">   "3",</v>
      </c>
      <c r="DM505" s="11"/>
      <c r="DN505" s="11"/>
    </row>
    <row r="506" spans="116:118" x14ac:dyDescent="0.2">
      <c r="DL506" s="211" t="str">
        <f>CONCATENATE($DM$5,$AW$7,$DN$5)</f>
        <v xml:space="preserve">   "7",</v>
      </c>
      <c r="DM506" s="11"/>
      <c r="DN506" s="11"/>
    </row>
    <row r="507" spans="116:118" x14ac:dyDescent="0.2">
      <c r="DL507" s="211" t="str">
        <f>CONCATENATE($DM$5,$AW$8,$DN$5)</f>
        <v xml:space="preserve">   "1",</v>
      </c>
      <c r="DM507" s="11"/>
      <c r="DN507" s="11"/>
    </row>
    <row r="508" spans="116:118" x14ac:dyDescent="0.2">
      <c r="DL508" s="211" t="str">
        <f>CONCATENATE($DM$5,$AW$9,$DN$5)</f>
        <v xml:space="preserve">   "10",</v>
      </c>
      <c r="DM508" s="11"/>
      <c r="DN508" s="11"/>
    </row>
    <row r="509" spans="116:118" x14ac:dyDescent="0.2">
      <c r="DL509" s="211" t="str">
        <f>CONCATENATE($DM$5,$AW$10,$DN$5)</f>
        <v xml:space="preserve">   "3",</v>
      </c>
      <c r="DM509" s="11"/>
      <c r="DN509" s="11"/>
    </row>
    <row r="510" spans="116:118" x14ac:dyDescent="0.2">
      <c r="DL510" s="211" t="str">
        <f>CONCATENATE($DM$5,$AW$15,$DN$5)</f>
        <v xml:space="preserve">   "",</v>
      </c>
      <c r="DM510" s="11"/>
      <c r="DN510" s="11"/>
    </row>
    <row r="511" spans="116:118" x14ac:dyDescent="0.2">
      <c r="DL511" s="211" t="str">
        <f>CONCATENATE($DM$5,$AW$16,$DN$5)</f>
        <v xml:space="preserve">   "",</v>
      </c>
      <c r="DM511" s="11"/>
      <c r="DN511" s="11"/>
    </row>
    <row r="512" spans="116:118" x14ac:dyDescent="0.2">
      <c r="DL512" s="211" t="str">
        <f>CONCATENATE($DM$5,$AW$17,$DN$5)</f>
        <v xml:space="preserve">   "",</v>
      </c>
      <c r="DM512" s="11"/>
      <c r="DN512" s="11"/>
    </row>
    <row r="513" spans="116:118" x14ac:dyDescent="0.2">
      <c r="DL513" s="211" t="str">
        <f>CONCATENATE($DM$5,$AW$18,$DN$5)</f>
        <v xml:space="preserve">   "",</v>
      </c>
      <c r="DM513" s="11"/>
      <c r="DN513" s="11"/>
    </row>
    <row r="514" spans="116:118" x14ac:dyDescent="0.2">
      <c r="DL514" s="211" t="str">
        <f>CONCATENATE($DM$5,$AW$23,$DN$5)</f>
        <v xml:space="preserve">   "",</v>
      </c>
      <c r="DM514" s="11"/>
      <c r="DN514" s="11"/>
    </row>
    <row r="515" spans="116:118" x14ac:dyDescent="0.2">
      <c r="DL515" s="211" t="str">
        <f>CONCATENATE($DM$5,$AW$24,$DN$5)</f>
        <v xml:space="preserve">   "",</v>
      </c>
      <c r="DM515" s="11"/>
      <c r="DN515" s="11"/>
    </row>
    <row r="516" spans="116:118" x14ac:dyDescent="0.2">
      <c r="DL516" s="211" t="str">
        <f>CONCATENATE($DM$5,$AW$29,$DN$6)</f>
        <v xml:space="preserve">   ""</v>
      </c>
      <c r="DM516" s="11"/>
      <c r="DN516" s="11"/>
    </row>
    <row r="517" spans="116:118" x14ac:dyDescent="0.2">
      <c r="DL517" s="211" t="s">
        <v>28</v>
      </c>
      <c r="DM517" s="11"/>
      <c r="DN517" s="11"/>
    </row>
    <row r="518" spans="116:118" x14ac:dyDescent="0.2">
      <c r="DL518" s="211"/>
      <c r="DM518" s="11"/>
      <c r="DN518" s="11"/>
    </row>
    <row r="519" spans="116:118" x14ac:dyDescent="0.2">
      <c r="DL519" s="211" t="s">
        <v>72</v>
      </c>
      <c r="DM519" s="11"/>
      <c r="DN519" s="11"/>
    </row>
    <row r="520" spans="116:118" x14ac:dyDescent="0.2">
      <c r="DL520" s="211" t="str">
        <f>CONCATENATE($DM$5,$DN$5)</f>
        <v xml:space="preserve">   "",</v>
      </c>
      <c r="DM520" s="11"/>
      <c r="DN520" s="11"/>
    </row>
    <row r="521" spans="116:118" x14ac:dyDescent="0.2">
      <c r="DL521" s="211" t="str">
        <f>CONCATENATE($DM$5,$DN$5)</f>
        <v xml:space="preserve">   "",</v>
      </c>
      <c r="DM521" s="11"/>
      <c r="DN521" s="11"/>
    </row>
    <row r="522" spans="116:118" x14ac:dyDescent="0.2">
      <c r="DL522" s="211" t="str">
        <f>CONCATENATE($DM$5,$DN$5)</f>
        <v xml:space="preserve">   "",</v>
      </c>
      <c r="DM522" s="11"/>
      <c r="DN522" s="11"/>
    </row>
    <row r="523" spans="116:118" x14ac:dyDescent="0.2">
      <c r="DL523" s="211" t="str">
        <f>CONCATENATE($DM$5,$DN$5)</f>
        <v xml:space="preserve">   "",</v>
      </c>
      <c r="DM523" s="11"/>
      <c r="DN523" s="11"/>
    </row>
    <row r="524" spans="116:118" x14ac:dyDescent="0.2">
      <c r="DL524" s="211" t="str">
        <f>CONCATENATE($DM$5,$DN$5)</f>
        <v xml:space="preserve">   "",</v>
      </c>
      <c r="DM524" s="11"/>
      <c r="DN524" s="11"/>
    </row>
    <row r="525" spans="116:118" x14ac:dyDescent="0.2">
      <c r="DL525" s="211" t="str">
        <f>CONCATENATE($DM$5,$AW$11,$DN$5)</f>
        <v xml:space="preserve">   "45",</v>
      </c>
      <c r="DM525" s="11"/>
      <c r="DN525" s="11"/>
    </row>
    <row r="526" spans="116:118" x14ac:dyDescent="0.2">
      <c r="DL526" s="211" t="str">
        <f>CONCATENATE($DM$5,$DN$5)</f>
        <v xml:space="preserve">   "",</v>
      </c>
      <c r="DM526" s="11"/>
    </row>
    <row r="527" spans="116:118" x14ac:dyDescent="0.2">
      <c r="DL527" s="211" t="str">
        <f>CONCATENATE($DM$5,$DN$5)</f>
        <v xml:space="preserve">   "",</v>
      </c>
    </row>
    <row r="528" spans="116:118" x14ac:dyDescent="0.2">
      <c r="DL528" s="211" t="str">
        <f>CONCATENATE($DM$5,$DN$5)</f>
        <v xml:space="preserve">   "",</v>
      </c>
    </row>
    <row r="529" spans="116:116" x14ac:dyDescent="0.2">
      <c r="DL529" s="211" t="str">
        <f>CONCATENATE($DM$5,$AW$19,$DN$5)</f>
        <v xml:space="preserve">   "",</v>
      </c>
    </row>
    <row r="530" spans="116:116" x14ac:dyDescent="0.2">
      <c r="DL530" s="211" t="str">
        <f>CONCATENATE($DM$5,$DN$5)</f>
        <v xml:space="preserve">   "",</v>
      </c>
    </row>
    <row r="531" spans="116:116" x14ac:dyDescent="0.2">
      <c r="DL531" s="211" t="str">
        <f>CONCATENATE($DM$5,$AW$25,$DN$5)</f>
        <v xml:space="preserve">   "",</v>
      </c>
    </row>
    <row r="532" spans="116:116" x14ac:dyDescent="0.2">
      <c r="DL532" s="211" t="str">
        <f>CONCATENATE($DM$5,$AW$30,$DN$6)</f>
        <v xml:space="preserve">   ""</v>
      </c>
    </row>
    <row r="533" spans="116:116" x14ac:dyDescent="0.2">
      <c r="DL533" s="211" t="s">
        <v>28</v>
      </c>
    </row>
    <row r="534" spans="116:116" x14ac:dyDescent="0.2">
      <c r="DL534" s="212"/>
    </row>
    <row r="535" spans="116:116" x14ac:dyDescent="0.2">
      <c r="DL535" s="211" t="s">
        <v>50</v>
      </c>
    </row>
    <row r="536" spans="116:116" x14ac:dyDescent="0.2">
      <c r="DL536" s="211" t="str">
        <f>CONCATENATE($DM$5,$AY$5,$DN$5)</f>
        <v xml:space="preserve">   "H",</v>
      </c>
    </row>
    <row r="537" spans="116:116" x14ac:dyDescent="0.2">
      <c r="DL537" s="211" t="str">
        <f>CONCATENATE($DM$5,$AY$6,$DN$5)</f>
        <v xml:space="preserve">   "H",</v>
      </c>
    </row>
    <row r="538" spans="116:116" x14ac:dyDescent="0.2">
      <c r="DL538" s="211" t="str">
        <f>CONCATENATE($DM$5,$AY$7,$DN$5)</f>
        <v xml:space="preserve">   "H",</v>
      </c>
    </row>
    <row r="539" spans="116:116" x14ac:dyDescent="0.2">
      <c r="DL539" s="211" t="str">
        <f>CONCATENATE($DM$5,$AY$8,$DN$5)</f>
        <v xml:space="preserve">   "H",</v>
      </c>
    </row>
    <row r="540" spans="116:116" x14ac:dyDescent="0.2">
      <c r="DL540" s="211" t="str">
        <f>CONCATENATE($DM$5,$AY$9,$DN$5)</f>
        <v xml:space="preserve">   "H",</v>
      </c>
    </row>
    <row r="541" spans="116:116" x14ac:dyDescent="0.2">
      <c r="DL541" s="211" t="str">
        <f>CONCATENATE($DM$5,$AY$10,$DN$5)</f>
        <v xml:space="preserve">   "V",</v>
      </c>
    </row>
    <row r="542" spans="116:116" x14ac:dyDescent="0.2">
      <c r="DL542" s="211" t="str">
        <f>CONCATENATE($DM$5,$AY$15,$DN$5)</f>
        <v xml:space="preserve">   "",</v>
      </c>
    </row>
    <row r="543" spans="116:116" x14ac:dyDescent="0.2">
      <c r="DL543" s="211" t="str">
        <f>CONCATENATE($DM$5,$AY$16,$DN$5)</f>
        <v xml:space="preserve">   "",</v>
      </c>
    </row>
    <row r="544" spans="116:116" x14ac:dyDescent="0.2">
      <c r="DL544" s="211" t="str">
        <f>CONCATENATE($DM$5,$AY$17,$DN$5)</f>
        <v xml:space="preserve">   "",</v>
      </c>
    </row>
    <row r="545" spans="116:118" x14ac:dyDescent="0.2">
      <c r="DL545" s="211" t="str">
        <f>CONCATENATE($DM$5,$AY$18,$DN$5)</f>
        <v xml:space="preserve">   "",</v>
      </c>
    </row>
    <row r="546" spans="116:118" x14ac:dyDescent="0.2">
      <c r="DL546" s="211" t="str">
        <f>CONCATENATE($DM$5,$AY$23,$DN$5)</f>
        <v xml:space="preserve">   "",</v>
      </c>
    </row>
    <row r="547" spans="116:118" x14ac:dyDescent="0.2">
      <c r="DL547" s="211" t="str">
        <f>CONCATENATE($DM$5,$AY$24,$DN$5)</f>
        <v xml:space="preserve">   "",</v>
      </c>
    </row>
    <row r="548" spans="116:118" x14ac:dyDescent="0.2">
      <c r="DL548" s="211" t="str">
        <f>CONCATENATE($DM$5,$AY$29,$DN$6)</f>
        <v xml:space="preserve">   ""</v>
      </c>
      <c r="DM548" s="11"/>
      <c r="DN548" s="11"/>
    </row>
    <row r="549" spans="116:118" x14ac:dyDescent="0.2">
      <c r="DL549" s="211" t="s">
        <v>28</v>
      </c>
      <c r="DM549" s="11"/>
      <c r="DN549" s="11"/>
    </row>
    <row r="550" spans="116:118" x14ac:dyDescent="0.2">
      <c r="DL550" s="211"/>
      <c r="DM550" s="11"/>
      <c r="DN550" s="11"/>
    </row>
    <row r="551" spans="116:118" x14ac:dyDescent="0.2">
      <c r="DL551" s="211" t="s">
        <v>51</v>
      </c>
      <c r="DM551" s="11"/>
      <c r="DN551" s="11"/>
    </row>
    <row r="552" spans="116:118" x14ac:dyDescent="0.2">
      <c r="DL552" s="211" t="str">
        <f>CONCATENATE($DM$5,$BA$5,$DN$5)</f>
        <v xml:space="preserve">   "6",</v>
      </c>
      <c r="DM552" s="11"/>
      <c r="DN552" s="11"/>
    </row>
    <row r="553" spans="116:118" x14ac:dyDescent="0.2">
      <c r="DL553" s="211" t="str">
        <f>CONCATENATE($DM$5,$BA$6,$DN$5)</f>
        <v xml:space="preserve">   "6",</v>
      </c>
      <c r="DM553" s="11"/>
      <c r="DN553" s="11"/>
    </row>
    <row r="554" spans="116:118" x14ac:dyDescent="0.2">
      <c r="DL554" s="211" t="str">
        <f>CONCATENATE($DM$5,$BA$7,$DN$5)</f>
        <v xml:space="preserve">   "12",</v>
      </c>
      <c r="DM554" s="11"/>
      <c r="DN554" s="11"/>
    </row>
    <row r="555" spans="116:118" x14ac:dyDescent="0.2">
      <c r="DL555" s="211" t="str">
        <f>CONCATENATE($DM$5,$BA$8,$DN$5)</f>
        <v xml:space="preserve">   "8",</v>
      </c>
      <c r="DM555" s="11"/>
      <c r="DN555" s="11"/>
    </row>
    <row r="556" spans="116:118" x14ac:dyDescent="0.2">
      <c r="DL556" s="211" t="str">
        <f>CONCATENATE($DM$5,$BA$9,$DN$5)</f>
        <v xml:space="preserve">   "10",</v>
      </c>
      <c r="DM556" s="11"/>
      <c r="DN556" s="11"/>
    </row>
    <row r="557" spans="116:118" x14ac:dyDescent="0.2">
      <c r="DL557" s="211" t="str">
        <f>CONCATENATE($DM$5,$BA$10,$DN$5)</f>
        <v xml:space="preserve">   "3",</v>
      </c>
      <c r="DM557" s="11"/>
      <c r="DN557" s="11"/>
    </row>
    <row r="558" spans="116:118" x14ac:dyDescent="0.2">
      <c r="DL558" s="211" t="str">
        <f>CONCATENATE($DM$5,$BA$15,$DN$5)</f>
        <v xml:space="preserve">   "",</v>
      </c>
      <c r="DM558" s="11"/>
      <c r="DN558" s="11"/>
    </row>
    <row r="559" spans="116:118" x14ac:dyDescent="0.2">
      <c r="DL559" s="211" t="str">
        <f>CONCATENATE($DM$5,$BA$16,$DN$5)</f>
        <v xml:space="preserve">   "",</v>
      </c>
      <c r="DM559" s="11"/>
      <c r="DN559" s="11"/>
    </row>
    <row r="560" spans="116:118" x14ac:dyDescent="0.2">
      <c r="DL560" s="211" t="str">
        <f>CONCATENATE($DM$5,$BA$17,$DN$5)</f>
        <v xml:space="preserve">   "",</v>
      </c>
      <c r="DM560" s="11"/>
      <c r="DN560" s="11"/>
    </row>
    <row r="561" spans="116:118" x14ac:dyDescent="0.2">
      <c r="DL561" s="211" t="str">
        <f>CONCATENATE($DM$5,$BA$18,$DN$5)</f>
        <v xml:space="preserve">   "",</v>
      </c>
      <c r="DM561" s="11"/>
      <c r="DN561" s="11"/>
    </row>
    <row r="562" spans="116:118" x14ac:dyDescent="0.2">
      <c r="DL562" s="211" t="str">
        <f>CONCATENATE($DM$5,$BA$23,$DN$5)</f>
        <v xml:space="preserve">   "",</v>
      </c>
      <c r="DM562" s="11"/>
      <c r="DN562" s="11"/>
    </row>
    <row r="563" spans="116:118" x14ac:dyDescent="0.2">
      <c r="DL563" s="211" t="str">
        <f>CONCATENATE($DM$5,$BA$24,$DN$5)</f>
        <v xml:space="preserve">   "",</v>
      </c>
      <c r="DM563" s="11"/>
      <c r="DN563" s="11"/>
    </row>
    <row r="564" spans="116:118" x14ac:dyDescent="0.2">
      <c r="DL564" s="211" t="str">
        <f>CONCATENATE($DM$5,$BA$29,$DN$6)</f>
        <v xml:space="preserve">   ""</v>
      </c>
      <c r="DM564" s="11"/>
      <c r="DN564" s="11"/>
    </row>
    <row r="565" spans="116:118" x14ac:dyDescent="0.2">
      <c r="DL565" s="211" t="s">
        <v>28</v>
      </c>
      <c r="DM565" s="11"/>
      <c r="DN565" s="11"/>
    </row>
    <row r="566" spans="116:118" x14ac:dyDescent="0.2">
      <c r="DL566" s="211"/>
      <c r="DM566" s="11"/>
      <c r="DN566" s="11"/>
    </row>
    <row r="567" spans="116:118" x14ac:dyDescent="0.2">
      <c r="DL567" s="211" t="s">
        <v>73</v>
      </c>
      <c r="DM567" s="11"/>
      <c r="DN567" s="11"/>
    </row>
    <row r="568" spans="116:118" x14ac:dyDescent="0.2">
      <c r="DL568" s="211" t="str">
        <f>CONCATENATE($DM$5,$DN$5)</f>
        <v xml:space="preserve">   "",</v>
      </c>
      <c r="DM568" s="11"/>
      <c r="DN568" s="11"/>
    </row>
    <row r="569" spans="116:118" x14ac:dyDescent="0.2">
      <c r="DL569" s="211" t="str">
        <f>CONCATENATE($DM$5,$DN$5)</f>
        <v xml:space="preserve">   "",</v>
      </c>
      <c r="DM569" s="11"/>
      <c r="DN569" s="11"/>
    </row>
    <row r="570" spans="116:118" x14ac:dyDescent="0.2">
      <c r="DL570" s="211" t="str">
        <f>CONCATENATE($DM$5,$DN$5)</f>
        <v xml:space="preserve">   "",</v>
      </c>
      <c r="DM570" s="11"/>
      <c r="DN570" s="11"/>
    </row>
    <row r="571" spans="116:118" x14ac:dyDescent="0.2">
      <c r="DL571" s="211" t="str">
        <f>CONCATENATE($DM$5,$DN$5)</f>
        <v xml:space="preserve">   "",</v>
      </c>
      <c r="DM571" s="11"/>
      <c r="DN571" s="11"/>
    </row>
    <row r="572" spans="116:118" x14ac:dyDescent="0.2">
      <c r="DL572" s="211" t="str">
        <f>CONCATENATE($DM$5,$DN$5)</f>
        <v xml:space="preserve">   "",</v>
      </c>
      <c r="DM572" s="11"/>
      <c r="DN572" s="11"/>
    </row>
    <row r="573" spans="116:118" x14ac:dyDescent="0.2">
      <c r="DL573" s="211" t="str">
        <f>CONCATENATE($DM$5,$BA$11,$DN$5)</f>
        <v xml:space="preserve">   "39",</v>
      </c>
      <c r="DM573" s="11"/>
      <c r="DN573" s="11"/>
    </row>
    <row r="574" spans="116:118" x14ac:dyDescent="0.2">
      <c r="DL574" s="211" t="str">
        <f>CONCATENATE($DM$5,$DN$5)</f>
        <v xml:space="preserve">   "",</v>
      </c>
      <c r="DM574" s="11"/>
      <c r="DN574" s="11"/>
    </row>
    <row r="575" spans="116:118" x14ac:dyDescent="0.2">
      <c r="DL575" s="211" t="str">
        <f>CONCATENATE($DM$5,$DN$5)</f>
        <v xml:space="preserve">   "",</v>
      </c>
      <c r="DM575" s="11"/>
      <c r="DN575" s="11"/>
    </row>
    <row r="576" spans="116:118" x14ac:dyDescent="0.2">
      <c r="DL576" s="211" t="str">
        <f>CONCATENATE($DM$5,$DN$5)</f>
        <v xml:space="preserve">   "",</v>
      </c>
      <c r="DM576" s="11"/>
      <c r="DN576" s="11"/>
    </row>
    <row r="577" spans="116:118" x14ac:dyDescent="0.2">
      <c r="DL577" s="211" t="str">
        <f>CONCATENATE($DM$5,$BA$19,$DN$5)</f>
        <v xml:space="preserve">   "",</v>
      </c>
      <c r="DM577" s="11"/>
      <c r="DN577" s="11"/>
    </row>
    <row r="578" spans="116:118" x14ac:dyDescent="0.2">
      <c r="DL578" s="211" t="str">
        <f>CONCATENATE($DM$5,$DN$5)</f>
        <v xml:space="preserve">   "",</v>
      </c>
      <c r="DM578" s="11"/>
      <c r="DN578" s="11"/>
    </row>
    <row r="579" spans="116:118" x14ac:dyDescent="0.2">
      <c r="DL579" s="211" t="str">
        <f>CONCATENATE($DM$5,$BA$25,$DN$5)</f>
        <v xml:space="preserve">   "",</v>
      </c>
      <c r="DM579" s="11"/>
      <c r="DN579" s="11"/>
    </row>
    <row r="580" spans="116:118" x14ac:dyDescent="0.2">
      <c r="DL580" s="211" t="str">
        <f>CONCATENATE($DM$5,$BA$30,$DN$6)</f>
        <v xml:space="preserve">   ""</v>
      </c>
      <c r="DM580" s="11"/>
      <c r="DN580" s="11"/>
    </row>
    <row r="581" spans="116:118" x14ac:dyDescent="0.2">
      <c r="DL581" s="211" t="s">
        <v>28</v>
      </c>
      <c r="DM581" s="11"/>
      <c r="DN581" s="11"/>
    </row>
    <row r="582" spans="116:118" x14ac:dyDescent="0.2">
      <c r="DL582" s="212"/>
      <c r="DM582" s="11"/>
      <c r="DN582" s="11"/>
    </row>
    <row r="583" spans="116:118" x14ac:dyDescent="0.2">
      <c r="DL583" s="211" t="s">
        <v>52</v>
      </c>
      <c r="DM583" s="11"/>
      <c r="DN583" s="11"/>
    </row>
    <row r="584" spans="116:118" x14ac:dyDescent="0.2">
      <c r="DL584" s="211" t="str">
        <f>CONCATENATE($DM$5,$C$5,$DN$5)</f>
        <v xml:space="preserve">   "Seahawks",</v>
      </c>
      <c r="DM584" s="11"/>
      <c r="DN584" s="11"/>
    </row>
    <row r="585" spans="116:118" x14ac:dyDescent="0.2">
      <c r="DL585" s="211" t="str">
        <f>CONCATENATE($DM$5,$C$6,$DN$5)</f>
        <v xml:space="preserve">   "Chargers",</v>
      </c>
      <c r="DM585" s="11"/>
      <c r="DN585" s="11"/>
    </row>
    <row r="586" spans="116:118" x14ac:dyDescent="0.2">
      <c r="DL586" s="211" t="str">
        <f>CONCATENATE($DM$5,$C$7,$DN$5)</f>
        <v xml:space="preserve">   "Dolphins",</v>
      </c>
      <c r="DM586" s="11"/>
      <c r="DN586" s="11"/>
    </row>
    <row r="587" spans="116:118" x14ac:dyDescent="0.2">
      <c r="DL587" s="211" t="str">
        <f>CONCATENATE($DM$5,$C$8,$DN$5)</f>
        <v xml:space="preserve">   "Giants",</v>
      </c>
      <c r="DM587" s="11"/>
      <c r="DN587" s="11"/>
    </row>
    <row r="588" spans="116:118" x14ac:dyDescent="0.2">
      <c r="DL588" s="211" t="str">
        <f>CONCATENATE($DM$5,$C$9,$DN$5)</f>
        <v xml:space="preserve">   "Ravens",</v>
      </c>
      <c r="DM588" s="11"/>
      <c r="DN588" s="11"/>
    </row>
    <row r="589" spans="116:118" x14ac:dyDescent="0.2">
      <c r="DL589" s="211" t="str">
        <f>CONCATENATE($DM$5,$C$10,$DN$5)</f>
        <v xml:space="preserve">   "Cowboys",</v>
      </c>
      <c r="DM589" s="11"/>
      <c r="DN589" s="11"/>
    </row>
    <row r="590" spans="116:118" x14ac:dyDescent="0.2">
      <c r="DL590" s="211" t="str">
        <f>CONCATENATE($DM$5,$C$15,$DN$5)</f>
        <v xml:space="preserve">   "",</v>
      </c>
      <c r="DM590" s="11"/>
      <c r="DN590" s="11"/>
    </row>
    <row r="591" spans="116:118" x14ac:dyDescent="0.2">
      <c r="DL591" s="211" t="str">
        <f>CONCATENATE($DM$5,$C$16,$DN$5)</f>
        <v xml:space="preserve">   "",</v>
      </c>
      <c r="DM591" s="11"/>
      <c r="DN591" s="11"/>
    </row>
    <row r="592" spans="116:118" x14ac:dyDescent="0.2">
      <c r="DL592" s="211" t="str">
        <f>CONCATENATE($DM$5,$C$17,$DN$5)</f>
        <v xml:space="preserve">   "",</v>
      </c>
      <c r="DM592" s="11"/>
      <c r="DN592" s="11"/>
    </row>
    <row r="593" spans="116:118" x14ac:dyDescent="0.2">
      <c r="DL593" s="211" t="str">
        <f>CONCATENATE($DM$5,$C$18,$DN$5)</f>
        <v xml:space="preserve">   "",</v>
      </c>
      <c r="DM593" s="11"/>
      <c r="DN593" s="11"/>
    </row>
    <row r="594" spans="116:118" x14ac:dyDescent="0.2">
      <c r="DL594" s="211" t="str">
        <f>CONCATENATE($DM$5,$C$23,$DN$5)</f>
        <v xml:space="preserve">   "",</v>
      </c>
      <c r="DM594" s="11"/>
      <c r="DN594" s="11"/>
    </row>
    <row r="595" spans="116:118" x14ac:dyDescent="0.2">
      <c r="DL595" s="211" t="str">
        <f>CONCATENATE($DM$5,$C$24,$DN$5)</f>
        <v xml:space="preserve">   "",</v>
      </c>
      <c r="DM595" s="11"/>
      <c r="DN595" s="11"/>
    </row>
    <row r="596" spans="116:118" x14ac:dyDescent="0.2">
      <c r="DL596" s="211" t="str">
        <f>CONCATENATE($DM$5,$C$29,$DN$6)</f>
        <v xml:space="preserve">   ""</v>
      </c>
      <c r="DM596" s="11"/>
      <c r="DN596" s="11"/>
    </row>
    <row r="597" spans="116:118" x14ac:dyDescent="0.2">
      <c r="DL597" s="211" t="s">
        <v>28</v>
      </c>
      <c r="DM597" s="11"/>
      <c r="DN597" s="11"/>
    </row>
    <row r="598" spans="116:118" x14ac:dyDescent="0.2">
      <c r="DL598" s="211"/>
      <c r="DM598" s="11"/>
      <c r="DN598" s="11"/>
    </row>
    <row r="599" spans="116:118" x14ac:dyDescent="0.2">
      <c r="DL599" s="211" t="s">
        <v>53</v>
      </c>
      <c r="DM599" s="11"/>
      <c r="DN599" s="11"/>
    </row>
    <row r="600" spans="116:118" x14ac:dyDescent="0.2">
      <c r="DL600" s="211" t="str">
        <f>CONCATENATE($DM$5,$E$5,$DN$5)</f>
        <v xml:space="preserve">   "49ers",</v>
      </c>
      <c r="DM600" s="11"/>
      <c r="DN600" s="11"/>
    </row>
    <row r="601" spans="116:118" x14ac:dyDescent="0.2">
      <c r="DL601" s="211" t="str">
        <f>CONCATENATE($DM$5,$E$6,$DN$5)</f>
        <v xml:space="preserve">   "Jaguars",</v>
      </c>
      <c r="DM601" s="11"/>
      <c r="DN601" s="11"/>
    </row>
    <row r="602" spans="116:118" x14ac:dyDescent="0.2">
      <c r="DL602" s="211" t="str">
        <f>CONCATENATE($DM$5,$E$7,$DN$5)</f>
        <v xml:space="preserve">   "Bills",</v>
      </c>
      <c r="DM602" s="11"/>
      <c r="DN602" s="11"/>
    </row>
    <row r="603" spans="116:118" x14ac:dyDescent="0.2">
      <c r="DL603" s="211" t="str">
        <f>CONCATENATE($DM$5,$E$8,$DN$5)</f>
        <v xml:space="preserve">   "Vikings",</v>
      </c>
      <c r="DM603" s="11"/>
      <c r="DN603" s="11"/>
    </row>
    <row r="604" spans="116:118" x14ac:dyDescent="0.2">
      <c r="DL604" s="211" t="str">
        <f>CONCATENATE($DM$5,$E$9,$DN$5)</f>
        <v xml:space="preserve">   "Bengals",</v>
      </c>
      <c r="DM604" s="11"/>
      <c r="DN604" s="11"/>
    </row>
    <row r="605" spans="116:118" x14ac:dyDescent="0.2">
      <c r="DL605" s="211" t="str">
        <f>CONCATENATE($DM$5,$E$10,$DN$5)</f>
        <v xml:space="preserve">   "Buccaneers",</v>
      </c>
      <c r="DM605" s="11"/>
      <c r="DN605" s="11"/>
    </row>
    <row r="606" spans="116:118" x14ac:dyDescent="0.2">
      <c r="DL606" s="211" t="str">
        <f>CONCATENATE($DM$5,$E$15,$DN$5)</f>
        <v xml:space="preserve">   "",</v>
      </c>
      <c r="DM606" s="11"/>
      <c r="DN606" s="11"/>
    </row>
    <row r="607" spans="116:118" x14ac:dyDescent="0.2">
      <c r="DL607" s="211" t="str">
        <f>CONCATENATE($DM$5,$E$16,$DN$5)</f>
        <v xml:space="preserve">   "",</v>
      </c>
      <c r="DM607" s="11"/>
      <c r="DN607" s="11"/>
    </row>
    <row r="608" spans="116:118" x14ac:dyDescent="0.2">
      <c r="DL608" s="211" t="str">
        <f>CONCATENATE($DM$5,$E$17,$DN$5)</f>
        <v xml:space="preserve">   "",</v>
      </c>
      <c r="DM608" s="11"/>
      <c r="DN608" s="11"/>
    </row>
    <row r="609" spans="116:118" x14ac:dyDescent="0.2">
      <c r="DL609" s="211" t="str">
        <f>CONCATENATE($DM$5,$E$18,$DN$5)</f>
        <v xml:space="preserve">   "",</v>
      </c>
      <c r="DM609" s="11"/>
      <c r="DN609" s="11"/>
    </row>
    <row r="610" spans="116:118" x14ac:dyDescent="0.2">
      <c r="DL610" s="211" t="str">
        <f>CONCATENATE($DM$5,$E$23,$DN$5)</f>
        <v xml:space="preserve">   "",</v>
      </c>
      <c r="DM610" s="11"/>
      <c r="DN610" s="11"/>
    </row>
    <row r="611" spans="116:118" x14ac:dyDescent="0.2">
      <c r="DL611" s="211" t="str">
        <f>CONCATENATE($DM$5,$E$24,$DN$5)</f>
        <v xml:space="preserve">   "",</v>
      </c>
      <c r="DM611" s="11"/>
      <c r="DN611" s="11"/>
    </row>
    <row r="612" spans="116:118" x14ac:dyDescent="0.2">
      <c r="DL612" s="211" t="str">
        <f>CONCATENATE($DM$5,$E$29,$DN$6)</f>
        <v xml:space="preserve">   ""</v>
      </c>
      <c r="DM612" s="11"/>
      <c r="DN612" s="11"/>
    </row>
    <row r="613" spans="116:118" x14ac:dyDescent="0.2">
      <c r="DL613" s="211" t="s">
        <v>28</v>
      </c>
      <c r="DM613" s="11"/>
      <c r="DN613" s="11"/>
    </row>
    <row r="614" spans="116:118" x14ac:dyDescent="0.2">
      <c r="DL614" s="211"/>
      <c r="DM614" s="11"/>
      <c r="DN614" s="11"/>
    </row>
    <row r="615" spans="116:118" x14ac:dyDescent="0.2">
      <c r="DL615" s="211" t="s">
        <v>55</v>
      </c>
      <c r="DM615" s="11"/>
      <c r="DN615" s="11"/>
    </row>
    <row r="616" spans="116:118" x14ac:dyDescent="0.2">
      <c r="DL616" s="211" t="str">
        <f>CONCATENATE($DM$5,$B$5,$DN$5)</f>
        <v xml:space="preserve">   "23",</v>
      </c>
      <c r="DM616" s="11"/>
      <c r="DN616" s="11"/>
    </row>
    <row r="617" spans="116:118" x14ac:dyDescent="0.2">
      <c r="DL617" s="211" t="str">
        <f>CONCATENATE($DM$5,$B$6,$DN$5)</f>
        <v xml:space="preserve">   "30",</v>
      </c>
      <c r="DM617" s="11"/>
      <c r="DN617" s="11"/>
    </row>
    <row r="618" spans="116:118" x14ac:dyDescent="0.2">
      <c r="DL618" s="211" t="str">
        <f>CONCATENATE($DM$5,$B$7,$DN$5)</f>
        <v xml:space="preserve">   "31",</v>
      </c>
      <c r="DM618" s="11"/>
      <c r="DN618" s="11"/>
    </row>
    <row r="619" spans="116:118" x14ac:dyDescent="0.2">
      <c r="DL619" s="211" t="str">
        <f>CONCATENATE($DM$5,$B$8,$DN$5)</f>
        <v xml:space="preserve">   "31",</v>
      </c>
      <c r="DM619" s="11"/>
      <c r="DN619" s="11"/>
    </row>
    <row r="620" spans="116:118" x14ac:dyDescent="0.2">
      <c r="DL620" s="211" t="str">
        <f>CONCATENATE($DM$5,$B$9,$DN$5)</f>
        <v xml:space="preserve">   "17",</v>
      </c>
      <c r="DM620" s="11"/>
      <c r="DN620" s="11"/>
    </row>
    <row r="621" spans="116:118" x14ac:dyDescent="0.2">
      <c r="DL621" s="211" t="str">
        <f>CONCATENATE($DM$5,$B$10,$DN$5)</f>
        <v xml:space="preserve">   "31",</v>
      </c>
      <c r="DM621" s="11"/>
      <c r="DN621" s="11"/>
    </row>
    <row r="622" spans="116:118" x14ac:dyDescent="0.2">
      <c r="DL622" s="211" t="str">
        <f>CONCATENATE($DM$5,$B$15,$DN$5)</f>
        <v xml:space="preserve">   "",</v>
      </c>
      <c r="DM622" s="11"/>
      <c r="DN622" s="11"/>
    </row>
    <row r="623" spans="116:118" x14ac:dyDescent="0.2">
      <c r="DL623" s="211" t="str">
        <f>CONCATENATE($DM$5,$B$16,$DN$5)</f>
        <v xml:space="preserve">   "",</v>
      </c>
      <c r="DM623" s="11"/>
      <c r="DN623" s="11"/>
    </row>
    <row r="624" spans="116:118" x14ac:dyDescent="0.2">
      <c r="DL624" s="211" t="str">
        <f>CONCATENATE($DM$5,$B$17,$DN$5)</f>
        <v xml:space="preserve">   "",</v>
      </c>
      <c r="DM624" s="11"/>
      <c r="DN624" s="11"/>
    </row>
    <row r="625" spans="116:118" x14ac:dyDescent="0.2">
      <c r="DL625" s="211" t="str">
        <f>CONCATENATE($DM$5,$B$18,$DN$5)</f>
        <v xml:space="preserve">   "",</v>
      </c>
      <c r="DM625" s="11"/>
      <c r="DN625" s="11"/>
    </row>
    <row r="626" spans="116:118" x14ac:dyDescent="0.2">
      <c r="DL626" s="211" t="str">
        <f>CONCATENATE($DM$5,$B$23,$DN$5)</f>
        <v xml:space="preserve">   "",</v>
      </c>
      <c r="DM626" s="11"/>
      <c r="DN626" s="11"/>
    </row>
    <row r="627" spans="116:118" x14ac:dyDescent="0.2">
      <c r="DL627" s="211" t="str">
        <f>CONCATENATE($DM$5,$B$24,$DN$5)</f>
        <v xml:space="preserve">   "",</v>
      </c>
      <c r="DM627" s="11"/>
      <c r="DN627" s="11"/>
    </row>
    <row r="628" spans="116:118" x14ac:dyDescent="0.2">
      <c r="DL628" s="211" t="str">
        <f>CONCATENATE($DM$5,$B$29,$DN$6)</f>
        <v xml:space="preserve">   ""</v>
      </c>
      <c r="DM628" s="11"/>
      <c r="DN628" s="11"/>
    </row>
    <row r="629" spans="116:118" x14ac:dyDescent="0.2">
      <c r="DL629" s="211" t="s">
        <v>28</v>
      </c>
      <c r="DM629" s="11"/>
      <c r="DN629" s="11"/>
    </row>
    <row r="630" spans="116:118" x14ac:dyDescent="0.2">
      <c r="DL630" s="211"/>
      <c r="DM630" s="11"/>
      <c r="DN630" s="11"/>
    </row>
    <row r="631" spans="116:118" x14ac:dyDescent="0.2">
      <c r="DL631" s="211" t="s">
        <v>54</v>
      </c>
      <c r="DM631" s="11"/>
      <c r="DN631" s="11"/>
    </row>
    <row r="632" spans="116:118" x14ac:dyDescent="0.2">
      <c r="DL632" s="211" t="str">
        <f>CONCATENATE($DM$5,$F$5,$DN$5)</f>
        <v xml:space="preserve">   "41",</v>
      </c>
      <c r="DM632" s="11"/>
      <c r="DN632" s="11"/>
    </row>
    <row r="633" spans="116:118" x14ac:dyDescent="0.2">
      <c r="DL633" s="211" t="str">
        <f>CONCATENATE($DM$5,$F$6,$DN$5)</f>
        <v xml:space="preserve">   "31",</v>
      </c>
      <c r="DM633" s="11"/>
      <c r="DN633" s="11"/>
    </row>
    <row r="634" spans="116:118" x14ac:dyDescent="0.2">
      <c r="DL634" s="211" t="str">
        <f>CONCATENATE($DM$5,$F$7,$DN$5)</f>
        <v xml:space="preserve">   "34",</v>
      </c>
      <c r="DM634" s="11"/>
      <c r="DN634" s="11"/>
    </row>
    <row r="635" spans="116:118" x14ac:dyDescent="0.2">
      <c r="DL635" s="211" t="str">
        <f>CONCATENATE($DM$5,$F$8,$DN$5)</f>
        <v xml:space="preserve">   "24",</v>
      </c>
      <c r="DM635" s="11"/>
      <c r="DN635" s="11"/>
    </row>
    <row r="636" spans="116:118" x14ac:dyDescent="0.2">
      <c r="DL636" s="211" t="str">
        <f>CONCATENATE($DM$5,$F$9,$DN$5)</f>
        <v xml:space="preserve">   "24",</v>
      </c>
      <c r="DM636" s="11"/>
      <c r="DN636" s="11"/>
    </row>
    <row r="637" spans="116:118" x14ac:dyDescent="0.2">
      <c r="DL637" s="211" t="str">
        <f>CONCATENATE($DM$5,$F$10,$DN$5)</f>
        <v xml:space="preserve">   "14",</v>
      </c>
      <c r="DM637" s="11"/>
      <c r="DN637" s="11"/>
    </row>
    <row r="638" spans="116:118" x14ac:dyDescent="0.2">
      <c r="DL638" s="211" t="str">
        <f>CONCATENATE($DM$5,$F$15,$DN$5)</f>
        <v xml:space="preserve">   "",</v>
      </c>
      <c r="DM638" s="11"/>
      <c r="DN638" s="11"/>
    </row>
    <row r="639" spans="116:118" x14ac:dyDescent="0.2">
      <c r="DL639" s="211" t="str">
        <f>CONCATENATE($DM$5,$F$16,$DN$5)</f>
        <v xml:space="preserve">   "",</v>
      </c>
      <c r="DM639" s="11"/>
      <c r="DN639" s="11"/>
    </row>
    <row r="640" spans="116:118" x14ac:dyDescent="0.2">
      <c r="DL640" s="211" t="str">
        <f>CONCATENATE($DM$5,$F$17,$DN$5)</f>
        <v xml:space="preserve">   "",</v>
      </c>
      <c r="DM640" s="11"/>
      <c r="DN640" s="11"/>
    </row>
    <row r="641" spans="116:118" x14ac:dyDescent="0.2">
      <c r="DL641" s="211" t="str">
        <f>CONCATENATE($DM$5,$F$18,$DN$5)</f>
        <v xml:space="preserve">   "",</v>
      </c>
      <c r="DM641" s="11"/>
      <c r="DN641" s="11"/>
    </row>
    <row r="642" spans="116:118" x14ac:dyDescent="0.2">
      <c r="DL642" s="211" t="str">
        <f>CONCATENATE($DM$5,$F$23,$DN$5)</f>
        <v xml:space="preserve">   "",</v>
      </c>
      <c r="DM642" s="11"/>
      <c r="DN642" s="11"/>
    </row>
    <row r="643" spans="116:118" x14ac:dyDescent="0.2">
      <c r="DL643" s="211" t="str">
        <f>CONCATENATE($DM$5,$F$24,$DN$5)</f>
        <v xml:space="preserve">   "",</v>
      </c>
      <c r="DM643" s="11"/>
      <c r="DN643" s="11"/>
    </row>
    <row r="644" spans="116:118" x14ac:dyDescent="0.2">
      <c r="DL644" s="211" t="str">
        <f>CONCATENATE($DM$5,$F$29,$DN$6)</f>
        <v xml:space="preserve">   ""</v>
      </c>
      <c r="DM644" s="11"/>
      <c r="DN644" s="11"/>
    </row>
    <row r="645" spans="116:118" x14ac:dyDescent="0.2">
      <c r="DL645" s="211" t="s">
        <v>28</v>
      </c>
      <c r="DM645" s="11"/>
      <c r="DN645" s="11"/>
    </row>
    <row r="646" spans="116:118" x14ac:dyDescent="0.2">
      <c r="DL646" s="213"/>
      <c r="DM646" s="11"/>
      <c r="DN646" s="11"/>
    </row>
    <row r="647" spans="116:118" x14ac:dyDescent="0.2">
      <c r="DL647" s="213" t="str">
        <f>CONCATENATE("   var wrong_pick_penalty = ",$BO$7,";")</f>
        <v xml:space="preserve">   var wrong_pick_penalty = 7;</v>
      </c>
      <c r="DM647" s="11"/>
      <c r="DN647" s="11"/>
    </row>
    <row r="648" spans="116:118" x14ac:dyDescent="0.2">
      <c r="DL648" s="213" t="str">
        <f>CONCATENATE("   var week_1_score_multiplier = ",$BO$12,";")</f>
        <v xml:space="preserve">   var week_1_score_multiplier = 1;</v>
      </c>
      <c r="DM648" s="11"/>
      <c r="DN648" s="11"/>
    </row>
    <row r="649" spans="116:118" x14ac:dyDescent="0.2">
      <c r="DL649" s="213" t="str">
        <f>CONCATENATE("   var week_2_score_multiplier = ",$BO$20,";")</f>
        <v xml:space="preserve">   var week_2_score_multiplier = 1.5;</v>
      </c>
      <c r="DM649" s="11"/>
      <c r="DN649" s="11"/>
    </row>
    <row r="650" spans="116:118" x14ac:dyDescent="0.2">
      <c r="DL650" s="213" t="str">
        <f>CONCATENATE("   var week_3_score_multiplier = ",$BO$26,";")</f>
        <v xml:space="preserve">   var week_3_score_multiplier = 3;</v>
      </c>
      <c r="DM650" s="11"/>
      <c r="DN650" s="11"/>
    </row>
    <row r="651" spans="116:118" x14ac:dyDescent="0.2">
      <c r="DL651" s="213" t="str">
        <f>CONCATENATE("   var week_4_score_multiplier = ",$BO$31,";")</f>
        <v xml:space="preserve">   var week_4_score_multiplier = 6;</v>
      </c>
      <c r="DM651" s="11"/>
      <c r="DN651" s="11"/>
    </row>
    <row r="652" spans="116:118" x14ac:dyDescent="0.2">
      <c r="DL652" s="211"/>
      <c r="DM652" s="11"/>
      <c r="DN652" s="11"/>
    </row>
    <row r="653" spans="116:118" x14ac:dyDescent="0.2">
      <c r="DL653" s="211" t="s">
        <v>129</v>
      </c>
      <c r="DM653" s="11"/>
      <c r="DN653" s="11"/>
    </row>
    <row r="654" spans="116:118" x14ac:dyDescent="0.2">
      <c r="DL654" s="211" t="s">
        <v>130</v>
      </c>
      <c r="DM654" s="11"/>
      <c r="DN654" s="11"/>
    </row>
    <row r="655" spans="116:118" x14ac:dyDescent="0.2">
      <c r="DL655" s="211" t="s">
        <v>130</v>
      </c>
      <c r="DM655" s="11"/>
      <c r="DN655" s="11"/>
    </row>
    <row r="656" spans="116:118" x14ac:dyDescent="0.2">
      <c r="DL656" s="211" t="s">
        <v>130</v>
      </c>
      <c r="DM656" s="11"/>
      <c r="DN656" s="11"/>
    </row>
    <row r="657" spans="116:118" x14ac:dyDescent="0.2">
      <c r="DL657" s="211" t="s">
        <v>130</v>
      </c>
      <c r="DM657" s="11"/>
      <c r="DN657" s="11"/>
    </row>
    <row r="658" spans="116:118" x14ac:dyDescent="0.2">
      <c r="DL658" s="211" t="s">
        <v>130</v>
      </c>
      <c r="DM658" s="11"/>
      <c r="DN658" s="11"/>
    </row>
    <row r="659" spans="116:118" x14ac:dyDescent="0.2">
      <c r="DL659" s="211" t="s">
        <v>130</v>
      </c>
      <c r="DM659" s="11"/>
      <c r="DN659" s="11"/>
    </row>
    <row r="660" spans="116:118" x14ac:dyDescent="0.2">
      <c r="DL660" s="211" t="s">
        <v>130</v>
      </c>
    </row>
    <row r="661" spans="116:118" x14ac:dyDescent="0.2">
      <c r="DL661" s="211" t="s">
        <v>130</v>
      </c>
    </row>
    <row r="662" spans="116:118" x14ac:dyDescent="0.2">
      <c r="DL662" s="211" t="s">
        <v>130</v>
      </c>
    </row>
    <row r="663" spans="116:118" x14ac:dyDescent="0.2">
      <c r="DL663" s="211" t="s">
        <v>130</v>
      </c>
    </row>
    <row r="664" spans="116:118" x14ac:dyDescent="0.2">
      <c r="DL664" s="211" t="s">
        <v>130</v>
      </c>
    </row>
    <row r="665" spans="116:118" x14ac:dyDescent="0.2">
      <c r="DL665" s="211" t="s">
        <v>130</v>
      </c>
    </row>
    <row r="666" spans="116:118" x14ac:dyDescent="0.2">
      <c r="DL666" s="211" t="s">
        <v>131</v>
      </c>
    </row>
    <row r="667" spans="116:118" x14ac:dyDescent="0.2">
      <c r="DL667" s="211" t="s">
        <v>28</v>
      </c>
    </row>
    <row r="668" spans="116:118" x14ac:dyDescent="0.2">
      <c r="DL668" s="211"/>
    </row>
    <row r="669" spans="116:118" x14ac:dyDescent="0.2">
      <c r="DL669" s="211" t="s">
        <v>132</v>
      </c>
    </row>
    <row r="670" spans="116:118" x14ac:dyDescent="0.2">
      <c r="DL670" s="211" t="s">
        <v>130</v>
      </c>
    </row>
    <row r="671" spans="116:118" x14ac:dyDescent="0.2">
      <c r="DL671" s="211" t="s">
        <v>130</v>
      </c>
    </row>
    <row r="672" spans="116:118" x14ac:dyDescent="0.2">
      <c r="DL672" s="213" t="s">
        <v>130</v>
      </c>
    </row>
    <row r="673" spans="116:116" x14ac:dyDescent="0.2">
      <c r="DL673" s="213" t="s">
        <v>130</v>
      </c>
    </row>
    <row r="674" spans="116:116" x14ac:dyDescent="0.2">
      <c r="DL674" s="213" t="s">
        <v>130</v>
      </c>
    </row>
    <row r="675" spans="116:116" x14ac:dyDescent="0.2">
      <c r="DL675" s="213" t="s">
        <v>130</v>
      </c>
    </row>
    <row r="676" spans="116:116" x14ac:dyDescent="0.2">
      <c r="DL676" s="213" t="s">
        <v>130</v>
      </c>
    </row>
    <row r="677" spans="116:116" x14ac:dyDescent="0.2">
      <c r="DL677" s="213" t="s">
        <v>130</v>
      </c>
    </row>
    <row r="678" spans="116:116" x14ac:dyDescent="0.2">
      <c r="DL678" s="213" t="s">
        <v>130</v>
      </c>
    </row>
    <row r="679" spans="116:116" x14ac:dyDescent="0.2">
      <c r="DL679" s="213" t="s">
        <v>130</v>
      </c>
    </row>
    <row r="680" spans="116:116" x14ac:dyDescent="0.2">
      <c r="DL680" s="213" t="s">
        <v>130</v>
      </c>
    </row>
    <row r="681" spans="116:116" x14ac:dyDescent="0.2">
      <c r="DL681" s="213" t="s">
        <v>130</v>
      </c>
    </row>
    <row r="682" spans="116:116" x14ac:dyDescent="0.2">
      <c r="DL682" s="213" t="s">
        <v>131</v>
      </c>
    </row>
    <row r="683" spans="116:116" x14ac:dyDescent="0.2">
      <c r="DL683" s="213" t="s">
        <v>28</v>
      </c>
    </row>
    <row r="684" spans="116:116" x14ac:dyDescent="0.2">
      <c r="DL684" s="213"/>
    </row>
    <row r="685" spans="116:116" x14ac:dyDescent="0.2">
      <c r="DL685" s="213" t="s">
        <v>133</v>
      </c>
    </row>
    <row r="686" spans="116:116" x14ac:dyDescent="0.2">
      <c r="DL686" s="213" t="s">
        <v>130</v>
      </c>
    </row>
    <row r="687" spans="116:116" x14ac:dyDescent="0.2">
      <c r="DL687" s="213" t="s">
        <v>130</v>
      </c>
    </row>
    <row r="688" spans="116:116" x14ac:dyDescent="0.2">
      <c r="DL688" s="213" t="s">
        <v>130</v>
      </c>
    </row>
    <row r="689" spans="116:116" x14ac:dyDescent="0.2">
      <c r="DL689" s="213" t="s">
        <v>130</v>
      </c>
    </row>
    <row r="690" spans="116:116" x14ac:dyDescent="0.2">
      <c r="DL690" s="213" t="s">
        <v>130</v>
      </c>
    </row>
    <row r="691" spans="116:116" x14ac:dyDescent="0.2">
      <c r="DL691" s="213" t="s">
        <v>130</v>
      </c>
    </row>
    <row r="692" spans="116:116" x14ac:dyDescent="0.2">
      <c r="DL692" s="213" t="s">
        <v>130</v>
      </c>
    </row>
    <row r="693" spans="116:116" x14ac:dyDescent="0.2">
      <c r="DL693" s="213" t="s">
        <v>130</v>
      </c>
    </row>
    <row r="694" spans="116:116" x14ac:dyDescent="0.2">
      <c r="DL694" s="213" t="s">
        <v>130</v>
      </c>
    </row>
    <row r="695" spans="116:116" x14ac:dyDescent="0.2">
      <c r="DL695" s="213" t="s">
        <v>130</v>
      </c>
    </row>
    <row r="696" spans="116:116" x14ac:dyDescent="0.2">
      <c r="DL696" s="213" t="s">
        <v>130</v>
      </c>
    </row>
    <row r="697" spans="116:116" x14ac:dyDescent="0.2">
      <c r="DL697" s="213" t="s">
        <v>130</v>
      </c>
    </row>
    <row r="698" spans="116:116" x14ac:dyDescent="0.2">
      <c r="DL698" s="213" t="s">
        <v>131</v>
      </c>
    </row>
    <row r="699" spans="116:116" x14ac:dyDescent="0.2">
      <c r="DL699" s="213" t="s">
        <v>28</v>
      </c>
    </row>
    <row r="700" spans="116:116" x14ac:dyDescent="0.2">
      <c r="DL700" s="213"/>
    </row>
    <row r="701" spans="116:116" x14ac:dyDescent="0.2">
      <c r="DL701" s="213" t="s">
        <v>134</v>
      </c>
    </row>
    <row r="702" spans="116:116" x14ac:dyDescent="0.2">
      <c r="DL702" s="213" t="s">
        <v>130</v>
      </c>
    </row>
    <row r="703" spans="116:116" x14ac:dyDescent="0.2">
      <c r="DL703" s="213" t="s">
        <v>130</v>
      </c>
    </row>
    <row r="704" spans="116:116" x14ac:dyDescent="0.2">
      <c r="DL704" s="213" t="s">
        <v>130</v>
      </c>
    </row>
    <row r="705" spans="116:116" x14ac:dyDescent="0.2">
      <c r="DL705" s="213" t="s">
        <v>130</v>
      </c>
    </row>
    <row r="706" spans="116:116" x14ac:dyDescent="0.2">
      <c r="DL706" s="213" t="s">
        <v>130</v>
      </c>
    </row>
    <row r="707" spans="116:116" x14ac:dyDescent="0.2">
      <c r="DL707" s="213" t="s">
        <v>130</v>
      </c>
    </row>
    <row r="708" spans="116:116" x14ac:dyDescent="0.2">
      <c r="DL708" s="213" t="s">
        <v>130</v>
      </c>
    </row>
    <row r="709" spans="116:116" x14ac:dyDescent="0.2">
      <c r="DL709" s="213" t="s">
        <v>130</v>
      </c>
    </row>
    <row r="710" spans="116:116" x14ac:dyDescent="0.2">
      <c r="DL710" s="213" t="s">
        <v>130</v>
      </c>
    </row>
    <row r="711" spans="116:116" x14ac:dyDescent="0.2">
      <c r="DL711" s="213" t="s">
        <v>130</v>
      </c>
    </row>
    <row r="712" spans="116:116" x14ac:dyDescent="0.2">
      <c r="DL712" s="213" t="s">
        <v>130</v>
      </c>
    </row>
    <row r="713" spans="116:116" x14ac:dyDescent="0.2">
      <c r="DL713" s="213" t="s">
        <v>130</v>
      </c>
    </row>
    <row r="714" spans="116:116" x14ac:dyDescent="0.2">
      <c r="DL714" s="213" t="s">
        <v>131</v>
      </c>
    </row>
    <row r="715" spans="116:116" x14ac:dyDescent="0.2">
      <c r="DL715" s="213" t="s">
        <v>28</v>
      </c>
    </row>
    <row r="716" spans="116:116" x14ac:dyDescent="0.2">
      <c r="DL716" s="213"/>
    </row>
    <row r="717" spans="116:116" x14ac:dyDescent="0.2">
      <c r="DL717" s="213" t="s">
        <v>135</v>
      </c>
    </row>
    <row r="718" spans="116:116" x14ac:dyDescent="0.2">
      <c r="DL718" s="213" t="s">
        <v>130</v>
      </c>
    </row>
    <row r="719" spans="116:116" x14ac:dyDescent="0.2">
      <c r="DL719" s="213" t="s">
        <v>130</v>
      </c>
    </row>
    <row r="720" spans="116:116" x14ac:dyDescent="0.2">
      <c r="DL720" s="213" t="s">
        <v>130</v>
      </c>
    </row>
    <row r="721" spans="116:116" x14ac:dyDescent="0.2">
      <c r="DL721" s="213" t="s">
        <v>130</v>
      </c>
    </row>
    <row r="722" spans="116:116" x14ac:dyDescent="0.2">
      <c r="DL722" s="213" t="s">
        <v>130</v>
      </c>
    </row>
    <row r="723" spans="116:116" x14ac:dyDescent="0.2">
      <c r="DL723" s="213" t="s">
        <v>130</v>
      </c>
    </row>
    <row r="724" spans="116:116" x14ac:dyDescent="0.2">
      <c r="DL724" s="213" t="s">
        <v>130</v>
      </c>
    </row>
    <row r="725" spans="116:116" x14ac:dyDescent="0.2">
      <c r="DL725" s="213" t="s">
        <v>130</v>
      </c>
    </row>
    <row r="726" spans="116:116" x14ac:dyDescent="0.2">
      <c r="DL726" s="213" t="s">
        <v>130</v>
      </c>
    </row>
    <row r="727" spans="116:116" x14ac:dyDescent="0.2">
      <c r="DL727" s="213" t="s">
        <v>130</v>
      </c>
    </row>
    <row r="728" spans="116:116" x14ac:dyDescent="0.2">
      <c r="DL728" s="213" t="s">
        <v>130</v>
      </c>
    </row>
    <row r="729" spans="116:116" x14ac:dyDescent="0.2">
      <c r="DL729" s="213" t="s">
        <v>130</v>
      </c>
    </row>
    <row r="730" spans="116:116" x14ac:dyDescent="0.2">
      <c r="DL730" s="213" t="s">
        <v>131</v>
      </c>
    </row>
    <row r="731" spans="116:116" x14ac:dyDescent="0.2">
      <c r="DL731" s="213" t="s">
        <v>28</v>
      </c>
    </row>
    <row r="732" spans="116:116" x14ac:dyDescent="0.2">
      <c r="DL732" s="213"/>
    </row>
    <row r="733" spans="116:116" x14ac:dyDescent="0.2">
      <c r="DL733" s="213" t="s">
        <v>136</v>
      </c>
    </row>
    <row r="734" spans="116:116" x14ac:dyDescent="0.2">
      <c r="DL734" s="213" t="s">
        <v>130</v>
      </c>
    </row>
    <row r="735" spans="116:116" x14ac:dyDescent="0.2">
      <c r="DL735" s="213" t="s">
        <v>130</v>
      </c>
    </row>
    <row r="736" spans="116:116" x14ac:dyDescent="0.2">
      <c r="DL736" s="213" t="s">
        <v>130</v>
      </c>
    </row>
    <row r="737" spans="116:116" x14ac:dyDescent="0.2">
      <c r="DL737" s="213" t="s">
        <v>130</v>
      </c>
    </row>
    <row r="738" spans="116:116" x14ac:dyDescent="0.2">
      <c r="DL738" s="213" t="s">
        <v>130</v>
      </c>
    </row>
    <row r="739" spans="116:116" x14ac:dyDescent="0.2">
      <c r="DL739" s="213" t="s">
        <v>130</v>
      </c>
    </row>
    <row r="740" spans="116:116" x14ac:dyDescent="0.2">
      <c r="DL740" s="213" t="s">
        <v>130</v>
      </c>
    </row>
    <row r="741" spans="116:116" x14ac:dyDescent="0.2">
      <c r="DL741" s="213" t="s">
        <v>130</v>
      </c>
    </row>
    <row r="742" spans="116:116" x14ac:dyDescent="0.2">
      <c r="DL742" s="213" t="s">
        <v>130</v>
      </c>
    </row>
    <row r="743" spans="116:116" x14ac:dyDescent="0.2">
      <c r="DL743" s="213" t="s">
        <v>130</v>
      </c>
    </row>
    <row r="744" spans="116:116" x14ac:dyDescent="0.2">
      <c r="DL744" s="213" t="s">
        <v>130</v>
      </c>
    </row>
    <row r="745" spans="116:116" x14ac:dyDescent="0.2">
      <c r="DL745" s="213" t="s">
        <v>130</v>
      </c>
    </row>
    <row r="746" spans="116:116" x14ac:dyDescent="0.2">
      <c r="DL746" s="213" t="s">
        <v>131</v>
      </c>
    </row>
    <row r="747" spans="116:116" x14ac:dyDescent="0.2">
      <c r="DL747" s="213" t="s">
        <v>28</v>
      </c>
    </row>
    <row r="748" spans="116:116" x14ac:dyDescent="0.2">
      <c r="DL748" s="213"/>
    </row>
    <row r="749" spans="116:116" x14ac:dyDescent="0.2">
      <c r="DL749" s="213" t="s">
        <v>137</v>
      </c>
    </row>
    <row r="750" spans="116:116" x14ac:dyDescent="0.2">
      <c r="DL750" s="213" t="s">
        <v>130</v>
      </c>
    </row>
    <row r="751" spans="116:116" x14ac:dyDescent="0.2">
      <c r="DL751" s="213" t="s">
        <v>130</v>
      </c>
    </row>
    <row r="752" spans="116:116" x14ac:dyDescent="0.2">
      <c r="DL752" s="213" t="s">
        <v>130</v>
      </c>
    </row>
    <row r="753" spans="116:116" x14ac:dyDescent="0.2">
      <c r="DL753" s="213" t="s">
        <v>130</v>
      </c>
    </row>
    <row r="754" spans="116:116" x14ac:dyDescent="0.2">
      <c r="DL754" s="213" t="s">
        <v>130</v>
      </c>
    </row>
    <row r="755" spans="116:116" x14ac:dyDescent="0.2">
      <c r="DL755" s="213" t="s">
        <v>130</v>
      </c>
    </row>
    <row r="756" spans="116:116" x14ac:dyDescent="0.2">
      <c r="DL756" s="213" t="s">
        <v>130</v>
      </c>
    </row>
    <row r="757" spans="116:116" x14ac:dyDescent="0.2">
      <c r="DL757" s="213" t="s">
        <v>130</v>
      </c>
    </row>
    <row r="758" spans="116:116" x14ac:dyDescent="0.2">
      <c r="DL758" s="213" t="s">
        <v>130</v>
      </c>
    </row>
    <row r="759" spans="116:116" x14ac:dyDescent="0.2">
      <c r="DL759" s="213" t="s">
        <v>130</v>
      </c>
    </row>
    <row r="760" spans="116:116" x14ac:dyDescent="0.2">
      <c r="DL760" s="213" t="s">
        <v>130</v>
      </c>
    </row>
    <row r="761" spans="116:116" x14ac:dyDescent="0.2">
      <c r="DL761" s="213" t="s">
        <v>130</v>
      </c>
    </row>
    <row r="762" spans="116:116" x14ac:dyDescent="0.2">
      <c r="DL762" s="213" t="s">
        <v>131</v>
      </c>
    </row>
    <row r="763" spans="116:116" x14ac:dyDescent="0.2">
      <c r="DL763" s="213" t="s">
        <v>28</v>
      </c>
    </row>
    <row r="764" spans="116:116" x14ac:dyDescent="0.2">
      <c r="DL764" s="213"/>
    </row>
    <row r="765" spans="116:116" x14ac:dyDescent="0.2">
      <c r="DL765" s="213" t="s">
        <v>138</v>
      </c>
    </row>
    <row r="766" spans="116:116" x14ac:dyDescent="0.2">
      <c r="DL766" s="213" t="s">
        <v>130</v>
      </c>
    </row>
    <row r="767" spans="116:116" x14ac:dyDescent="0.2">
      <c r="DL767" s="213" t="s">
        <v>130</v>
      </c>
    </row>
    <row r="768" spans="116:116" x14ac:dyDescent="0.2">
      <c r="DL768" s="213" t="s">
        <v>130</v>
      </c>
    </row>
    <row r="769" spans="116:116" x14ac:dyDescent="0.2">
      <c r="DL769" s="213" t="s">
        <v>130</v>
      </c>
    </row>
    <row r="770" spans="116:116" x14ac:dyDescent="0.2">
      <c r="DL770" s="213" t="s">
        <v>130</v>
      </c>
    </row>
    <row r="771" spans="116:116" x14ac:dyDescent="0.2">
      <c r="DL771" s="213" t="s">
        <v>130</v>
      </c>
    </row>
    <row r="772" spans="116:116" x14ac:dyDescent="0.2">
      <c r="DL772" s="213" t="s">
        <v>130</v>
      </c>
    </row>
    <row r="773" spans="116:116" x14ac:dyDescent="0.2">
      <c r="DL773" s="211" t="s">
        <v>130</v>
      </c>
    </row>
    <row r="774" spans="116:116" x14ac:dyDescent="0.2">
      <c r="DL774" s="211" t="s">
        <v>130</v>
      </c>
    </row>
    <row r="775" spans="116:116" x14ac:dyDescent="0.2">
      <c r="DL775" s="211" t="s">
        <v>130</v>
      </c>
    </row>
    <row r="776" spans="116:116" x14ac:dyDescent="0.2">
      <c r="DL776" s="211" t="s">
        <v>130</v>
      </c>
    </row>
    <row r="777" spans="116:116" x14ac:dyDescent="0.2">
      <c r="DL777" s="211" t="s">
        <v>130</v>
      </c>
    </row>
    <row r="778" spans="116:116" x14ac:dyDescent="0.2">
      <c r="DL778" s="211" t="s">
        <v>131</v>
      </c>
    </row>
    <row r="779" spans="116:116" x14ac:dyDescent="0.2">
      <c r="DL779" s="211" t="s">
        <v>28</v>
      </c>
    </row>
    <row r="780" spans="116:116" x14ac:dyDescent="0.2">
      <c r="DL780" s="211"/>
    </row>
    <row r="781" spans="116:116" x14ac:dyDescent="0.2">
      <c r="DL781" s="211" t="s">
        <v>139</v>
      </c>
    </row>
    <row r="782" spans="116:116" x14ac:dyDescent="0.2">
      <c r="DL782" s="211" t="s">
        <v>130</v>
      </c>
    </row>
    <row r="783" spans="116:116" x14ac:dyDescent="0.2">
      <c r="DL783" s="211" t="s">
        <v>130</v>
      </c>
    </row>
    <row r="784" spans="116:116" x14ac:dyDescent="0.2">
      <c r="DL784" s="211" t="s">
        <v>130</v>
      </c>
    </row>
    <row r="785" spans="116:116" x14ac:dyDescent="0.2">
      <c r="DL785" s="211" t="s">
        <v>130</v>
      </c>
    </row>
    <row r="786" spans="116:116" x14ac:dyDescent="0.2">
      <c r="DL786" s="211" t="s">
        <v>130</v>
      </c>
    </row>
    <row r="787" spans="116:116" x14ac:dyDescent="0.2">
      <c r="DL787" s="211" t="s">
        <v>130</v>
      </c>
    </row>
    <row r="788" spans="116:116" x14ac:dyDescent="0.2">
      <c r="DL788" s="211" t="s">
        <v>130</v>
      </c>
    </row>
    <row r="789" spans="116:116" x14ac:dyDescent="0.2">
      <c r="DL789" s="211" t="s">
        <v>130</v>
      </c>
    </row>
    <row r="790" spans="116:116" x14ac:dyDescent="0.2">
      <c r="DL790" s="211" t="s">
        <v>130</v>
      </c>
    </row>
    <row r="791" spans="116:116" x14ac:dyDescent="0.2">
      <c r="DL791" s="211" t="s">
        <v>130</v>
      </c>
    </row>
    <row r="792" spans="116:116" x14ac:dyDescent="0.2">
      <c r="DL792" s="211" t="s">
        <v>130</v>
      </c>
    </row>
    <row r="793" spans="116:116" x14ac:dyDescent="0.2">
      <c r="DL793" s="211" t="s">
        <v>130</v>
      </c>
    </row>
    <row r="794" spans="116:116" x14ac:dyDescent="0.2">
      <c r="DL794" s="211" t="s">
        <v>131</v>
      </c>
    </row>
    <row r="795" spans="116:116" x14ac:dyDescent="0.2">
      <c r="DL795" s="211" t="s">
        <v>28</v>
      </c>
    </row>
    <row r="796" spans="116:116" x14ac:dyDescent="0.2">
      <c r="DL796" s="211"/>
    </row>
    <row r="797" spans="116:116" x14ac:dyDescent="0.2">
      <c r="DL797" s="211" t="s">
        <v>140</v>
      </c>
    </row>
    <row r="798" spans="116:116" x14ac:dyDescent="0.2">
      <c r="DL798" s="211" t="s">
        <v>130</v>
      </c>
    </row>
    <row r="799" spans="116:116" x14ac:dyDescent="0.2">
      <c r="DL799" s="211" t="s">
        <v>130</v>
      </c>
    </row>
    <row r="800" spans="116:116" x14ac:dyDescent="0.2">
      <c r="DL800" s="211" t="s">
        <v>130</v>
      </c>
    </row>
    <row r="801" spans="116:116" x14ac:dyDescent="0.2">
      <c r="DL801" s="211" t="s">
        <v>130</v>
      </c>
    </row>
    <row r="802" spans="116:116" x14ac:dyDescent="0.2">
      <c r="DL802" s="211" t="s">
        <v>130</v>
      </c>
    </row>
    <row r="803" spans="116:116" x14ac:dyDescent="0.2">
      <c r="DL803" s="211" t="s">
        <v>130</v>
      </c>
    </row>
    <row r="804" spans="116:116" x14ac:dyDescent="0.2">
      <c r="DL804" s="211" t="s">
        <v>130</v>
      </c>
    </row>
    <row r="805" spans="116:116" x14ac:dyDescent="0.2">
      <c r="DL805" s="211" t="s">
        <v>130</v>
      </c>
    </row>
    <row r="806" spans="116:116" x14ac:dyDescent="0.2">
      <c r="DL806" s="211" t="s">
        <v>130</v>
      </c>
    </row>
    <row r="807" spans="116:116" x14ac:dyDescent="0.2">
      <c r="DL807" s="211" t="s">
        <v>130</v>
      </c>
    </row>
    <row r="808" spans="116:116" x14ac:dyDescent="0.2">
      <c r="DL808" s="211" t="s">
        <v>130</v>
      </c>
    </row>
    <row r="809" spans="116:116" x14ac:dyDescent="0.2">
      <c r="DL809" s="211" t="s">
        <v>130</v>
      </c>
    </row>
    <row r="810" spans="116:116" x14ac:dyDescent="0.2">
      <c r="DL810" s="211" t="s">
        <v>131</v>
      </c>
    </row>
    <row r="811" spans="116:116" x14ac:dyDescent="0.2">
      <c r="DL811" s="211" t="s">
        <v>28</v>
      </c>
    </row>
    <row r="812" spans="116:116" x14ac:dyDescent="0.2">
      <c r="DL812" s="211"/>
    </row>
    <row r="813" spans="116:116" x14ac:dyDescent="0.2">
      <c r="DL813" s="211" t="s">
        <v>141</v>
      </c>
    </row>
    <row r="814" spans="116:116" x14ac:dyDescent="0.2">
      <c r="DL814" s="211" t="s">
        <v>130</v>
      </c>
    </row>
    <row r="815" spans="116:116" x14ac:dyDescent="0.2">
      <c r="DL815" s="211" t="s">
        <v>130</v>
      </c>
    </row>
    <row r="816" spans="116:116" x14ac:dyDescent="0.2">
      <c r="DL816" s="211" t="s">
        <v>130</v>
      </c>
    </row>
    <row r="817" spans="116:116" x14ac:dyDescent="0.2">
      <c r="DL817" s="211" t="s">
        <v>130</v>
      </c>
    </row>
    <row r="818" spans="116:116" x14ac:dyDescent="0.2">
      <c r="DL818" s="211" t="s">
        <v>130</v>
      </c>
    </row>
    <row r="819" spans="116:116" x14ac:dyDescent="0.2">
      <c r="DL819" s="211" t="s">
        <v>130</v>
      </c>
    </row>
    <row r="820" spans="116:116" x14ac:dyDescent="0.2">
      <c r="DL820" s="211" t="s">
        <v>130</v>
      </c>
    </row>
    <row r="821" spans="116:116" x14ac:dyDescent="0.2">
      <c r="DL821" s="211" t="s">
        <v>130</v>
      </c>
    </row>
    <row r="822" spans="116:116" x14ac:dyDescent="0.2">
      <c r="DL822" s="211" t="s">
        <v>130</v>
      </c>
    </row>
    <row r="823" spans="116:116" x14ac:dyDescent="0.2">
      <c r="DL823" s="211" t="s">
        <v>130</v>
      </c>
    </row>
    <row r="824" spans="116:116" x14ac:dyDescent="0.2">
      <c r="DL824" s="211" t="s">
        <v>130</v>
      </c>
    </row>
    <row r="825" spans="116:116" x14ac:dyDescent="0.2">
      <c r="DL825" s="211" t="s">
        <v>130</v>
      </c>
    </row>
    <row r="826" spans="116:116" x14ac:dyDescent="0.2">
      <c r="DL826" s="211" t="s">
        <v>131</v>
      </c>
    </row>
    <row r="827" spans="116:116" x14ac:dyDescent="0.2">
      <c r="DL827" s="211" t="s">
        <v>28</v>
      </c>
    </row>
    <row r="828" spans="116:116" x14ac:dyDescent="0.2">
      <c r="DL828" s="211"/>
    </row>
    <row r="829" spans="116:116" x14ac:dyDescent="0.2">
      <c r="DL829" s="211" t="s">
        <v>142</v>
      </c>
    </row>
    <row r="830" spans="116:116" x14ac:dyDescent="0.2">
      <c r="DL830" s="211" t="s">
        <v>130</v>
      </c>
    </row>
    <row r="831" spans="116:116" x14ac:dyDescent="0.2">
      <c r="DL831" s="211" t="s">
        <v>130</v>
      </c>
    </row>
    <row r="832" spans="116:116" x14ac:dyDescent="0.2">
      <c r="DL832" s="211" t="s">
        <v>130</v>
      </c>
    </row>
    <row r="833" spans="116:116" x14ac:dyDescent="0.2">
      <c r="DL833" s="211" t="s">
        <v>130</v>
      </c>
    </row>
    <row r="834" spans="116:116" x14ac:dyDescent="0.2">
      <c r="DL834" s="211" t="s">
        <v>130</v>
      </c>
    </row>
    <row r="835" spans="116:116" x14ac:dyDescent="0.2">
      <c r="DL835" s="211" t="s">
        <v>130</v>
      </c>
    </row>
    <row r="836" spans="116:116" x14ac:dyDescent="0.2">
      <c r="DL836" s="211" t="s">
        <v>130</v>
      </c>
    </row>
    <row r="837" spans="116:116" x14ac:dyDescent="0.2">
      <c r="DL837" s="211" t="s">
        <v>130</v>
      </c>
    </row>
    <row r="838" spans="116:116" x14ac:dyDescent="0.2">
      <c r="DL838" s="211" t="s">
        <v>130</v>
      </c>
    </row>
    <row r="839" spans="116:116" x14ac:dyDescent="0.2">
      <c r="DL839" s="211" t="s">
        <v>130</v>
      </c>
    </row>
    <row r="840" spans="116:116" x14ac:dyDescent="0.2">
      <c r="DL840" s="211" t="s">
        <v>130</v>
      </c>
    </row>
    <row r="841" spans="116:116" x14ac:dyDescent="0.2">
      <c r="DL841" s="211" t="s">
        <v>130</v>
      </c>
    </row>
    <row r="842" spans="116:116" x14ac:dyDescent="0.2">
      <c r="DL842" s="211" t="s">
        <v>131</v>
      </c>
    </row>
    <row r="843" spans="116:116" x14ac:dyDescent="0.2">
      <c r="DL843" s="211" t="s">
        <v>28</v>
      </c>
    </row>
    <row r="844" spans="116:116" x14ac:dyDescent="0.2">
      <c r="DL844" s="211"/>
    </row>
    <row r="845" spans="116:116" x14ac:dyDescent="0.2">
      <c r="DL845" s="211" t="s">
        <v>143</v>
      </c>
    </row>
    <row r="846" spans="116:116" x14ac:dyDescent="0.2">
      <c r="DL846" s="211" t="s">
        <v>130</v>
      </c>
    </row>
    <row r="847" spans="116:116" x14ac:dyDescent="0.2">
      <c r="DL847" s="211" t="s">
        <v>130</v>
      </c>
    </row>
    <row r="848" spans="116:116" x14ac:dyDescent="0.2">
      <c r="DL848" s="211" t="s">
        <v>130</v>
      </c>
    </row>
    <row r="849" spans="116:116" x14ac:dyDescent="0.2">
      <c r="DL849" s="211" t="s">
        <v>130</v>
      </c>
    </row>
    <row r="850" spans="116:116" x14ac:dyDescent="0.2">
      <c r="DL850" s="211" t="s">
        <v>130</v>
      </c>
    </row>
    <row r="851" spans="116:116" x14ac:dyDescent="0.2">
      <c r="DL851" s="211" t="s">
        <v>130</v>
      </c>
    </row>
    <row r="852" spans="116:116" x14ac:dyDescent="0.2">
      <c r="DL852" s="211" t="s">
        <v>130</v>
      </c>
    </row>
    <row r="853" spans="116:116" x14ac:dyDescent="0.2">
      <c r="DL853" s="211" t="s">
        <v>130</v>
      </c>
    </row>
    <row r="854" spans="116:116" x14ac:dyDescent="0.2">
      <c r="DL854" s="211" t="s">
        <v>130</v>
      </c>
    </row>
    <row r="855" spans="116:116" x14ac:dyDescent="0.2">
      <c r="DL855" s="211" t="s">
        <v>130</v>
      </c>
    </row>
    <row r="856" spans="116:116" x14ac:dyDescent="0.2">
      <c r="DL856" s="211" t="s">
        <v>130</v>
      </c>
    </row>
    <row r="857" spans="116:116" x14ac:dyDescent="0.2">
      <c r="DL857" s="211" t="s">
        <v>130</v>
      </c>
    </row>
    <row r="858" spans="116:116" x14ac:dyDescent="0.2">
      <c r="DL858" s="211" t="s">
        <v>131</v>
      </c>
    </row>
    <row r="859" spans="116:116" x14ac:dyDescent="0.2">
      <c r="DL859" s="211" t="s">
        <v>28</v>
      </c>
    </row>
    <row r="860" spans="116:116" x14ac:dyDescent="0.2">
      <c r="DL860" s="211"/>
    </row>
    <row r="861" spans="116:116" x14ac:dyDescent="0.2">
      <c r="DL861" s="211" t="s">
        <v>144</v>
      </c>
    </row>
    <row r="862" spans="116:116" x14ac:dyDescent="0.2">
      <c r="DL862" s="211" t="s">
        <v>130</v>
      </c>
    </row>
    <row r="863" spans="116:116" x14ac:dyDescent="0.2">
      <c r="DL863" s="211" t="s">
        <v>130</v>
      </c>
    </row>
    <row r="864" spans="116:116" x14ac:dyDescent="0.2">
      <c r="DL864" s="211" t="s">
        <v>130</v>
      </c>
    </row>
    <row r="865" spans="116:116" x14ac:dyDescent="0.2">
      <c r="DL865" s="211" t="s">
        <v>130</v>
      </c>
    </row>
    <row r="866" spans="116:116" x14ac:dyDescent="0.2">
      <c r="DL866" s="211" t="s">
        <v>130</v>
      </c>
    </row>
    <row r="867" spans="116:116" x14ac:dyDescent="0.2">
      <c r="DL867" s="211" t="s">
        <v>130</v>
      </c>
    </row>
    <row r="868" spans="116:116" x14ac:dyDescent="0.2">
      <c r="DL868" s="211" t="s">
        <v>130</v>
      </c>
    </row>
    <row r="869" spans="116:116" x14ac:dyDescent="0.2">
      <c r="DL869" s="211" t="s">
        <v>130</v>
      </c>
    </row>
    <row r="870" spans="116:116" x14ac:dyDescent="0.2">
      <c r="DL870" s="211" t="s">
        <v>130</v>
      </c>
    </row>
    <row r="871" spans="116:116" x14ac:dyDescent="0.2">
      <c r="DL871" s="211" t="s">
        <v>130</v>
      </c>
    </row>
    <row r="872" spans="116:116" x14ac:dyDescent="0.2">
      <c r="DL872" s="211" t="s">
        <v>130</v>
      </c>
    </row>
    <row r="873" spans="116:116" x14ac:dyDescent="0.2">
      <c r="DL873" s="211" t="s">
        <v>130</v>
      </c>
    </row>
    <row r="874" spans="116:116" x14ac:dyDescent="0.2">
      <c r="DL874" s="211" t="s">
        <v>131</v>
      </c>
    </row>
    <row r="875" spans="116:116" x14ac:dyDescent="0.2">
      <c r="DL875" s="211" t="s">
        <v>28</v>
      </c>
    </row>
    <row r="876" spans="116:116" x14ac:dyDescent="0.2">
      <c r="DL876" s="211"/>
    </row>
    <row r="877" spans="116:116" x14ac:dyDescent="0.2">
      <c r="DL877" s="211" t="s">
        <v>145</v>
      </c>
    </row>
    <row r="878" spans="116:116" x14ac:dyDescent="0.2">
      <c r="DL878" s="211" t="s">
        <v>146</v>
      </c>
    </row>
    <row r="879" spans="116:116" x14ac:dyDescent="0.2">
      <c r="DL879" s="211" t="s">
        <v>147</v>
      </c>
    </row>
    <row r="880" spans="116:116" x14ac:dyDescent="0.2">
      <c r="DL880" s="211" t="s">
        <v>148</v>
      </c>
    </row>
    <row r="881" spans="116:116" x14ac:dyDescent="0.2">
      <c r="DL881" s="211" t="s">
        <v>149</v>
      </c>
    </row>
    <row r="882" spans="116:116" x14ac:dyDescent="0.2">
      <c r="DL882" s="211" t="s">
        <v>150</v>
      </c>
    </row>
    <row r="883" spans="116:116" x14ac:dyDescent="0.2">
      <c r="DL883" s="211" t="s">
        <v>151</v>
      </c>
    </row>
    <row r="884" spans="116:116" x14ac:dyDescent="0.2">
      <c r="DL884" s="211" t="s">
        <v>152</v>
      </c>
    </row>
    <row r="885" spans="116:116" x14ac:dyDescent="0.2">
      <c r="DL885" s="211" t="s">
        <v>153</v>
      </c>
    </row>
    <row r="886" spans="116:116" x14ac:dyDescent="0.2">
      <c r="DL886" s="211" t="s">
        <v>154</v>
      </c>
    </row>
    <row r="887" spans="116:116" x14ac:dyDescent="0.2">
      <c r="DL887" s="211" t="s">
        <v>155</v>
      </c>
    </row>
    <row r="888" spans="116:116" x14ac:dyDescent="0.2">
      <c r="DL888" s="211" t="s">
        <v>156</v>
      </c>
    </row>
    <row r="889" spans="116:116" x14ac:dyDescent="0.2">
      <c r="DL889" s="211"/>
    </row>
    <row r="890" spans="116:116" x14ac:dyDescent="0.2">
      <c r="DL890" s="211" t="s">
        <v>157</v>
      </c>
    </row>
    <row r="891" spans="116:116" x14ac:dyDescent="0.2">
      <c r="DL891" s="211" t="s">
        <v>158</v>
      </c>
    </row>
    <row r="892" spans="116:116" x14ac:dyDescent="0.2">
      <c r="DL892" s="211" t="s">
        <v>159</v>
      </c>
    </row>
    <row r="893" spans="116:116" x14ac:dyDescent="0.2">
      <c r="DL893" s="211" t="s">
        <v>160</v>
      </c>
    </row>
    <row r="894" spans="116:116" x14ac:dyDescent="0.2">
      <c r="DL894" s="211" t="s">
        <v>161</v>
      </c>
    </row>
    <row r="895" spans="116:116" x14ac:dyDescent="0.2">
      <c r="DL895" s="211" t="s">
        <v>162</v>
      </c>
    </row>
    <row r="896" spans="116:116" x14ac:dyDescent="0.2">
      <c r="DL896" s="211" t="s">
        <v>163</v>
      </c>
    </row>
    <row r="897" spans="116:116" x14ac:dyDescent="0.2">
      <c r="DL897" s="211" t="s">
        <v>164</v>
      </c>
    </row>
    <row r="898" spans="116:116" x14ac:dyDescent="0.2">
      <c r="DL898" s="211" t="s">
        <v>165</v>
      </c>
    </row>
    <row r="899" spans="116:116" x14ac:dyDescent="0.2">
      <c r="DL899" s="211" t="s">
        <v>166</v>
      </c>
    </row>
    <row r="900" spans="116:116" x14ac:dyDescent="0.2">
      <c r="DL900" s="211" t="s">
        <v>167</v>
      </c>
    </row>
    <row r="901" spans="116:116" x14ac:dyDescent="0.2">
      <c r="DL901" s="211" t="s">
        <v>168</v>
      </c>
    </row>
    <row r="902" spans="116:116" x14ac:dyDescent="0.2">
      <c r="DL902" s="211"/>
    </row>
    <row r="903" spans="116:116" x14ac:dyDescent="0.2">
      <c r="DL903" s="211" t="s">
        <v>169</v>
      </c>
    </row>
    <row r="904" spans="116:116" x14ac:dyDescent="0.2">
      <c r="DL904" s="211" t="s">
        <v>170</v>
      </c>
    </row>
    <row r="905" spans="116:116" x14ac:dyDescent="0.2">
      <c r="DL905" s="211" t="s">
        <v>171</v>
      </c>
    </row>
    <row r="906" spans="116:116" x14ac:dyDescent="0.2">
      <c r="DL906" s="211" t="s">
        <v>172</v>
      </c>
    </row>
    <row r="907" spans="116:116" x14ac:dyDescent="0.2">
      <c r="DL907" s="211" t="s">
        <v>173</v>
      </c>
    </row>
    <row r="908" spans="116:116" x14ac:dyDescent="0.2">
      <c r="DL908" s="211" t="s">
        <v>174</v>
      </c>
    </row>
    <row r="909" spans="116:116" x14ac:dyDescent="0.2">
      <c r="DL909" s="211" t="s">
        <v>175</v>
      </c>
    </row>
    <row r="910" spans="116:116" x14ac:dyDescent="0.2">
      <c r="DL910" s="211" t="s">
        <v>176</v>
      </c>
    </row>
    <row r="911" spans="116:116" x14ac:dyDescent="0.2">
      <c r="DL911" s="211" t="s">
        <v>177</v>
      </c>
    </row>
    <row r="912" spans="116:116" x14ac:dyDescent="0.2">
      <c r="DL912" s="211" t="s">
        <v>178</v>
      </c>
    </row>
    <row r="913" spans="116:116" x14ac:dyDescent="0.2">
      <c r="DL913" s="211" t="s">
        <v>179</v>
      </c>
    </row>
    <row r="914" spans="116:116" x14ac:dyDescent="0.2">
      <c r="DL914" s="211" t="s">
        <v>180</v>
      </c>
    </row>
    <row r="915" spans="116:116" x14ac:dyDescent="0.2">
      <c r="DL915" s="211"/>
    </row>
    <row r="916" spans="116:116" x14ac:dyDescent="0.2">
      <c r="DL916" s="211" t="s">
        <v>181</v>
      </c>
    </row>
    <row r="917" spans="116:116" x14ac:dyDescent="0.2">
      <c r="DL917" s="211" t="s">
        <v>182</v>
      </c>
    </row>
    <row r="918" spans="116:116" x14ac:dyDescent="0.2">
      <c r="DL918" s="211" t="s">
        <v>183</v>
      </c>
    </row>
    <row r="919" spans="116:116" x14ac:dyDescent="0.2">
      <c r="DL919" s="211" t="s">
        <v>184</v>
      </c>
    </row>
    <row r="920" spans="116:116" x14ac:dyDescent="0.2">
      <c r="DL920" s="211" t="s">
        <v>185</v>
      </c>
    </row>
    <row r="921" spans="116:116" x14ac:dyDescent="0.2">
      <c r="DL921" s="211" t="s">
        <v>186</v>
      </c>
    </row>
    <row r="922" spans="116:116" x14ac:dyDescent="0.2">
      <c r="DL922" s="211" t="s">
        <v>187</v>
      </c>
    </row>
    <row r="923" spans="116:116" x14ac:dyDescent="0.2">
      <c r="DL923" s="211" t="s">
        <v>188</v>
      </c>
    </row>
    <row r="924" spans="116:116" x14ac:dyDescent="0.2">
      <c r="DL924" s="211" t="s">
        <v>189</v>
      </c>
    </row>
    <row r="925" spans="116:116" x14ac:dyDescent="0.2">
      <c r="DL925" s="211" t="s">
        <v>190</v>
      </c>
    </row>
    <row r="926" spans="116:116" x14ac:dyDescent="0.2">
      <c r="DL926" s="211" t="s">
        <v>191</v>
      </c>
    </row>
    <row r="927" spans="116:116" x14ac:dyDescent="0.2">
      <c r="DL927" s="211" t="s">
        <v>192</v>
      </c>
    </row>
    <row r="928" spans="116:116" x14ac:dyDescent="0.2">
      <c r="DL928" s="211"/>
    </row>
    <row r="929" spans="116:116" x14ac:dyDescent="0.2">
      <c r="DL929" s="208" t="s">
        <v>194</v>
      </c>
    </row>
  </sheetData>
  <sheetProtection sheet="1" objects="1" scenarios="1"/>
  <sortState xmlns:xlrd2="http://schemas.microsoft.com/office/spreadsheetml/2017/richdata2" ref="CJ73:CS84">
    <sortCondition ref="CJ72"/>
    <sortCondition ref="CK72"/>
  </sortState>
  <mergeCells count="40">
    <mergeCell ref="DG88:DH89"/>
    <mergeCell ref="CU86:DJ86"/>
    <mergeCell ref="CJ71:CL71"/>
    <mergeCell ref="CM71:CS71"/>
    <mergeCell ref="DD88:DD89"/>
    <mergeCell ref="DE88:DF89"/>
    <mergeCell ref="CW88:CW89"/>
    <mergeCell ref="CX88:CY89"/>
    <mergeCell ref="CU87:CU89"/>
    <mergeCell ref="CW87:DC87"/>
    <mergeCell ref="DD87:DJ87"/>
    <mergeCell ref="DI88:DJ89"/>
    <mergeCell ref="CN72:CO72"/>
    <mergeCell ref="DB88:DC89"/>
    <mergeCell ref="CZ88:DA89"/>
    <mergeCell ref="CP72:CQ72"/>
    <mergeCell ref="CR72:CS72"/>
    <mergeCell ref="CV87:CV89"/>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B33:F33"/>
    <mergeCell ref="CB71:CD71"/>
    <mergeCell ref="CF71:CH71"/>
    <mergeCell ref="S2:U2"/>
    <mergeCell ref="AQ2:AS2"/>
    <mergeCell ref="AU2:AW2"/>
    <mergeCell ref="K2:M2"/>
    <mergeCell ref="O2:Q2"/>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73:CS84">
    <cfRule type="expression" dxfId="1" priority="2">
      <formula>MOD(CL73,1)&gt;0</formula>
    </cfRule>
  </conditionalFormatting>
  <conditionalFormatting sqref="CY90:CY101 DA90:DA101 DC90:DD101 DF90:DF101 DH90:DH101 DJ90:DJ101 CV90:CW101">
    <cfRule type="expression" dxfId="0" priority="1">
      <formula>MOD(CV90,1)&gt;0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57</vt:i4>
      </vt:variant>
    </vt:vector>
  </HeadingPairs>
  <TitlesOfParts>
    <vt:vector size="58"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number_of_regular_season_weeks</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2020-04-14T05:10:40Z</cp:lastPrinted>
  <dcterms:created xsi:type="dcterms:W3CDTF">1996-10-14T23:33:28Z</dcterms:created>
  <dcterms:modified xsi:type="dcterms:W3CDTF">2023-01-17T04:27:35Z</dcterms:modified>
</cp:coreProperties>
</file>